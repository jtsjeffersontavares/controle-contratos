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binary" PartName="/xl/commentsmeta6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GÕES CONSOLIDADOS" sheetId="1" r:id="rId4"/>
    <sheet state="visible" name="Tabela dinâmica 1" sheetId="2" r:id="rId5"/>
    <sheet state="visible" name="90057_2026" sheetId="3" r:id="rId6"/>
    <sheet state="visible" name="90146_2025" sheetId="4" r:id="rId7"/>
    <sheet state="visible" name="90127_2025" sheetId="5" r:id="rId8"/>
    <sheet state="visible" name="90034_2025" sheetId="6" r:id="rId9"/>
    <sheet state="visible" name="90186_2024" sheetId="7" r:id="rId10"/>
    <sheet state="visible" name="90103_2024" sheetId="8" r:id="rId11"/>
    <sheet state="visible" name="90060_2024" sheetId="9" r:id="rId12"/>
    <sheet state="visible" name="90101_2024" sheetId="10" r:id="rId13"/>
    <sheet state="visible" name="90121_2024" sheetId="11" r:id="rId14"/>
    <sheet state="visible" name="90091_2024" sheetId="12" r:id="rId15"/>
    <sheet state="visible" name="233_2023" sheetId="13" r:id="rId16"/>
    <sheet state="visible" name="247_2023" sheetId="14" r:id="rId17"/>
    <sheet state="visible" name="PREPARATIVO PLANO AQUISIÇÃO" sheetId="15" r:id="rId18"/>
  </sheets>
  <definedNames>
    <definedName hidden="1" localSheetId="0" name="_xlnm._FilterDatabase">'PREGÕES CONSOLIDADOS'!$A$1:$Z$966</definedName>
    <definedName hidden="1" localSheetId="2" name="_xlnm._FilterDatabase">'90057_2026'!$A$2:$Y$15</definedName>
    <definedName hidden="1" localSheetId="3" name="_xlnm._FilterDatabase">'90146_2025'!$A$2:$Z$291</definedName>
    <definedName hidden="1" localSheetId="4" name="_xlnm._FilterDatabase">'90127_2025'!$A$1:$Q$8</definedName>
    <definedName hidden="1" localSheetId="5" name="_xlnm._FilterDatabase">'90034_2025'!$A$1:$Q$33</definedName>
    <definedName hidden="1" localSheetId="6" name="_xlnm._FilterDatabase">'90186_2024'!$A$2:$Z$184</definedName>
    <definedName hidden="1" localSheetId="9" name="_xlnm._FilterDatabase">'90101_2024'!$A$2:$Z$41</definedName>
    <definedName hidden="1" localSheetId="10" name="_xlnm._FilterDatabase">'90121_2024'!$A$2:$Z$27</definedName>
    <definedName hidden="1" localSheetId="11" name="_xlnm._FilterDatabase">'90091_2024'!$A$2:$Z$18</definedName>
    <definedName hidden="1" localSheetId="13" name="_xlnm._FilterDatabase">'247_2023'!$A$2:$Z$152</definedName>
  </definedNames>
  <calcPr/>
  <pivotCaches>
    <pivotCache cacheId="0" r:id="rId19"/>
  </pivotCaches>
  <extLst>
    <ext uri="GoogleSheetsCustomDataVersion2">
      <go:sheetsCustomData xmlns:go="http://customooxmlschemas.google.com/" r:id="rId20" roundtripDataChecksum="EjFHAu3krW/dFv64xREWKj6yIEKrMhvam4Scy5vQq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50">
      <text>
        <t xml:space="preserve">======
ID#AAABm778J_o
OCSISTRAN DIRAD    (2025-07-03 18:58:22)
Reservado plano de execução SDAP 2025</t>
      </text>
    </comment>
    <comment authorId="0" ref="F261">
      <text>
        <t xml:space="preserve">======
ID#AAABnIe-0Jo
OCSISTRAN DIRAD    (2025-07-08 18:51:42)
Reservado plano de execução DECEA 2025 CINDACTA IV 1 UN</t>
      </text>
    </comment>
    <comment authorId="0" ref="F356">
      <text>
        <t xml:space="preserve">======
ID#AAABnIe-0Fs
OCSISTRAN DIRAD    (2025-07-08 17:39:40)
Reservado plano de execução DECEA 2025 ICEA 1UN, PAME-RJ 1UN, CINDACTA III 1 UN</t>
      </text>
    </comment>
    <comment authorId="0" ref="F515">
      <text>
        <t xml:space="preserve">======
ID#AAABlqAl0f8
OCSISTRAN DIRAD    (2025-06-13 13:31:05)
Para atender o ofício nº 10/SEC-DE/12770, da AFA.</t>
      </text>
    </comment>
    <comment authorId="0" ref="F482">
      <text>
        <t xml:space="preserve">======
ID#AAABnIe-0Jw
OCSISTRAN DIRAD    (2025-07-08 19:01:30)
Reservado plano de execução DECEA 2025 BAFL 1 UN, CINDACTA III 2 UN</t>
      </text>
    </comment>
    <comment authorId="0" ref="F354">
      <text>
        <t xml:space="preserve">======
ID#AAABnIe-0Fk
OCSISTRAN DIRAD    (2025-07-08 17:38:33)
Reservado plano de execução DECEA CINDACTA I</t>
      </text>
    </comment>
    <comment authorId="0" ref="F546">
      <text>
        <t xml:space="preserve">======
ID#AAABm778J_k
OCSISTRAN DIRAD    (2025-07-03 18:58:16)
Reservado plano de execução SDAP 2025</t>
      </text>
    </comment>
    <comment authorId="0" ref="F447">
      <text>
        <t xml:space="preserve">======
ID#AAABm7letmI
OCSISTRAN DIRAD    (2025-07-03 15:01:25)
reservado plano de execução 2025 1UN GAP-LS/ 1 UN GAP-AF</t>
      </text>
    </comment>
    <comment authorId="0" ref="F542">
      <text>
        <t xml:space="preserve">======
ID#AAABm778J_g
OCSISTRAN DIRAD    (2025-07-03 18:58:10)
Reservado plano de execução SDAP 2025</t>
      </text>
    </comment>
    <comment authorId="0" ref="F540">
      <text>
        <t xml:space="preserve">======
ID#AAABnMXCFc4
OCSISTRAN DIRAD    (2025-07-09 14:18:37)
Reservado plano de execução SDAP 2025</t>
      </text>
    </comment>
    <comment authorId="0" ref="F538">
      <text>
        <t xml:space="preserve">======
ID#AAABm778J_Y
OCSISTRAN DIRAD    (2025-07-03 18:57:45)
Reservado plano de execução SDAP 2025</t>
      </text>
    </comment>
    <comment authorId="0" ref="F346">
      <text>
        <t xml:space="preserve">======
ID#AAABm778J-8
OCSISTRAN DIRAD    (2025-07-03 18:48:13)
reservado plano de execução SDAP 2025 1UN GAPDF</t>
      </text>
    </comment>
    <comment authorId="0" ref="F439">
      <text>
        <t xml:space="preserve">======
ID#AAABm71UrH8
OCSISTRAN DIRAD    (2025-07-03 18:17:27)
reservado plano de execução SDAP 2025 1UN BAPV , 1UN AFA</t>
      </text>
    </comment>
    <comment authorId="0" ref="F342">
      <text>
        <t xml:space="preserve">======
ID#AAABnIe-0GU
OCSISTRAN DIRAD    (2025-07-08 17:54:37)
Reservado plano de execução DECEA 2025 CINDACTA2 1UN</t>
      </text>
    </comment>
    <comment authorId="0" ref="F245">
      <text>
        <t xml:space="preserve">======
ID#AAABlqAl0f4
OCSISTRAN DIRAD    (2025-06-13 13:28:43)
Para atender ofício nº 10/SEC-DE/12770, da AFA.</t>
      </text>
    </comment>
    <comment authorId="0" ref="E402">
      <text>
        <t xml:space="preserve">======
ID#AAABm7764ao
OCSISTRAN DIRAD    (2025-07-03 18:45:00)
reservado plano de execução SDAP 2025 1UN EPCAR 1 UN BAAN</t>
      </text>
    </comment>
    <comment authorId="0" ref="F435">
      <text>
        <t xml:space="preserve">======
ID#AAABm7sFizs
OCSISTRAN DIRAD    (2025-07-03 16:35:28)
reservado plano de execução 2025 1UN EPCAR</t>
      </text>
    </comment>
    <comment authorId="0" ref="F359">
      <text>
        <t xml:space="preserve">======
ID#AAABnIe-0F0
OCSISTRAN DIRAD    (2025-07-08 17:44:43)
Reservado plano de execução DECEA 2025 CRCEA-SE</t>
      </text>
    </comment>
    <comment authorId="0" ref="F419">
      <text>
        <t xml:space="preserve">======
ID#AAABoXiwQKI
DIEGO RIBOURA    (2025-07-27 19:15:03)
PLANO DECEA 8 UNIDADES</t>
      </text>
    </comment>
    <comment authorId="0" ref="F355">
      <text>
        <t xml:space="preserve">======
ID#AAABnIe-0Fo
OCSISTRAN DIRAD    (2025-07-08 17:38:55)
Reservado plano de execução DECEA BAFL</t>
      </text>
    </comment>
    <comment authorId="0" ref="F448">
      <text>
        <t xml:space="preserve">======
ID#AAABm7letmM
OCSISTRAN DIRAD    (2025-07-03 15:01:43)
reservado plano de execução 2025 1UN AFA/ 1 UN BACG (EAS)</t>
      </text>
    </comment>
    <comment authorId="0" ref="F157">
      <text>
        <t xml:space="preserve">======
ID#AAABnIe-0JM
OCSISTRAN DIRAD    (2025-07-08 18:16:03)
Reservado 02 un para plano de execução DECEA 2025 BAFL 02 UN</t>
      </text>
    </comment>
    <comment authorId="0" ref="F349">
      <text>
        <t xml:space="preserve">======
ID#AAABm7764aQ
OCSISTRAN DIRAD    (2025-07-03 18:42:17)
reservado plano de execução SDAP 2025 1UN GAPSJ</t>
      </text>
    </comment>
    <comment authorId="0" ref="F508">
      <text>
        <t xml:space="preserve">======
ID#AAABnWDl43k
OCSISTRAN DIRAD    (2025-07-14 16:46:59)
Reservado plano de execução DECEA 2025 4 UN CINDACTA I, 1UN ICEA, 1UN 5º/1º GCC, 1 UN CRCEA-SE</t>
      </text>
    </comment>
    <comment authorId="0" ref="F539">
      <text>
        <t xml:space="preserve">======
ID#AAABm778J_c
OCSISTRAN DIRAD    (2025-07-03 18:57:50)
Reservado plano de execução SDAP 2025</t>
      </text>
    </comment>
    <comment authorId="0" ref="F155">
      <text>
        <t xml:space="preserve">======
ID#AAABicQRNQs
OCSISTRAN DIRAD    (2025-04-25 13:40:24)
Dois já tinham sido empenhados. Ficou disponível 1 unidade que será empenhada no plano de execução 2025.</t>
      </text>
    </comment>
    <comment authorId="0" ref="F343">
      <text>
        <t xml:space="preserve">======
ID#AAABnIe-0GY
OCSISTRAN DIRAD    (2025-07-08 17:54:52)
Reservado plano de execução DECEA 2025 BAFL</t>
      </text>
    </comment>
    <comment authorId="0" ref="F438">
      <text>
        <t xml:space="preserve">======
ID#AAABm71UrIA
OCSISTRAN DIRAD    (2025-07-03 18:17:44)
reservado plano de execução SDAP 2025 1UN GAPSJ</t>
      </text>
    </comment>
    <comment authorId="0" ref="F469">
      <text>
        <t xml:space="preserve">======
ID#AAABnIe-0F8
OCSISTRAN DIRAD    (2025-07-08 17:46:16)
Reservado plano de execução DECEA 2025 5º/1º GCC</t>
      </text>
    </comment>
    <comment authorId="0" ref="F339">
      <text>
        <t xml:space="preserve">======
ID#AAABnNRovGg
OCSISTRAN DIRAD    (2025-07-09 14:24:00)
RESERVADO NA PLANILHA DE PREGÃO VIGENTES 1 UN BASV</t>
      </text>
    </comment>
    <comment authorId="0" ref="E401">
      <text>
        <t xml:space="preserve">======
ID#AAABm7764as
OCSISTRAN DIRAD    (2025-07-03 18:45:18)
reservado plano de execução SDAP 2025 1UN COMARA</t>
      </text>
    </comment>
    <comment authorId="0" ref="F434">
      <text>
        <t xml:space="preserve">======
ID#AAABm7sFizo
OCSISTRAN DIRAD    (2025-07-03 16:35:05)
reservado plano de execução 2025 1UN GAPCO</t>
      </text>
    </comment>
    <comment authorId="0" ref="F529">
      <text>
        <t xml:space="preserve">======
ID#AAABnMnFMSs
OCSISTRAN DIRAD    (2025-07-09 12:51:22)
Reservado plano de execução DECEA 2025 CRCEA-SE 1UN</t>
      </text>
    </comment>
    <comment authorId="0" ref="F331">
      <text>
        <t xml:space="preserve">======
ID#AAABnMXCFdA
OCSISTRAN DIRAD    (2025-07-09 14:23:38)
RESERVADO NA PLANILHA DE PREGÃO VIGENTES 1 UN FAYS</t>
      </text>
    </comment>
    <comment authorId="0" ref="F457">
      <text>
        <t xml:space="preserve">======
ID#AAABnIe-0JU
OCSISTRAN DIRAD    (2025-07-08 18:24:49)
Reservado plano de execução DECEA 2025 BAFL 1 UN</t>
      </text>
    </comment>
    <comment authorId="0" ref="F329">
      <text>
        <t xml:space="preserve">======
ID#AAABm778J_w
OCSISTRAN DIRAD    (2025-07-03 19:05:03)
RESERVADO NA PLANILHA DE PREGÃO VIGENTES 1 UN BASV</t>
      </text>
    </comment>
    <comment authorId="0" ref="F455">
      <text>
        <t xml:space="preserve">======
ID#AAABnIe-0I8
OCSISTRAN DIRAD    (2025-07-08 18:00:08)
Reservado 2 UN para o plano de execução DECEA 2025 CINDCATA IV</t>
      </text>
    </comment>
  </commentList>
  <extLst>
    <ext uri="GoogleSheetsCustomDataVersion2">
      <go:sheetsCustomData xmlns:go="http://customooxmlschemas.google.com/" r:id="rId1" roundtripDataSignature="AMtx7mjTrDcAIiUBN5KlDjR2nU3jXrDoi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0">
      <text>
        <t xml:space="preserve">======
ID#AAAB1bcZxrs
OCSISTRAN DIRAD    (2026-03-06 13:27:02)
Reservado conforme 1ª Execução do Plano de Aquisição de viaturas 2026</t>
      </text>
    </comment>
    <comment authorId="0" ref="E224">
      <text>
        <t xml:space="preserve">======
ID#AAAB22uAmjk
DIEGO RIBOURA    (2026-03-31 13:31:46)
EXECUÇÃO DECEA ENTREGA DECEA</t>
      </text>
    </comment>
    <comment authorId="0" ref="E191">
      <text>
        <t xml:space="preserve">======
ID#AAAB1bhSiyE
OCSISTRAN DIRAD    (2026-03-06 13:39:56)
Reservado conforme 1ª Execução do Plano de Aquisição de viaturas 2026</t>
      </text>
    </comment>
    <comment authorId="0" ref="E92">
      <text>
        <t xml:space="preserve">======
ID#AAAB1bcYRUQ
OCSISTRAN DIRAD    (2026-03-06 13:25:34)
Reservado conforme 1ª Execução do Plano de Aquisição de viaturas 2026</t>
      </text>
    </comment>
    <comment authorId="0" ref="E183">
      <text>
        <t xml:space="preserve">======
ID#AAAB1bhSixs
OCSISTRAN DIRAD    (2026-03-06 13:34:43)
Reservado conforme 1ª Execução do Plano de Aquisição de viaturas 2026</t>
      </text>
    </comment>
    <comment authorId="0" ref="E84">
      <text>
        <t xml:space="preserve">======
ID#AAAB2l7q7Og
DIEGO RIBOURA    (2026-03-27 13:41:21)
EXECUÇÃO DECEA CINDACTA III 1UN
------
ID#AAAB4UABz7g
DIEGO RIBOURA    (2026-04-09 16:20:10)
1 UN RESERVADO DECEA NOVO PLANO</t>
      </text>
    </comment>
    <comment authorId="0" ref="E274">
      <text>
        <t xml:space="preserve">======
ID#AAAB1bi0CCc
OCSISTRAN DIRAD    (2026-03-06 13:41:48)
Reservado conforme 1ª Execução do Plano de Aquisição de viaturas 2026</t>
      </text>
    </comment>
    <comment authorId="0" ref="E241">
      <text>
        <t xml:space="preserve">======
ID#AAAB2mcjEy0
DIEGO RIBOURA    (2026-03-27 14:26:45)
EXECUÇÃO DECEA CINDACTA 1</t>
      </text>
    </comment>
    <comment authorId="0" ref="E175">
      <text>
        <t xml:space="preserve">======
ID#AAAB1bhSixU
OCSISTRAN DIRAD    (2026-03-06 13:32:17)
Reservado conforme 1ª Execução do Plano de Aquisição de viaturas 2026</t>
      </text>
    </comment>
    <comment authorId="0" ref="E109">
      <text>
        <t xml:space="preserve">======
ID#AAAB1bcZxrw
OCSISTRAN DIRAD    (2026-03-06 13:28:28)
Reservado conforme 1ª Execução do Plano de Aquisição de viaturas 2026</t>
      </text>
    </comment>
    <comment authorId="0" ref="E76">
      <text>
        <t xml:space="preserve">======
ID#AAAB1bcYRTo
OCSISTRAN DIRAD    (2026-03-06 13:23:34)
Reservado conforme 1ª Execução do Plano de Aquisição de viaturas 2026</t>
      </text>
    </comment>
    <comment authorId="0" ref="E43">
      <text>
        <t xml:space="preserve">======
ID#AAAB4UABz8I
DIEGO RIBOURA    (2026-04-09 16:28:11)
RESERVADO DECEA NOVO PLANO</t>
      </text>
    </comment>
    <comment authorId="0" ref="E233">
      <text>
        <t xml:space="preserve">======
ID#AAAB4UABz74
DIEGO RIBOURA    (2026-04-09 16:25:09)
RESERVADO NOVO PLANO DECEA</t>
      </text>
    </comment>
    <comment authorId="0" ref="E200">
      <text>
        <t xml:space="preserve">======
ID#AAAB1bhSiyU
OCSISTRAN DIRAD    (2026-03-06 13:40:16)
Reservado conforme 1ª Execução do Plano de Aquisição de viaturas 2026</t>
      </text>
    </comment>
    <comment authorId="0" ref="E167">
      <text>
        <t xml:space="preserve">======
ID#AAAB1bcZxsI
OCSISTRAN DIRAD    (2026-03-06 13:31:53)
Reservado conforme 1ª Execução do Plano de Aquisição de viaturas 2026</t>
      </text>
    </comment>
    <comment authorId="0" ref="E258">
      <text>
        <t xml:space="preserve">======
ID#AAAB2jwEhH0
DIEGO RIBOURA    (2026-03-26 18:52:21)
plano de aquisição DECEA</t>
      </text>
    </comment>
    <comment authorId="0" ref="E225">
      <text>
        <t xml:space="preserve">======
ID#AAAB22uAmjo
DIEGO RIBOURA    (2026-03-31 13:31:51)
EXECUÇÃO DECEA ENTREGA DECEA</t>
      </text>
    </comment>
    <comment authorId="0" ref="E192">
      <text>
        <t xml:space="preserve">======
ID#AAAB1bhSiyI
OCSISTRAN DIRAD    (2026-03-06 13:40:02)
Reservado conforme 1ª Execução do Plano de Aquisição de viaturas 2026</t>
      </text>
    </comment>
    <comment authorId="0" ref="E93">
      <text>
        <t xml:space="preserve">======
ID#AAAB1bcYRUU
OCSISTRAN DIRAD    (2026-03-06 13:25:39)
Reservado conforme 1ª Execução do Plano de Aquisição de viaturas 2026</t>
      </text>
    </comment>
    <comment authorId="0" ref="E60">
      <text>
        <t xml:space="preserve">======
ID#AAAB22uAmj0
DIEGO RIBOURA    (2026-03-31 14:35:10)
EXECUÇÃO DECEA BAFL</t>
      </text>
    </comment>
    <comment authorId="0" ref="E184">
      <text>
        <t xml:space="preserve">======
ID#AAAB3JaFNKk
DIEGO RIBOURA    (2026-04-10 14:08:48)
RESERVADO PLANO DE EXECUÇÃO DECEA AGUARDANDO CRÉDITO</t>
      </text>
    </comment>
    <comment authorId="0" ref="E118">
      <text>
        <t xml:space="preserve">======
ID#AAAB1bcZxr4
OCSISTRAN DIRAD    (2026-03-06 13:29:02)
Reservado conforme 1ª Execução do Plano de Aquisição de viaturas 2026</t>
      </text>
    </comment>
    <comment authorId="0" ref="E85">
      <text>
        <t xml:space="preserve">======
ID#AAAB1bcYRUA
OCSISTRAN DIRAD    (2026-03-06 13:24:09)
Reservado conforme 1ª Execução do Plano de Aquisição de viaturas 2026</t>
      </text>
    </comment>
    <comment authorId="0" ref="E242">
      <text>
        <t xml:space="preserve">======
ID#AAAB2l7q7O0
DIEGO RIBOURA    (2026-03-27 14:25:30)
EXECUÇÃO DECEA CRCEA-SE</t>
      </text>
    </comment>
    <comment authorId="0" ref="E176">
      <text>
        <t xml:space="preserve">======
ID#AAAB2mcjEzQ
DIEGO RIBOURA    (2026-03-27 14:44:05)
EXECUÇÃO DECEA</t>
      </text>
    </comment>
    <comment authorId="0" ref="E77">
      <text>
        <t xml:space="preserve">======
ID#AAAB1bcYRTs
OCSISTRAN DIRAD    (2026-03-06 13:23:43)
Reservado conforme 1ª Execução do Plano de Aquisição de viaturas 2026</t>
      </text>
    </comment>
    <comment authorId="0" ref="E44">
      <text>
        <t xml:space="preserve">======
ID#AAAB1bcYNo8
OCSISTRAN DIRAD    (2026-03-06 13:15:49)
Reservado conforme 1ª Execução do Plano de Aquisição de viaturas 2026</t>
      </text>
    </comment>
    <comment authorId="0" ref="E267">
      <text>
        <t xml:space="preserve">======
ID#AAAB1bhSiyc
OCSISTRAN DIRAD    (2026-03-06 13:41:35)
Reservado conforme 1ª Execução do Plano de Aquisição de viaturas 2026</t>
      </text>
    </comment>
    <comment authorId="0" ref="E234">
      <text>
        <t xml:space="preserve">======
ID#AAAB4UABz78
DIEGO RIBOURA    (2026-04-09 16:25:16)
RESERVADO NOVO PLANO DECEA</t>
      </text>
    </comment>
    <comment authorId="0" ref="E201">
      <text>
        <t xml:space="preserve">======
ID#AAAB1bhSiyY
OCSISTRAN DIRAD    (2026-03-06 13:40:21)
Reservado conforme 1ª Execução do Plano de Aquisição de viaturas 2026</t>
      </text>
    </comment>
    <comment authorId="0" ref="E168">
      <text>
        <t xml:space="preserve">======
ID#AAAB1bcZxsM
OCSISTRAN DIRAD    (2026-03-06 13:31:58)
Reservado conforme 1ª Execução do Plano de Aquisição de viaturas 2026</t>
      </text>
    </comment>
    <comment authorId="0" ref="E69">
      <text>
        <t xml:space="preserve">======
ID#AAAB1bcYRTY
OCSISTRAN DIRAD    (2026-03-06 13:18:24)
Reservado conforme 1ª Execução do Plano de Aquisição de viaturas 2026</t>
      </text>
    </comment>
    <comment authorId="0" ref="E36">
      <text>
        <t xml:space="preserve">======
ID#AAAB4UABz8E
DIEGO RIBOURA    (2026-04-09 16:27:11)
RESERVADO PLANO DECEA NOVO</t>
      </text>
    </comment>
    <comment authorId="0" ref="E3">
      <text>
        <t xml:space="preserve">======
ID#AAAB2oY_k8Y
OCSISTRAN DIRAD    (2026-03-29 18:59:05)
EXECUÇÃO DECEA CINDACTA I</t>
      </text>
    </comment>
    <comment authorId="0" ref="E259">
      <text>
        <t xml:space="preserve">======
ID#AAAB1bi0CC4
OCSISTRAN DIRAD    (2026-03-06 13:45:00)
Reservado conforme 1ª Execução do Plano de Aquisição de viaturas 2026</t>
      </text>
    </comment>
    <comment authorId="0" ref="E226">
      <text>
        <t xml:space="preserve">======
ID#AAAB22uAmjs
DIEGO RIBOURA    (2026-03-31 13:32:16)
EXECUÇÃO DECEA ENTREGA PAMERJ</t>
      </text>
    </comment>
    <comment authorId="0" ref="E193">
      <text>
        <t xml:space="preserve">======
ID#AAAB4UABz7M
DIEGO RIBOURA    (2026-04-09 16:15:08)
RESERVADO DECEA NOVO PLANO</t>
      </text>
    </comment>
    <comment authorId="0" ref="E94">
      <text>
        <t xml:space="preserve">======
ID#AAAB1bcZxrU
OCSISTRAN DIRAD    (2026-03-06 13:25:43)
Reservado conforme 1ª Execução do Plano de Aquisição de viaturas 2026</t>
      </text>
    </comment>
    <comment authorId="0" ref="E218">
      <text>
        <t xml:space="preserve">======
ID#AAAB4LVqGCw
DIEGO RIBOURA    (2026-04-09 14:03:37)
Plano de Execução DECEA</t>
      </text>
    </comment>
    <comment authorId="0" ref="E185">
      <text>
        <t xml:space="preserve">======
ID#AAAB4UABz7I
DIEGO RIBOURA    (2026-04-09 16:13:51)
RESERVADO DECEA NOVO PLANO</t>
      </text>
    </comment>
    <comment authorId="0" ref="E86">
      <text>
        <t xml:space="preserve">======
ID#AAAB1bcYRUE
OCSISTRAN DIRAD    (2026-03-06 13:24:13)
Reservado conforme 1ª Execução do Plano de Aquisição de viaturas 2026</t>
      </text>
    </comment>
    <comment authorId="0" ref="E243">
      <text>
        <t xml:space="preserve">======
ID#AAAB2mcjEy4
DIEGO RIBOURA    (2026-03-27 14:26:53)
EXECUÇÃO DECEA CINDACTA 1</t>
      </text>
    </comment>
    <comment authorId="0" ref="E177">
      <text>
        <t xml:space="preserve">======
ID#AAAB1bhSixY
OCSISTRAN DIRAD    (2026-03-06 13:34:21)
Reservado conforme 1ª Execução do Plano de Aquisição de viaturas 2026</t>
      </text>
    </comment>
    <comment authorId="0" ref="E78">
      <text>
        <t xml:space="preserve">======
ID#AAAB1bcYRTw
OCSISTRAN DIRAD    (2026-03-06 13:23:49)
Reservado conforme 1ª Execução do Plano de Aquisição de viaturas 2026</t>
      </text>
    </comment>
    <comment authorId="0" ref="E268">
      <text>
        <t xml:space="preserve">======
ID#AAAB1bhSiyg
OCSISTRAN DIRAD    (2026-03-06 13:41:39)
Reservado conforme 1ª Execução do Plano de Aquisição de viaturas 2026</t>
      </text>
    </comment>
    <comment authorId="0" ref="E235">
      <text>
        <t xml:space="preserve">======
ID#AAAB4UABz6M
DIEGO RIBOURA    (2026-04-09 14:59:51)
PLANO AQUISIÇÃO DECEA SIGAD 11208116</t>
      </text>
    </comment>
    <comment authorId="0" ref="E202">
      <text>
        <t xml:space="preserve">======
ID#AAAB4LVqGCs
DIEGO RIBOURA    (2026-04-09 14:03:19)
plano de execução DECEA</t>
      </text>
    </comment>
    <comment authorId="0" ref="E169">
      <text>
        <t xml:space="preserve">======
ID#AAAB1bcZxsQ
OCSISTRAN DIRAD    (2026-03-06 13:32:03)
Reservado conforme 1ª Execução do Plano de Aquisição de viaturas 2026</t>
      </text>
    </comment>
    <comment authorId="0" ref="E4">
      <text>
        <t xml:space="preserve">======
ID#AAAB2oY_k8c
OCSISTRAN DIRAD    (2026-03-29 18:59:12)
EXECUÇÃO DECEA CINDACTA I</t>
      </text>
    </comment>
    <comment authorId="0" ref="E95">
      <text>
        <t xml:space="preserve">======
ID#AAAB1bcZxrY
OCSISTRAN DIRAD    (2026-03-06 13:25:47)
Reservado conforme 1ª Execução do Plano de Aquisição de viaturas 2026</t>
      </text>
    </comment>
    <comment authorId="0" ref="E62">
      <text>
        <t xml:space="preserve">======
ID#AAAB2l7q7Ok
DIEGO RIBOURA    (2026-03-27 14:04:37)
Reservado conforme 1ª Execução do Plano de Aquisição de viaturas 2026</t>
      </text>
    </comment>
    <comment authorId="0" ref="E252">
      <text>
        <t xml:space="preserve">======
ID#AAAB1bi0CC0
OCSISTRAN DIRAD    (2026-03-06 13:44:46)
Reservado conforme 1ª Execução do Plano de Aquisição de viaturas 2026</t>
      </text>
    </comment>
    <comment authorId="0" ref="E186">
      <text>
        <t xml:space="preserve">======
ID#AAAB1bhSixw
OCSISTRAN DIRAD    (2026-03-06 13:36:08)
Reservado conforme 1ª Execução do Plano de Aquisição de viaturas 2026</t>
      </text>
    </comment>
    <comment authorId="0" ref="E87">
      <text>
        <t xml:space="preserve">======
ID#AAAB4UABz7U
DIEGO RIBOURA    (2026-04-09 16:17:37)
RESERVADO DECEA NOVO PREGÃO</t>
      </text>
    </comment>
    <comment authorId="0" ref="E21">
      <text>
        <t xml:space="preserve">======
ID#AAAB1bcYNos
OCSISTRAN DIRAD    (2026-03-06 13:14:42)
Reservado conforme 1ª Execução do Plano de Aquisição de viaturas 2026</t>
      </text>
    </comment>
    <comment authorId="0" ref="E244">
      <text>
        <t xml:space="preserve">======
ID#AAAB1bi0CCs
OCSISTRAN DIRAD    (2026-03-06 13:43:35)
Reservado conforme 1ª Execução do Plano de Aquisição de viaturas 2026</t>
      </text>
    </comment>
    <comment authorId="0" ref="E178">
      <text>
        <t xml:space="preserve">======
ID#AAAB2l7q7Ow
DIEGO RIBOURA    (2026-03-27 14:19:42)
EXECUÇÃO DECEA BAFL</t>
      </text>
    </comment>
    <comment authorId="0" ref="E79">
      <text>
        <t xml:space="preserve">======
ID#AAAB1bcYRT0
OCSISTRAN DIRAD    (2026-03-06 13:23:54)
Reservado conforme 1ª Execução do Plano de Aquisição de viaturas 2026</t>
      </text>
    </comment>
    <comment authorId="0" ref="E269">
      <text>
        <t xml:space="preserve">======
ID#AAAB1bhSiyk
OCSISTRAN DIRAD    (2026-03-06 13:41:43)
Reservado conforme 1ª Execução do Plano de Aquisição de viaturas 2026</t>
      </text>
    </comment>
    <comment authorId="0" ref="E13">
      <text>
        <t xml:space="preserve">======
ID#AAAB1bcYNoo
OCSISTRAN DIRAD    (2026-03-06 13:14:06)
Reservado conforme 1ª Execução do Plano de Aquisição de viaturas 2026</t>
      </text>
    </comment>
    <comment authorId="0" ref="E236">
      <text>
        <t xml:space="preserve">======
ID#AAAB1bi0CCg
OCSISTRAN DIRAD    (2026-03-06 13:43:22)
Reservado conforme 1ª Execução do Plano de Aquisição de viaturas 2026</t>
      </text>
    </comment>
    <comment authorId="0" ref="E170">
      <text>
        <t xml:space="preserve">======
ID#AAAB2mcjEzI
DIEGO RIBOURA    (2026-03-27 14:42:54)
EXECUÇÃO DECEA</t>
      </text>
    </comment>
    <comment authorId="0" ref="E71">
      <text>
        <t xml:space="preserve">======
ID#AAAB2mcjEzA
DIEGO RIBOURA    (2026-03-27 14:36:43)
EXECUÇÃO DECEA PAME-RJ</t>
      </text>
    </comment>
    <comment authorId="0" ref="E38">
      <text>
        <t xml:space="preserve">======
ID#AAAB1bcYNo0
OCSISTRAN DIRAD    (2026-03-06 13:15:39)
Reservado conforme 1ª Execução do Plano de Aquisição de viaturas 2026</t>
      </text>
    </comment>
    <comment authorId="0" ref="E5">
      <text>
        <t xml:space="preserve">======
ID#AAAB2oY_k8g
OCSISTRAN DIRAD    (2026-03-29 18:59:25)
EXECUÇÃO DECEA ICEA</t>
      </text>
    </comment>
    <comment authorId="0" ref="E96">
      <text>
        <t xml:space="preserve">======
ID#AAAB1bcZxrc
OCSISTRAN DIRAD    (2026-03-06 13:25:52)
Reservado conforme 1ª Execução do Plano de Aquisição de viaturas 2026</t>
      </text>
    </comment>
    <comment authorId="0" ref="E187">
      <text>
        <t xml:space="preserve">======
ID#AAAB1bhSix0
OCSISTRAN DIRAD    (2026-03-06 13:36:13)
Reservado conforme 1ª Execução do Plano de Aquisição de viaturas 2026</t>
      </text>
    </comment>
    <comment authorId="0" ref="E88">
      <text>
        <t xml:space="preserve">======
ID#AAAB4UABz7Y
DIEGO RIBOURA    (2026-04-09 16:17:49)
RESERVADO DECEA NOVO PREGÃO</t>
      </text>
    </comment>
    <comment authorId="0" ref="E22">
      <text>
        <t xml:space="preserve">======
ID#AAAB2oY_k8k
OCSISTRAN DIRAD    (2026-03-29 19:00:03)
EXECUÇÃO DECEA CINDACTA I</t>
      </text>
    </comment>
    <comment authorId="0" ref="E245">
      <text>
        <t xml:space="preserve">======
ID#AAAB1bi0CCw
OCSISTRAN DIRAD    (2026-03-06 13:44:41)
Reservado conforme 1ª Execução do Plano de Aquisição de viaturas 2026</t>
      </text>
    </comment>
    <comment authorId="0" ref="E179">
      <text>
        <t xml:space="preserve">======
ID#AAAB1bhSixc
OCSISTRAN DIRAD    (2026-03-06 13:34:25)
Reservado conforme 1ª Execução do Plano de Aquisição de viaturas 2026</t>
      </text>
    </comment>
    <comment authorId="0" ref="E80">
      <text>
        <t xml:space="preserve">======
ID#AAAB1bcYRT4
OCSISTRAN DIRAD    (2026-03-06 13:23:59)
Reservado conforme 1ª Execução do Plano de Aquisição de viaturas 2026</t>
      </text>
    </comment>
    <comment authorId="0" ref="E237">
      <text>
        <t xml:space="preserve">======
ID#AAAB1bi0CCk
OCSISTRAN DIRAD    (2026-03-06 13:43:26)
Reservado conforme 1ª Execução do Plano de Aquisição de viaturas 2026</t>
      </text>
    </comment>
    <comment authorId="0" ref="E171">
      <text>
        <t xml:space="preserve">======
ID#AAAB2mcjEzM
DIEGO RIBOURA    (2026-03-27 14:43:12)
EXECUÇÃO DECEA</t>
      </text>
    </comment>
    <comment authorId="0" ref="E72">
      <text>
        <t xml:space="preserve">======
ID#AAAB1bcYRTc
OCSISTRAN DIRAD    (2026-03-06 13:18:29)
Reservado conforme 1ª Execução do Plano de Aquisição de viaturas 2026</t>
      </text>
    </comment>
    <comment authorId="0" ref="E97">
      <text>
        <t xml:space="preserve">======
ID#AAAB1bcZxrg
OCSISTRAN DIRAD    (2026-03-06 13:25:57)
Reservado conforme 1ª Execução do Plano de Aquisição de viaturas 2026</t>
      </text>
    </comment>
    <comment authorId="0" ref="E64">
      <text>
        <t xml:space="preserve">======
ID#AAAB1bcYNpE
OCSISTRAN DIRAD    (2026-03-06 13:16:31)
Reservado conforme 1ª Execução do Plano de Aquisição de viaturas 2026</t>
      </text>
    </comment>
    <comment authorId="0" ref="E188">
      <text>
        <t xml:space="preserve">======
ID#AAAB1bhSix4
OCSISTRAN DIRAD    (2026-03-06 13:36:17)
Reservado conforme 1ª Execução do Plano de Aquisição de viaturas 2026</t>
      </text>
    </comment>
    <comment authorId="0" ref="E89">
      <text>
        <t xml:space="preserve">======
ID#AAAB1bcYRUI
OCSISTRAN DIRAD    (2026-03-06 13:24:20)
Reservado conforme 1ª Execução do Plano de Aquisição de viaturas 2026</t>
      </text>
    </comment>
    <comment authorId="0" ref="E180">
      <text>
        <t xml:space="preserve">======
ID#AAAB1bhSixg
OCSISTRAN DIRAD    (2026-03-06 13:34:30)
Reservado conforme 1ª Execução do Plano de Aquisição de viaturas 2026</t>
      </text>
    </comment>
    <comment authorId="0" ref="E81">
      <text>
        <t xml:space="preserve">======
ID#AAAB2l7q7Oc
DIEGO RIBOURA    (2026-03-27 13:40:27)
plano execução DECEA CINDACTA III</t>
      </text>
    </comment>
    <comment authorId="0" ref="E238">
      <text>
        <t xml:space="preserve">======
ID#AAAB2l7q7PA
DIEGO RIBOURA    (2026-03-27 14:26:32)
EXECUÇÃO DECEA CINDACTA 1</t>
      </text>
    </comment>
    <comment authorId="0" ref="E172">
      <text>
        <t xml:space="preserve">======
ID#AAAB1bhSixM
OCSISTRAN DIRAD    (2026-03-06 13:32:07)
Reservado conforme 1ª Execução do Plano de Aquisição de viaturas 2026</t>
      </text>
    </comment>
    <comment authorId="0" ref="E40">
      <text>
        <t xml:space="preserve">======
ID#AAAB1bcYNo4
OCSISTRAN DIRAD    (2026-03-06 13:15:43)
Reservado conforme 1ª Execução do Plano de Aquisição de viaturas 2026</t>
      </text>
    </comment>
    <comment authorId="0" ref="E7">
      <text>
        <t xml:space="preserve">======
ID#AAAB1bcYNok
OCSISTRAN DIRAD    (2026-03-06 13:14:00)
Reservado conforme 1ª Execução do Plano de Aquisição de viaturas 2026</t>
      </text>
    </comment>
    <comment authorId="0" ref="E230">
      <text>
        <t xml:space="preserve">======
ID#AAAB4UABz7s
DIEGO RIBOURA    (2026-04-09 16:24:48)
RESERVADO NOVO PLANO DECEA</t>
      </text>
    </comment>
    <comment authorId="0" ref="E164">
      <text>
        <t xml:space="preserve">======
ID#AAAB1bcZxr8
OCSISTRAN DIRAD    (2026-03-06 13:31:40)
Reservado conforme 1ª Execução do Plano de Aquisição de viaturas 2026</t>
      </text>
    </comment>
    <comment authorId="0" ref="E98">
      <text>
        <t xml:space="preserve">======
ID#AAAB1bcZxrk
OCSISTRAN DIRAD    (2026-03-06 13:26:52)
Reservado conforme 1ª Execução do Plano de Aquisição de viaturas 2026</t>
      </text>
    </comment>
    <comment authorId="0" ref="E65">
      <text>
        <t xml:space="preserve">======
ID#AAAB4UABz8M
DIEGO RIBOURA    (2026-04-09 16:29:29)
RESERVADO DECEA NOVO PLANO</t>
      </text>
    </comment>
    <comment authorId="0" ref="E222">
      <text>
        <t xml:space="preserve">======
ID#AAAB22uAmjc
DIEGO RIBOURA    (2026-03-31 13:31:35)
EXECUÇÃO DECEA ENTREGA DECEA</t>
      </text>
    </comment>
    <comment authorId="0" ref="E189">
      <text>
        <t xml:space="preserve">======
ID#AAAB1bhSix8
OCSISTRAN DIRAD    (2026-03-06 13:36:22)
Reservado conforme 1ª Execução do Plano de Aquisição de viaturas 2026</t>
      </text>
    </comment>
    <comment authorId="0" ref="E24">
      <text>
        <t xml:space="preserve">======
ID#AAAB1bcYNow
OCSISTRAN DIRAD    (2026-03-06 13:14:49)
Reservado conforme 1ª Execução do Plano de Aquisição de viaturas 2026</t>
      </text>
    </comment>
    <comment authorId="0" ref="E181">
      <text>
        <t xml:space="preserve">======
ID#AAAB1bhSixk
OCSISTRAN DIRAD    (2026-03-06 13:34:35)
Reservado conforme 1ª Execução do Plano de Aquisição de viaturas 2026</t>
      </text>
    </comment>
    <comment authorId="0" ref="E82">
      <text>
        <t xml:space="preserve">======
ID#AAAB1bcYRT8
OCSISTRAN DIRAD    (2026-03-06 13:24:03)
Reservado conforme 1ª Execução do Plano de Aquisição de viaturas 2026</t>
      </text>
    </comment>
    <comment authorId="0" ref="E239">
      <text>
        <t xml:space="preserve">======
ID#AAAB2l7q7PE
DIEGO RIBOURA    (2026-03-27 14:26:37)
EXECUÇÃO DECEA CINDACTA 1</t>
      </text>
    </comment>
    <comment authorId="0" ref="E74">
      <text>
        <t xml:space="preserve">======
ID#AAAB1bcYRTg
OCSISTRAN DIRAD    (2026-03-06 13:18:35)
Reservado conforme 1ª Execução do Plano de Aquisição de viaturas 2026</t>
      </text>
    </comment>
    <comment authorId="0" ref="E231">
      <text>
        <t xml:space="preserve">======
ID#AAAB4UABz7w
DIEGO RIBOURA    (2026-04-09 16:24:56)
RESERVADO NOVO PLANO DECEA</t>
      </text>
    </comment>
    <comment authorId="0" ref="E198">
      <text>
        <t xml:space="preserve">======
ID#AAAB1bhSiyM
OCSISTRAN DIRAD    (2026-03-06 13:40:07)
Reservado conforme 1ª Execução do Plano de Aquisição de viaturas 2026</t>
      </text>
    </comment>
    <comment authorId="0" ref="E165">
      <text>
        <t xml:space="preserve">======
ID#AAAB1bcZxsA
OCSISTRAN DIRAD    (2026-03-06 13:31:45)
Reservado conforme 1ª Execução do Plano de Aquisição de viaturas 2026</t>
      </text>
    </comment>
    <comment authorId="0" ref="E99">
      <text>
        <t xml:space="preserve">======
ID#AAAB1bcZxro
OCSISTRAN DIRAD    (2026-03-06 13:26:57)
Reservado conforme 1ª Execução do Plano de Aquisição de viaturas 2026</t>
      </text>
    </comment>
    <comment authorId="0" ref="E66">
      <text>
        <t xml:space="preserve">======
ID#AAAB4UABz8Q
DIEGO RIBOURA    (2026-04-09 16:29:41)
RESERVADO DECEA NOVO PLANO</t>
      </text>
    </comment>
    <comment authorId="0" ref="E223">
      <text>
        <t xml:space="preserve">======
ID#AAAB22uAmjg
DIEGO RIBOURA    (2026-03-31 13:31:42)
EXECUÇÃO DECEA ENTREGA DECEA</t>
      </text>
    </comment>
    <comment authorId="0" ref="E190">
      <text>
        <t xml:space="preserve">======
ID#AAAB1bhSiyA
OCSISTRAN DIRAD    (2026-03-06 13:36:26)
Reservado conforme 1ª Execução do Plano de Aquisição de viaturas 2026</t>
      </text>
    </comment>
    <comment authorId="0" ref="E91">
      <text>
        <t xml:space="preserve">======
ID#AAAB1bcYRUM
OCSISTRAN DIRAD    (2026-03-06 13:25:30)
Reservado conforme 1ª Execução do Plano de Aquisição de viaturas 2026</t>
      </text>
    </comment>
    <comment authorId="0" ref="E182">
      <text>
        <t xml:space="preserve">======
ID#AAAB1bhSixo
OCSISTRAN DIRAD    (2026-03-06 13:34:39)
Reservado conforme 1ª Execução do Plano de Aquisição de viaturas 2026</t>
      </text>
    </comment>
    <comment authorId="0" ref="E149">
      <text>
        <t xml:space="preserve">======
ID#AAAB2oY_k8U
OCSISTRAN DIRAD    (2026-03-29 18:57:09)
EXECUÇÃO DECEA CINDACTA I</t>
      </text>
    </comment>
    <comment authorId="0" ref="E116">
      <text>
        <t xml:space="preserve">======
ID#AAAB1bcZxr0
OCSISTRAN DIRAD    (2026-03-06 13:28:34)
Reservado conforme 1ª Execução do Plano de Aquisição de viaturas 2026</t>
      </text>
    </comment>
    <comment authorId="0" ref="E83">
      <text>
        <t xml:space="preserve">======
ID#AAAB4UABz7Q
DIEGO RIBOURA    (2026-04-09 16:17:05)
RESERVADO DECEA NOVO PREGÃO</t>
      </text>
    </comment>
    <comment authorId="0" ref="E240">
      <text>
        <t xml:space="preserve">======
ID#AAAB1bi0CCo
OCSISTRAN DIRAD    (2026-03-06 13:43:31)
Reservado conforme 1ª Execução do Plano de Aquisição de viaturas 2026</t>
      </text>
    </comment>
    <comment authorId="0" ref="E174">
      <text>
        <t xml:space="preserve">======
ID#AAAB1bhSixQ
OCSISTRAN DIRAD    (2026-03-06 13:32:12)
Reservado conforme 1ª Execução do Plano de Aquisição de viaturas 2026</t>
      </text>
    </comment>
    <comment authorId="0" ref="E75">
      <text>
        <t xml:space="preserve">======
ID#AAAB1bcYRTk
OCSISTRAN DIRAD    (2026-03-06 13:18:39)
Reservado conforme 1ª Execução do Plano de Aquisição de viaturas 2026</t>
      </text>
    </comment>
    <comment authorId="0" ref="E232">
      <text>
        <t xml:space="preserve">======
ID#AAAB4UABz70
DIEGO RIBOURA    (2026-04-09 16:25:03)
RESERVADO NOVO PLANO DECEA</t>
      </text>
    </comment>
    <comment authorId="0" ref="E199">
      <text>
        <t xml:space="preserve">======
ID#AAAB1bhSiyQ
OCSISTRAN DIRAD    (2026-03-06 13:40:11)
Reservado conforme 1ª Execução do Plano de Aquisição de viaturas 2026</t>
      </text>
    </comment>
    <comment authorId="0" ref="E166">
      <text>
        <t xml:space="preserve">======
ID#AAAB1bcZxsE
OCSISTRAN DIRAD    (2026-03-06 13:31:49)
Reservado conforme 1ª Execução do Plano de Aquisição de viaturas 2026</t>
      </text>
    </comment>
  </commentList>
  <extLst>
    <ext uri="GoogleSheetsCustomDataVersion2">
      <go:sheetsCustomData xmlns:go="http://customooxmlschemas.google.com/" r:id="rId1" roundtripDataSignature="AMtx7mibVy3HmlGzWn+g5u/RVpq2kq/Jf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ID#AAABnMnFMSw
OCSISTRAN DIRAD    (2025-07-09 12:53:30)
Reservado plano de execução DECEA 2025 CRCEA-SE 1UN</t>
      </text>
    </comment>
    <comment authorId="0" ref="E3">
      <text>
        <t xml:space="preserve">======
ID#AAABnY4fdKs
OCSISTRAN DIRAD    (2025-07-15 16:50:00)
RESERVADO CIAER 4 UN CONFORME Ofício nº 14/SMT-DPI/2013 SIGAD 11168218</t>
      </text>
    </comment>
    <comment authorId="0" ref="E18">
      <text>
        <t xml:space="preserve">======
ID#AAABm778J_M
OCSISTRAN DIRAD    (2025-07-03 18:51:46)
Reservado plano de execução SDAP 2025</t>
      </text>
    </comment>
    <comment authorId="0" ref="E16">
      <text>
        <t xml:space="preserve">======
ID#AAABnMXCFc0
OCSISTRAN DIRAD    (2025-07-09 14:18:12)
Reservado plano de execução SDAP 2025</t>
      </text>
    </comment>
    <comment authorId="0" ref="E15">
      <text>
        <t xml:space="preserve">======
ID#AAABm778J_I
OCSISTRAN DIRAD    (2025-07-03 18:51:41)
Reservado plano de execução SDAP 2025</t>
      </text>
    </comment>
    <comment authorId="0" ref="E14">
      <text>
        <t xml:space="preserve">======
ID#AAABm778J_E
OCSISTRAN DIRAD    (2025-07-03 18:51:22)
Reservado plano de execução SDAP 2025</t>
      </text>
    </comment>
    <comment authorId="0" ref="E28">
      <text>
        <t xml:space="preserve">======
ID#AAABnWDl43Y
OCSISTRAN DIRAD    (2025-07-14 16:18:28)
Reservado plano de execução DECEA 2025 CINDACTA 4</t>
      </text>
    </comment>
    <comment authorId="0" ref="E26">
      <text>
        <t xml:space="preserve">======
ID#AAABm778J_U
OCSISTRAN DIRAD    (2025-07-03 18:52:01)
Reservado plano de execução SDAP 2025</t>
      </text>
    </comment>
    <comment authorId="0" ref="E24">
      <text>
        <t xml:space="preserve">======
ID#AAAB1SW8ILw
OCSISTRAN DIRAD    (2026-03-03 16:09:50)
eMEPENHADO PARA COMARA. CRÉDITO DE EMENDA PARLAMENTAR.</t>
      </text>
    </comment>
    <comment authorId="0" ref="E22">
      <text>
        <t xml:space="preserve">======
ID#AAABm778J_Q
OCSISTRAN DIRAD    (2025-07-03 18:51:55)
Reservado plano de execução SDAP 2025</t>
      </text>
    </comment>
  </commentList>
  <extLst>
    <ext uri="GoogleSheetsCustomDataVersion2">
      <go:sheetsCustomData xmlns:go="http://customooxmlschemas.google.com/" r:id="rId1" roundtripDataSignature="AMtx7mi6naaYAHwEcQUT8m59VsU5foXiK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0">
      <text>
        <t xml:space="preserve">======
ID#AAABm71UrHw
OCSISTRAN DIRAD    (2025-07-03 18:16:33)
reservado plano de execução SDAP 2025 1UN BAPV , 1UN AFA</t>
      </text>
    </comment>
    <comment authorId="0" ref="E3">
      <text>
        <t xml:space="preserve">======
ID#AAABnIe-0GE
OCSISTRAN DIRAD    (2025-07-08 17:51:59)
Reservado plano de execução DECEA 2025 CINDACTA2 1UN</t>
      </text>
    </comment>
    <comment authorId="0" ref="E96">
      <text>
        <t xml:space="preserve">======
ID#AAABm7sFizk
OCSISTRAN DIRAD    (2025-07-03 16:33:53)
reservado plano de execução 2025 1UN EPCAR</t>
      </text>
    </comment>
    <comment authorId="0" ref="E63">
      <text>
        <t xml:space="preserve">======
ID#AAABm7764ag
OCSISTRAN DIRAD    (2025-07-03 18:44:27)
reservado plano de execução SDAP 2025 1UN EPCAR 1 UN BAAN</t>
      </text>
    </comment>
    <comment authorId="0" ref="E158">
      <text>
        <t xml:space="preserve">======
ID#AAABnWDl4xg
OCSISTRAN DIRAD    (2025-07-14 14:46:39)
Reservado plano de execução DECEA 2UN DECEA</t>
      </text>
    </comment>
    <comment authorId="0" ref="E156">
      <text>
        <t xml:space="preserve">======
ID#AAABnWDl4xc
OCSISTRAN DIRAD    (2025-07-14 14:46:05)
Reservado plano de execução DECEA 2 UN CINDACTA IV, 2 UN CINDACTA I</t>
      </text>
    </comment>
    <comment authorId="0" ref="E90">
      <text>
        <t xml:space="preserve">======
ID#AAABnWDl41g
OCSISTRAN DIRAD    (2025-07-14 14:54:57)
Reservado plano de execução DECEA 1UN CINDACTA1</t>
      </text>
    </comment>
    <comment authorId="0" ref="E154">
      <text>
        <t xml:space="preserve">======
ID#AAABnWDl4xU
OCSISTRAN DIRAD    (2025-07-14 14:44:50)
Reservado plano de execução DECEA 3UN CINDACTA II 1 UN CINDACTA I</t>
      </text>
    </comment>
    <comment authorId="0" ref="E20">
      <text>
        <t xml:space="preserve">======
ID#AAABnIe-0Fw
OCSISTRAN DIRAD    (2025-07-08 17:42:56)
Reservado plano de execução DECEA 2025 CRCEA-SE</t>
      </text>
    </comment>
    <comment authorId="0" ref="E113">
      <text>
        <t xml:space="preserve">======
ID#AAABnWDl43Q
OCSISTRAN DIRAD    (2025-07-14 16:12:09)
Reservado plano de execução DECEA 2025 4 UN CINDACTA III</t>
      </text>
    </comment>
    <comment authorId="0" ref="E177">
      <text>
        <t xml:space="preserve">======
ID#AAABnMXCFcg
OCSISTRAN DIRAD    (2025-07-09 13:09:17)
Reservado plano de execução DECEA 2025 1 UN CRCEA-SE</t>
      </text>
    </comment>
    <comment authorId="0" ref="E80">
      <text>
        <t xml:space="preserve">======
ID#AAABnIe-0J0
OCSISTRAN DIRAD    (2025-07-08 19:04:35)
Reservado 8 UN DO  plano de execução DECEA 2025 CINDACTA III 1UN, CINDACTA I 3UN, BAFL 4UN</t>
      </text>
    </comment>
    <comment authorId="0" ref="E16">
      <text>
        <t xml:space="preserve">======
ID#AAABnIe-0Fc
OCSISTRAN DIRAD    (2025-07-08 17:36:09)
reservado plano de execução DECEA 2025 BAFL 1 UN</t>
      </text>
    </comment>
    <comment authorId="0" ref="E175">
      <text>
        <t xml:space="preserve">======
ID#AAABnMXCFcc
OCSISTRAN DIRAD    (2025-07-09 13:09:00)
Reservado plano de execução DECEA 2025 1 UN PAMERJ</t>
      </text>
    </comment>
    <comment authorId="0" ref="E111">
      <text>
        <t xml:space="preserve">======
ID#AAABnWDl43A
OCSISTRAN DIRAD    (2025-07-14 16:08:52)
Reservado plano de execução DECEA 2025 1UN ICEA , 4 UN CINDACTA IV</t>
      </text>
    </comment>
    <comment authorId="0" ref="E173">
      <text>
        <t xml:space="preserve">======
ID#AAABnMXCFcU
OCSISTRAN DIRAD    (2025-07-09 13:08:29)
Reservado plano de execução DECEA 2025 1 UN CINDACTA 1</t>
      </text>
    </comment>
    <comment authorId="0" ref="E109">
      <text>
        <t xml:space="preserve">======
ID#AAABm7letmA
OCSISTRAN DIRAD    (2025-07-03 14:59:47)
reservado plano de execução 2025 1UN AFA/ 1 UN BACG (EAS)</t>
      </text>
    </comment>
    <comment authorId="0" ref="E10">
      <text>
        <t xml:space="preserve">======
ID#AAABm7764aI
OCSISTRAN DIRAD    (2025-07-03 18:41:37)
reservado plano de execução SDAP 2025 1UN GAPAF</t>
      </text>
    </comment>
    <comment authorId="0" ref="E169">
      <text>
        <t xml:space="preserve">======
ID#AAABnWDl43o
OCSISTRAN DIRAD    (2025-07-14 16:47:55)
Reservado plano de execução DECEA 2025 4 UN CINDACTA I, 1UN ICEA, 1UN 5º/1º GCC, 1 UN CRCEA-SE</t>
      </text>
    </comment>
    <comment authorId="0" ref="E167">
      <text>
        <t xml:space="preserve">======
ID#AAABm7sFizE
OCSISTRAN DIRAD    (2025-07-03 15:06:02)
reservado plano de execução 2025 1UN GAP-RJ/ 1 UN GAP-CO /  1 UN BAAN</t>
      </text>
    </comment>
    <comment authorId="0" ref="E101">
      <text>
        <t xml:space="preserve">======
ID#AAABnWDl41o
OCSISTRAN DIRAD    (2025-07-14 14:59:34)
Reservado plano de execução DECEA 2025 1UN CRCEA-SE</t>
      </text>
    </comment>
    <comment authorId="0" ref="E165">
      <text>
        <t xml:space="preserve">======
ID#AAABm7sFiy8
OCSISTRAN DIRAD    (2025-07-03 15:04:24)
reservado plano de execução 2025 1UN GAP-RF/ 1 UN EPCAR</t>
      </text>
    </comment>
    <comment authorId="0" ref="E4">
      <text>
        <t xml:space="preserve">======
ID#AAABnIe-0GQ
OCSISTRAN DIRAD    (2025-07-08 17:52:51)
Reservado plano de execução DECEA 2025 BAFL</t>
      </text>
    </comment>
    <comment authorId="0" ref="E130">
      <text>
        <t xml:space="preserve">======
ID#AAABnIe-0F4
OCSISTRAN DIRAD    (2025-07-08 17:45:52)
Reservado plano de execução DECEA 2025 5º/1º GCC</t>
      </text>
    </comment>
    <comment authorId="0" ref="E95">
      <text>
        <t xml:space="preserve">======
ID#AAABm7sFizg
OCSISTRAN DIRAD    (2025-07-03 16:33:29)
reservado plano de execução 2025 1UN GAPCO</t>
      </text>
    </comment>
    <comment authorId="0" ref="E62">
      <text>
        <t xml:space="preserve">======
ID#AAABm7764ac
OCSISTRAN DIRAD    (2025-07-03 18:44:04)
reservado plano de execução SDAP 2025 1UN COMARA</t>
      </text>
    </comment>
    <comment authorId="0" ref="E91">
      <text>
        <t xml:space="preserve">======
ID#AAABnWDl41k
OCSISTRAN DIRAD    (2025-07-14 14:56:05)
Reservado plano de execução DECEA 1 UN CINDACTA 1, 1UN CINDACTA 4, 1 UN 5º/1º GCC</t>
      </text>
    </comment>
    <comment authorId="0" ref="E155">
      <text>
        <t xml:space="preserve">======
ID#AAABnWDl4xY
OCSISTRAN DIRAD    (2025-07-14 14:45:32)
Reservado plano de execução DECEA 3UN CINDACTA 3, 2 UN CINDACTA I</t>
      </text>
    </comment>
    <comment authorId="0" ref="E153">
      <text>
        <t xml:space="preserve">======
ID#AAABnWDl4xQ
OCSISTRAN DIRAD    (2025-07-14 14:43:02)
Reservado plano de execução DECEA 2025 3 un CRCEA-SE, 1UN CINDACTA I</t>
      </text>
    </comment>
    <comment authorId="0" ref="E118">
      <text>
        <t xml:space="preserve">======
ID#AAABnIe-0JQ
OCSISTRAN DIRAD    (2025-07-08 18:24:32)
Reservado plano de execução DECEA 2025 BAFL 1 UN</t>
      </text>
    </comment>
    <comment authorId="0" ref="E116">
      <text>
        <t xml:space="preserve">======
ID#AAABnIe-0I0
OCSISTRAN DIRAD    (2025-07-08 17:57:55)
Reservado 2 UN para o plano de execução DECEA 2025 CINDCATA IV</t>
      </text>
    </comment>
    <comment authorId="0" ref="E114">
      <text>
        <t xml:space="preserve">======
ID#AAABnWDl43U
OCSISTRAN DIRAD    (2025-07-14 16:13:16)
Reservado plano de execução DECEA 2025 1UN BAFL, 1UN CINDACTA III</t>
      </text>
    </comment>
    <comment authorId="0" ref="E17">
      <text>
        <t xml:space="preserve">======
ID#AAABnIe-0Fg
OCSISTRAN DIRAD    (2025-07-08 17:37:41)
Reservado plano de execução DECEA 2025 ICEA 1UN, PAME-RJ, 1UN, CINDACTA III 1UN</t>
      </text>
    </comment>
    <comment authorId="0" ref="E176">
      <text>
        <t xml:space="preserve">======
ID#AAABnMXCFcQ
OCSISTRAN DIRAD    (2025-07-09 13:00:26)
Para atender o ofício nº 10/SEC-DE/12770, da AFA.</t>
      </text>
    </comment>
    <comment authorId="0" ref="E112">
      <text>
        <t xml:space="preserve">======
ID#AAABnWDl43M
OCSISTRAN DIRAD    (2025-07-14 16:09:41)
Reservado plano de execução DECEA 2025 6UN CRCEA-SE</t>
      </text>
    </comment>
    <comment authorId="0" ref="E143">
      <text>
        <t xml:space="preserve">======
ID#AAABnIe-0Js
OCSISTRAN DIRAD    (2025-07-08 19:00:24)
Reservado plano de execução DECEA 2025 BAFL 1 UN, CINDACTA III 2 UN</t>
      </text>
    </comment>
    <comment authorId="0" ref="E15">
      <text>
        <t xml:space="preserve">======
ID#AAABnIe-0FY
OCSISTRAN DIRAD    (2025-07-08 17:35:46)
reservado plano de execução DECEA 2025 CINDACTA I 1UN</t>
      </text>
    </comment>
    <comment authorId="0" ref="E110">
      <text>
        <t xml:space="preserve">======
ID#AAABnWDl428
OCSISTRAN DIRAD    (2025-07-14 16:07:36)
Reservado plano de execução DECEA 2025 6 UN CINDACTA I</t>
      </text>
    </comment>
    <comment authorId="0" ref="E174">
      <text>
        <t xml:space="preserve">======
ID#AAABnMXCFcY
OCSISTRAN DIRAD    (2025-07-09 13:08:43)
Reservado plano de execução DECEA 2025 1 UN CINDACTA 1</t>
      </text>
    </comment>
    <comment authorId="0" ref="E108">
      <text>
        <t xml:space="preserve">======
ID#AAABm7letl8
OCSISTRAN DIRAD    (2025-07-03 14:59:04)
reservado plano de execução 2025 1UN GAP-LS/ 1 UN GAP-AF</t>
      </text>
    </comment>
    <comment authorId="0" ref="E168">
      <text>
        <t xml:space="preserve">======
ID#AAABm7sFizI
OCSISTRAN DIRAD    (2025-07-03 15:06:28)
reservado plano de execução 2025 1UN AFA/ 1 UN GABAER</t>
      </text>
    </comment>
    <comment authorId="0" ref="E7">
      <text>
        <t xml:space="preserve">======
ID#AAABm7764aw
OCSISTRAN DIRAD    (2025-07-03 18:47:56)
reservado plano de execução SDAP 2025 1UN GAPDF</t>
      </text>
    </comment>
    <comment authorId="0" ref="E102">
      <text>
        <t xml:space="preserve">======
ID#AAABnWDl41s
OCSISTRAN DIRAD    (2025-07-14 15:00:08)
Reservado plano de execução DECEA 2025 2UN CINDACTA I, 2UN CINDACTA IV</t>
      </text>
    </comment>
    <comment authorId="0" ref="E166">
      <text>
        <t xml:space="preserve">======
ID#AAABm7sFizA
OCSISTRAN DIRAD    (2025-07-03 15:05:23)
reservado plano de execução 2025 1UN GAP-GL/ 1 UN GAP-MN</t>
      </text>
    </comment>
  </commentList>
  <extLst>
    <ext uri="GoogleSheetsCustomDataVersion2">
      <go:sheetsCustomData xmlns:go="http://customooxmlschemas.google.com/" r:id="rId1" roundtripDataSignature="AMtx7mjgQmR90J8vKaona6MTvXB6FryDR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======
ID#AAABnIe-0JI
OCSISTRAN DIRAD    (2025-07-08 18:15:49)
Reservado 02 un para plano de execução DECEA 2025 BAFL 02 UN</t>
      </text>
    </comment>
  </commentList>
  <extLst>
    <ext uri="GoogleSheetsCustomDataVersion2">
      <go:sheetsCustomData xmlns:go="http://customooxmlschemas.google.com/" r:id="rId1" roundtripDataSignature="AMtx7mg4I7rwgFL/1H/bKt/7fQbT0PUL+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ID#AAABnIe-0Jk
OCSISTRAN DIRAD    (2025-07-08 18:51:17)
Reservado plano de execução DECEA 2025 CINDACTA IV 1 UN</t>
      </text>
    </comment>
  </commentList>
  <extLst>
    <ext uri="GoogleSheetsCustomDataVersion2">
      <go:sheetsCustomData xmlns:go="http://customooxmlschemas.google.com/" r:id="rId1" roundtripDataSignature="AMtx7miQkzgjdftHUo2halsBTrSddhsjKQ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======
ID#AAABm778J_0
OCSISTRAN DIRAD    (2025-07-03 19:06:04)
RESERVADO NA PLANILHA DE PREGÃO VIGENTES 1 UN BASV</t>
      </text>
    </comment>
    <comment authorId="0" ref="D8">
      <text>
        <t xml:space="preserve">======
ID#AAABnMXCFc8
OCSISTRAN DIRAD    (2025-07-09 14:22:47)
RESERVADO NA PLANILHA DE PREGÃO VIGENTES 1 UN fays</t>
      </text>
    </comment>
    <comment authorId="0" ref="D6">
      <text>
        <t xml:space="preserve">======
ID#AAABm778J_s
OCSISTRAN DIRAD    (2025-07-03 19:03:51)
RESERVADO NA PLANILHA DE PREGÃO VIGENTES 1 UN BASV</t>
      </text>
    </comment>
  </commentList>
  <extLst>
    <ext uri="GoogleSheetsCustomDataVersion2">
      <go:sheetsCustomData xmlns:go="http://customooxmlschemas.google.com/" r:id="rId1" roundtripDataSignature="AMtx7mgptTOCMO1mTVzlgCyuQwg9Pdc04A=="/>
    </ext>
  </extLst>
</comments>
</file>

<file path=xl/sharedStrings.xml><?xml version="1.0" encoding="utf-8"?>
<sst xmlns="http://schemas.openxmlformats.org/spreadsheetml/2006/main" count="12922" uniqueCount="1005">
  <si>
    <t>PAG : 67106.002167/2025-64</t>
  </si>
  <si>
    <t>PREGÃO</t>
  </si>
  <si>
    <t>ITEM</t>
  </si>
  <si>
    <t>VEÍCULO</t>
  </si>
  <si>
    <t>NOMENCLATURA</t>
  </si>
  <si>
    <t>QTD TR</t>
  </si>
  <si>
    <t>QTD EMPENHADO</t>
  </si>
  <si>
    <t>QNT DISPONÍVEL</t>
  </si>
  <si>
    <t xml:space="preserve">STATUS em 07/07/26 </t>
  </si>
  <si>
    <t xml:space="preserve"> VALOR UNITÁRIO </t>
  </si>
  <si>
    <t xml:space="preserve"> VALOR TOTAL </t>
  </si>
  <si>
    <t>CERTAME SILOMS P260005</t>
  </si>
  <si>
    <t>OM TERMO DE REFERÊNCIA</t>
  </si>
  <si>
    <t xml:space="preserve">STATUS em 29/09/25 </t>
  </si>
  <si>
    <t>MARCA/MODELO</t>
  </si>
  <si>
    <t>CNPJ</t>
  </si>
  <si>
    <t>EMPRESA</t>
  </si>
  <si>
    <t>67106.002167/2025-64</t>
  </si>
  <si>
    <t xml:space="preserve">CONTATO </t>
  </si>
  <si>
    <t>E-MAIL</t>
  </si>
  <si>
    <t xml:space="preserve">ATA </t>
  </si>
  <si>
    <t>VIGÊNCIA</t>
  </si>
  <si>
    <t>OBSERVAÇÃO</t>
  </si>
  <si>
    <t>233_2023</t>
  </si>
  <si>
    <t>E-1</t>
  </si>
  <si>
    <t>AMBULÂNCIA DE SUPORTE BÁSICO DE VIDA</t>
  </si>
  <si>
    <t>VALOR UNITÁRIO</t>
  </si>
  <si>
    <t>VALOR TOTAL</t>
  </si>
  <si>
    <t>OM RECEBEDORA</t>
  </si>
  <si>
    <t>CONTATO</t>
  </si>
  <si>
    <t>EMAIL</t>
  </si>
  <si>
    <t> </t>
  </si>
  <si>
    <t>RENAULT - MASTER L3H2</t>
  </si>
  <si>
    <t>38.120.508/0001-04</t>
  </si>
  <si>
    <t xml:space="preserve">OBS </t>
  </si>
  <si>
    <t>G10 TRANSFORMADORA, COMERCIO E SERVICOS LTDA</t>
  </si>
  <si>
    <t>C-1-01A-DTS</t>
  </si>
  <si>
    <t>g10transformadora@gmail.com</t>
  </si>
  <si>
    <t>1
P250003</t>
  </si>
  <si>
    <t>90186_2024</t>
  </si>
  <si>
    <t>C1-01A-DTS</t>
  </si>
  <si>
    <t>CAMINHÃO LEVE</t>
  </si>
  <si>
    <t>C-1/01A/DTS</t>
  </si>
  <si>
    <t>247_2023</t>
  </si>
  <si>
    <t>C-2-01A-DTS</t>
  </si>
  <si>
    <t>C-2/01A/DTS</t>
  </si>
  <si>
    <t>90060_2024</t>
  </si>
  <si>
    <t>P1-01A-DTS</t>
  </si>
  <si>
    <t>x</t>
  </si>
  <si>
    <t>VEÍCULO ESPECIAL</t>
  </si>
  <si>
    <t>C-3-01A-DTS</t>
  </si>
  <si>
    <t>1316/2023</t>
  </si>
  <si>
    <t>C-4-01A-DTS</t>
  </si>
  <si>
    <t>C-4/01A/DTS</t>
  </si>
  <si>
    <t> 09/07/2025</t>
  </si>
  <si>
    <t>E-2</t>
  </si>
  <si>
    <t>C-4/02A/DTS</t>
  </si>
  <si>
    <t>AMBULÂNCIA DE SUPORTE AVANÇADO DE VIDA</t>
  </si>
  <si>
    <t>AFA</t>
  </si>
  <si>
    <t>C-5/02A/DTS</t>
  </si>
  <si>
    <t>FOTON 916</t>
  </si>
  <si>
    <t>46.135.499/0002-26</t>
  </si>
  <si>
    <t>FORZA DISTRIBUIDORA LTDA</t>
  </si>
  <si>
    <t>C-6-01A-DTS</t>
  </si>
  <si>
    <t>C-6/01A/DTS</t>
  </si>
  <si>
    <t xml:space="preserve">TOYOTA COROLLA XEI 2.0 FLEX AT (2062/2026)
</t>
  </si>
  <si>
    <t xml:space="preserve">VCS IMPLEMENTOS E VEICULOS LTDA
</t>
  </si>
  <si>
    <t>item 7.6.1 tr 305</t>
  </si>
  <si>
    <t xml:space="preserve">38.428.119/0001-32
</t>
  </si>
  <si>
    <t>C-7-01A-DTS</t>
  </si>
  <si>
    <t>51.552.005/0001-68</t>
  </si>
  <si>
    <t>(27) 3191-0855 / (27) 3191-0875</t>
  </si>
  <si>
    <t xml:space="preserve"> NOVO HORIZONTE COMERCIO E SERVICOS LTDA</t>
  </si>
  <si>
    <t>C-7/01A/DTS</t>
  </si>
  <si>
    <t>licitacao@vcsimplementos.com</t>
  </si>
  <si>
    <t>755/2026</t>
  </si>
  <si>
    <t>C-8-01A-DTS</t>
  </si>
  <si>
    <t>1311/2023</t>
  </si>
  <si>
    <t>C-9-01A-DTS</t>
  </si>
  <si>
    <t>QTD DISPONÍVEL ERRADA SILOMS</t>
  </si>
  <si>
    <t>C-9/01A/DTS</t>
  </si>
  <si>
    <t>E-1/01A/DTS</t>
  </si>
  <si>
    <t>E-10-02A-DTS</t>
  </si>
  <si>
    <t>E-10/02A/DTS</t>
  </si>
  <si>
    <t> 26/06/2025</t>
  </si>
  <si>
    <t>BAAN</t>
  </si>
  <si>
    <t>FOTON 917</t>
  </si>
  <si>
    <t>E-11/02A/DTS</t>
  </si>
  <si>
    <t>E-12-03B-DTS</t>
  </si>
  <si>
    <t>CINDACTA 1</t>
  </si>
  <si>
    <t>HYUNDAI/ HD80 COM CARROCERIA</t>
  </si>
  <si>
    <t>E-12/02B/DTS</t>
  </si>
  <si>
    <t>34.263.393/0001-48</t>
  </si>
  <si>
    <t>DELTA COMERCIAL E SERVICOS LTDA</t>
  </si>
  <si>
    <t>E-12/03B/DTS</t>
  </si>
  <si>
    <t>62 98538-1830</t>
  </si>
  <si>
    <t>BAFL</t>
  </si>
  <si>
    <t>E-13-01A-DTS</t>
  </si>
  <si>
    <t>deltacomercial08@gmail.com</t>
  </si>
  <si>
    <t>E-13/01A/DTS</t>
  </si>
  <si>
    <t>E-14-01A-DTS</t>
  </si>
  <si>
    <t>E-14/01A/DTS</t>
  </si>
  <si>
    <t>E-15-01A-DTS</t>
  </si>
  <si>
    <t>BACG</t>
  </si>
  <si>
    <t>E-15/01A/DTS</t>
  </si>
  <si>
    <t>FOTON 918</t>
  </si>
  <si>
    <t>E-16-01A-DTS</t>
  </si>
  <si>
    <t>E-16/01A/DTS</t>
  </si>
  <si>
    <t>E-17-01A-DTS</t>
  </si>
  <si>
    <t>E-17/01A/DTS</t>
  </si>
  <si>
    <t>E-19/01A/DTS</t>
  </si>
  <si>
    <t>CRCEA-SE</t>
  </si>
  <si>
    <t>E-22-01A-DTS</t>
  </si>
  <si>
    <t>BAFZ</t>
  </si>
  <si>
    <t>E-25-01A-DTS</t>
  </si>
  <si>
    <t>E-26-01A-DTS</t>
  </si>
  <si>
    <t>E-26/01A/DTS</t>
  </si>
  <si>
    <t>BAPV</t>
  </si>
  <si>
    <t>FOTON 919</t>
  </si>
  <si>
    <t>E-27-01A-DTS</t>
  </si>
  <si>
    <t>E-27/01A/DTS</t>
  </si>
  <si>
    <t>FURGÃO LEVE</t>
  </si>
  <si>
    <t>E-4/02A/DTS</t>
  </si>
  <si>
    <t>E-6/01A/DTS</t>
  </si>
  <si>
    <t>E-7-01A-DTS</t>
  </si>
  <si>
    <t>E-8-01A-DTS</t>
  </si>
  <si>
    <t xml:space="preserve"> DECEA</t>
  </si>
  <si>
    <t>PEUGEOT PARTNER</t>
  </si>
  <si>
    <t>E-8/01A/DTS</t>
  </si>
  <si>
    <t>NOVO HORIZONTE COMERCIO E SERVIÇOS LTDA</t>
  </si>
  <si>
    <t>(62) 32286752</t>
  </si>
  <si>
    <t>E-9-01A-DTS</t>
  </si>
  <si>
    <t>admnovohorizontecomercio@gmail.com nhcomercio.vendas02@gmail.com</t>
  </si>
  <si>
    <t>E1-01A-DTS</t>
  </si>
  <si>
    <t>BANT</t>
  </si>
  <si>
    <t>90101_2024</t>
  </si>
  <si>
    <t>E2-01A-DTS</t>
  </si>
  <si>
    <t>E2-02A-DTS</t>
  </si>
  <si>
    <t>MÓDULO DE 
ABASTECIMENTO 15.000 L PARA DIESEL S10</t>
  </si>
  <si>
    <t>90091_2024</t>
  </si>
  <si>
    <t>24/09/2024 a 23/09/2025</t>
  </si>
  <si>
    <t>MÓDULO DE 
ABASTECIMENTO 15.000 L PARA GASOLINA</t>
  </si>
  <si>
    <t>BASM</t>
  </si>
  <si>
    <t>FOTON 920</t>
  </si>
  <si>
    <t>P-1/02A/DTS</t>
  </si>
  <si>
    <t xml:space="preserve">P-1/02A/DTS </t>
  </si>
  <si>
    <t>90103_2024</t>
  </si>
  <si>
    <t>06/08/2024 a 05/08/2025</t>
  </si>
  <si>
    <t>P-10-01A-DTS</t>
  </si>
  <si>
    <t>P-10/01A/DTS</t>
  </si>
  <si>
    <t xml:space="preserve">P-10/01A/DTS </t>
  </si>
  <si>
    <t>P-11-01A-DTS</t>
  </si>
  <si>
    <t>P-11/01A/DTS</t>
  </si>
  <si>
    <t>P-12-02A-DTS</t>
  </si>
  <si>
    <t>COMARA</t>
  </si>
  <si>
    <t>FOTON 921</t>
  </si>
  <si>
    <t>P-12/02A/DTS</t>
  </si>
  <si>
    <t>P-13/01A/DTS</t>
  </si>
  <si>
    <t>P-14/01A/DTS</t>
  </si>
  <si>
    <t>P-15/01A/DTS</t>
  </si>
  <si>
    <t>GAP-AF</t>
  </si>
  <si>
    <t>BASV</t>
  </si>
  <si>
    <t>P-18-01A-DTS</t>
  </si>
  <si>
    <t>FOTON 922</t>
  </si>
  <si>
    <t>P-18/01A/DTS</t>
  </si>
  <si>
    <t>P-19-01A-DTS</t>
  </si>
  <si>
    <t>P-2/01A/DTS</t>
  </si>
  <si>
    <t>CINDACTA 3</t>
  </si>
  <si>
    <t>P-3-01A-DTS</t>
  </si>
  <si>
    <t>P-3/01A/DTS</t>
  </si>
  <si>
    <t>90121_2024</t>
  </si>
  <si>
    <t>P-5-01A-DTS</t>
  </si>
  <si>
    <t>P-5/01A/DTS</t>
  </si>
  <si>
    <t>FURGÃO LEVE (TIPO VAN)</t>
  </si>
  <si>
    <t>03/09/2024 a 02/09/2025</t>
  </si>
  <si>
    <t>EEAR</t>
  </si>
  <si>
    <t>P-6-01A-DTS</t>
  </si>
  <si>
    <t>P-6/01A/DTS</t>
  </si>
  <si>
    <t>GAP-CO</t>
  </si>
  <si>
    <t>CINDACTA 2</t>
  </si>
  <si>
    <t>P-7-01A-DTS</t>
  </si>
  <si>
    <t>FOTON 923</t>
  </si>
  <si>
    <t>FIAT/ NOVA DUCATO CARGO 2.2 DIESEL 2024</t>
  </si>
  <si>
    <t>16.701.716/0001-56</t>
  </si>
  <si>
    <t>FCA FIAT CHRYSLER AUTOMOVEIS BRASIL LTDA</t>
  </si>
  <si>
    <t>P-8/01A/DTS</t>
  </si>
  <si>
    <t>11 993795516</t>
  </si>
  <si>
    <t>graziela.souza@stellantis.com    //  rodrigo.magalhaes@stellantis.com</t>
  </si>
  <si>
    <t>EPCAR</t>
  </si>
  <si>
    <t>GAP-DF</t>
  </si>
  <si>
    <t>FOTON 924</t>
  </si>
  <si>
    <t>CISCEA</t>
  </si>
  <si>
    <t>GAP-GL</t>
  </si>
  <si>
    <t>FOTON 925</t>
  </si>
  <si>
    <t>GAP-RF</t>
  </si>
  <si>
    <t>FOTON 926</t>
  </si>
  <si>
    <t>GAP-BE</t>
  </si>
  <si>
    <t>GABAER</t>
  </si>
  <si>
    <t>CAMINHÃO BAÚ</t>
  </si>
  <si>
    <t>GAP-RJ</t>
  </si>
  <si>
    <t>FOTON 927</t>
  </si>
  <si>
    <t>GAP-BR</t>
  </si>
  <si>
    <t>CINDACTA 4</t>
  </si>
  <si>
    <t>IVECO/ TECTOR 150E21 (4x2)</t>
  </si>
  <si>
    <t>46.135.499/0001-45</t>
  </si>
  <si>
    <t>(62) 9 9967-4771</t>
  </si>
  <si>
    <t>temporarioforza@gmail.com</t>
  </si>
  <si>
    <t>cae</t>
  </si>
  <si>
    <t>67106.000472/2025-11</t>
  </si>
  <si>
    <r>
      <rPr>
        <rFont val="Arial"/>
        <b/>
        <color rgb="FF000000"/>
        <sz val="11.0"/>
      </rPr>
      <t>STATUS</t>
    </r>
    <r>
      <rPr>
        <rFont val="Arial"/>
        <color rgb="FF000000"/>
        <sz val="11.0"/>
      </rPr>
      <t xml:space="preserve">  ABERTURA DIA 14/04</t>
    </r>
  </si>
  <si>
    <t>GAP-SJ</t>
  </si>
  <si>
    <t>FOTON 928</t>
  </si>
  <si>
    <t>QTD DISPONÍVEL</t>
  </si>
  <si>
    <t>MARCA</t>
  </si>
  <si>
    <t>GAP-SP</t>
  </si>
  <si>
    <t>P12-02A-DTS</t>
  </si>
  <si>
    <t>FOTON 929</t>
  </si>
  <si>
    <t xml:space="preserve">Carro de Operações </t>
  </si>
  <si>
    <t>2
P250003</t>
  </si>
  <si>
    <t>C2-01A-DTS</t>
  </si>
  <si>
    <t>CAMINHÃO MÉDIO/PESADO</t>
  </si>
  <si>
    <t>DECEA</t>
  </si>
  <si>
    <t>FIAT TITANO</t>
  </si>
  <si>
    <t xml:space="preserve">VCS IMPLEMENTOS E VEICULOS LTDA
</t>
  </si>
  <si>
    <t>PICK UP CABINE SIMPLES</t>
  </si>
  <si>
    <t>NOVA STRADA FREEDOM CP MT</t>
  </si>
  <si>
    <t>FOTON 1722</t>
  </si>
  <si>
    <t xml:space="preserve">FORZA DISTRIBUIDORA LTDA
</t>
  </si>
  <si>
    <t>CLA</t>
  </si>
  <si>
    <t xml:space="preserve">FORZA DISTRIBUIDORA LTDA
</t>
  </si>
  <si>
    <t>CAMINHÃO TRUCADO</t>
  </si>
  <si>
    <t>CPBV-CC</t>
  </si>
  <si>
    <t>BABV</t>
  </si>
  <si>
    <t>PAMERJ</t>
  </si>
  <si>
    <t>VOLKSWAGEN MODELO 26.260 CONSTELLATION</t>
  </si>
  <si>
    <t>11.726.521/0020-00</t>
  </si>
  <si>
    <t>TRANSRIO CAMINHOES, ONIBUS, MAQUINAS E MOTORES LTDA</t>
  </si>
  <si>
    <t>12 974072062 ou 12 988939333</t>
  </si>
  <si>
    <t>marcus.turner@hotmail.com////Edson.aguiar@transrio.com.br</t>
  </si>
  <si>
    <t>REBOQUE CARGA</t>
  </si>
  <si>
    <t>CARRETAS RUSSO/ R - RUSSO 1700 1E</t>
  </si>
  <si>
    <t>35.157.698/0001-38</t>
  </si>
  <si>
    <t>MWD NEGOCIOS &amp; SOLUCOES EIRELI</t>
  </si>
  <si>
    <t>(22) 998644296</t>
  </si>
  <si>
    <t>mwdlicitacao@gmail.com</t>
  </si>
  <si>
    <t>CAMINHÃO-PIPA</t>
  </si>
  <si>
    <t>C3-01A-DTS</t>
  </si>
  <si>
    <t>SEMIRREBOQUE</t>
  </si>
  <si>
    <t>VOLKSWAGEN TRUCK &amp; BUS IND VEIC AUTOMOTORES</t>
  </si>
  <si>
    <t>CARRO GUINCHO SOCORRO LEVE</t>
  </si>
  <si>
    <t>VOLKSWAGEN / 14210 PLATAFORMA AUTO SOCORRO</t>
  </si>
  <si>
    <t>EMPILHADEIRA</t>
  </si>
  <si>
    <t>REVOGADO</t>
  </si>
  <si>
    <t xml:space="preserve"> R$                                   -  </t>
  </si>
  <si>
    <t>4
P250004</t>
  </si>
  <si>
    <t>C4-02A-DTS</t>
  </si>
  <si>
    <t xml:space="preserve">MASTER L2H2 FURGÃO 150 CV DIESEL 0KM
</t>
  </si>
  <si>
    <t xml:space="preserve">29.987.662/0001-89
</t>
  </si>
  <si>
    <t xml:space="preserve">SOCIETE COMERCIO DE VEICULOS LTDA
</t>
  </si>
  <si>
    <t xml:space="preserve">SOCIETE COMERCIO DE VEICULOS LTDA
</t>
  </si>
  <si>
    <r>
      <rPr>
        <rFont val="Arial"/>
        <b/>
        <color rgb="FF000000"/>
        <sz val="11.0"/>
      </rPr>
      <t>STATUS</t>
    </r>
    <r>
      <rPr>
        <rFont val="Arial"/>
        <color rgb="FF000000"/>
        <sz val="11.0"/>
      </rPr>
      <t xml:space="preserve">  ABERTURA DIA 14/04</t>
    </r>
  </si>
  <si>
    <t>TRATOR DE RODAS COM ROÇADEIRA</t>
  </si>
  <si>
    <t xml:space="preserve">Toyota </t>
  </si>
  <si>
    <t xml:space="preserve">59.104.760/0006-04
</t>
  </si>
  <si>
    <t>ERA PRA ONDE?</t>
  </si>
  <si>
    <t>TOYOTA DO BRASIL</t>
  </si>
  <si>
    <t>(15) 99838-3299</t>
  </si>
  <si>
    <t>danilo.massini@toyota.com.br</t>
  </si>
  <si>
    <t>GAB-BR</t>
  </si>
  <si>
    <t>59.104.760/0006-04</t>
  </si>
  <si>
    <t xml:space="preserve">59.104.760/0006-04
</t>
  </si>
  <si>
    <t>P8-01A-DTS</t>
  </si>
  <si>
    <t>GAP-MN</t>
  </si>
  <si>
    <t>MOTOCICLETA NORMAL</t>
  </si>
  <si>
    <t>FRACASADA</t>
  </si>
  <si>
    <t>TRATOR DE ESTEIRAS</t>
  </si>
  <si>
    <t>CPBV</t>
  </si>
  <si>
    <t>UNFORKLIFT/ UN16YE</t>
  </si>
  <si>
    <t>MICROTRATOR COM APARADOR DE GRAMA</t>
  </si>
  <si>
    <t>CAMINHÃO EQUIPADO COM GUINDASTE HIDRÁULICO</t>
  </si>
  <si>
    <t>VOLVO/ VMX 290 (6x4)</t>
  </si>
  <si>
    <t xml:space="preserve">MASTER L2H2 FURGÃO 150 CV DIESEL 0KM
</t>
  </si>
  <si>
    <t>PAME-RJ</t>
  </si>
  <si>
    <t>C5-02A-DTS</t>
  </si>
  <si>
    <t>CARRO DE OPERAÇÕES</t>
  </si>
  <si>
    <t>CAMINHÃO EQUIPADO COM ELEVADOR HIDRÁULICO E CESTO AÉREO</t>
  </si>
  <si>
    <t>BASC</t>
  </si>
  <si>
    <t xml:space="preserve">MITSUBISHI </t>
  </si>
  <si>
    <t xml:space="preserve">54.305.743/0011-70
</t>
  </si>
  <si>
    <t>HPE AUTOMOTORES DO BRASIL</t>
  </si>
  <si>
    <t>(11) 98167-5341</t>
  </si>
  <si>
    <t>governo@almeidaesilva.com.br</t>
  </si>
  <si>
    <t>VOLKSWAGEN/9180 COM ELEVADOR HIDRAULICO E CESTO AEREO</t>
  </si>
  <si>
    <t>RETROESCAVADEIRA COM PÁ CARREGADEIRA</t>
  </si>
  <si>
    <t xml:space="preserve">54.305.743/0011-70
</t>
  </si>
  <si>
    <t>CINDACTA II</t>
  </si>
  <si>
    <t>AGUARDANDO RECURSO</t>
  </si>
  <si>
    <t>CARRO LIMPA FOSSA</t>
  </si>
  <si>
    <t>Volkswagen / Caminhão Costellation 17.210</t>
  </si>
  <si>
    <t>31.306.830/0001-75</t>
  </si>
  <si>
    <t>ABOLICAO CAMINHOES E ONIBUS LTDA</t>
  </si>
  <si>
    <t>21 3661-9999 // 21 993362877</t>
  </si>
  <si>
    <t>catia.ferreira266@gmail.com</t>
  </si>
  <si>
    <t> NÃO POSSUI CONTRATO AINDA</t>
  </si>
  <si>
    <t>GAP-LS</t>
  </si>
  <si>
    <t>FURGÃO FRIGORÍFICO</t>
  </si>
  <si>
    <t>RENAULT / L2H2 TRANSFORMADO</t>
  </si>
  <si>
    <t>6
P250005</t>
  </si>
  <si>
    <t>C6-01A-DTS</t>
  </si>
  <si>
    <t> siloms está com número do item errado</t>
  </si>
  <si>
    <t>FURGÃO ISOTÉRMICO</t>
  </si>
  <si>
    <t xml:space="preserve">STRADA ENDURANCE CABINE PLUS 1.3 FLEX
</t>
  </si>
  <si>
    <t>60.191.278/0001-15</t>
  </si>
  <si>
    <t>CABRAL AUTOMOVEIS MULTIMARCAS LTDA</t>
  </si>
  <si>
    <t>(65)99973-9698</t>
  </si>
  <si>
    <t>contato@grupoaccomercio.com.br</t>
  </si>
  <si>
    <t>FIORINO ENDURANCE FLEX</t>
  </si>
  <si>
    <t>DIVERGÊNCIA ITEM 19 NO SILOMS / COM 1 UNIDADE DISPONÍVEL</t>
  </si>
  <si>
    <t xml:space="preserve">STRADA ENDURANCE CABINE PLUS 1.3 FLEX
</t>
  </si>
  <si>
    <t>C4-01A-DTS</t>
  </si>
  <si>
    <t>fracassado</t>
  </si>
  <si>
    <t>7
P250017</t>
  </si>
  <si>
    <t>C7-01A-DTS</t>
  </si>
  <si>
    <t>CAMINHÃO</t>
  </si>
  <si>
    <t>.</t>
  </si>
  <si>
    <t>11.726.521/0001-47</t>
  </si>
  <si>
    <t xml:space="preserve">TRANSRIO CAMINHOES, ONIBUS, MAQUINAS E MOTORES LTDA
</t>
  </si>
  <si>
    <t>VEÍCULO DE SERVIÇO</t>
  </si>
  <si>
    <t xml:space="preserve">Volkswagen 26260 carroceria carga seca
</t>
  </si>
  <si>
    <t xml:space="preserve">11.726.521/0001-47
</t>
  </si>
  <si>
    <t>ARGO DRIVE 1.0</t>
  </si>
  <si>
    <t>8
P250018</t>
  </si>
  <si>
    <t>E10-02A-DTS</t>
  </si>
  <si>
    <t xml:space="preserve">FD25
</t>
  </si>
  <si>
    <t xml:space="preserve">47.895.183/0001-14
</t>
  </si>
  <si>
    <t xml:space="preserve">MEGA IMPORTADORA MAQUINAS E PECAS LTDA
</t>
  </si>
  <si>
    <t xml:space="preserve">MEGA IMPORTADORA MAQUINAS E PECAS LTDA
</t>
  </si>
  <si>
    <t>CTLA</t>
  </si>
  <si>
    <t>9
P250021</t>
  </si>
  <si>
    <t>E12-02B-DTS</t>
  </si>
  <si>
    <t xml:space="preserve"> TRATOR DE RODAS COM ROÇADEIRA </t>
  </si>
  <si>
    <t>CLBI</t>
  </si>
  <si>
    <t>NLX754</t>
  </si>
  <si>
    <t xml:space="preserve">47.075.363/0001-50
</t>
  </si>
  <si>
    <t xml:space="preserve">COMAZI TRATORES E MAQUINAS LTDA
</t>
  </si>
  <si>
    <t>(62) 3086-9990</t>
  </si>
  <si>
    <t>licitacao@comazimaquinas.com.br</t>
  </si>
  <si>
    <t>UTILITÁRIO</t>
  </si>
  <si>
    <t xml:space="preserve">47.075.363/0001-50
</t>
  </si>
  <si>
    <t xml:space="preserve">COMAZI TRATORES E MAQUINAS LTDA
</t>
  </si>
  <si>
    <t>E13-01A-DTS</t>
  </si>
  <si>
    <t>11
P250006</t>
  </si>
  <si>
    <t>E14-01A-DTS</t>
  </si>
  <si>
    <t xml:space="preserve">TEKNA TCG42-17M
</t>
  </si>
  <si>
    <t xml:space="preserve">36.374.350/0001-65
</t>
  </si>
  <si>
    <t xml:space="preserve">DIOGO EMANUEL KUHN &amp; CIA. LTDA
</t>
  </si>
  <si>
    <t>(42) 3252-3627</t>
  </si>
  <si>
    <t xml:space="preserve"> licitacao.diogopecas@gmail.com</t>
  </si>
  <si>
    <t xml:space="preserve">36.374.350/0001-65
</t>
  </si>
  <si>
    <t>PAG</t>
  </si>
  <si>
    <t>67.106.001809/2024-27</t>
  </si>
  <si>
    <t xml:space="preserve">STATUS em 24/10/24: </t>
  </si>
  <si>
    <t xml:space="preserve">DIOGO EMANUEL KUHN &amp; CIA. LTDA
</t>
  </si>
  <si>
    <t>Coluna1</t>
  </si>
  <si>
    <t>VOLVO / VM</t>
  </si>
  <si>
    <t xml:space="preserve">03.093.776/0018-30 </t>
  </si>
  <si>
    <t>MANUPA COMERCIO EXPORTACAO IMPORTACAO DE EQUIPAMENTOS E VEICULOS ADAPTADOS LTDA</t>
  </si>
  <si>
    <t>HOMOLOGADO</t>
  </si>
  <si>
    <t>MICROÔNIBUS</t>
  </si>
  <si>
    <t xml:space="preserve"> MARCOPOLO/ATTACK 9 EXECUTIVO</t>
  </si>
  <si>
    <t>88.611.835/0018-77</t>
  </si>
  <si>
    <t>MARCOPOLO SA</t>
  </si>
  <si>
    <t>(54) 2101 4147</t>
  </si>
  <si>
    <t>rodrigo.sartori@volare.com.br</t>
  </si>
  <si>
    <t xml:space="preserve"> MANUPA COMERCIO EXPORTACAO IMPORTACAO DE EQUIPAMENTOS E VEICULOS ADAPTADOS LTDA
</t>
  </si>
  <si>
    <t>(54) 2101 4148</t>
  </si>
  <si>
    <t>CAMINHÃO BAÚ TRUCADO</t>
  </si>
  <si>
    <t>VOLVO</t>
  </si>
  <si>
    <t xml:space="preserve">03.093.776/0018-30
</t>
  </si>
  <si>
    <t xml:space="preserve">MANUPA 
</t>
  </si>
  <si>
    <t>12
P250003</t>
  </si>
  <si>
    <t>E16-01A-DTS</t>
  </si>
  <si>
    <t>(54) 2101 4149</t>
  </si>
  <si>
    <t xml:space="preserve">FOTON 916 + CESTO AEREO
</t>
  </si>
  <si>
    <t xml:space="preserve">46.135.499/0002-26
</t>
  </si>
  <si>
    <t xml:space="preserve">MERCEDES-BENS
</t>
  </si>
  <si>
    <t xml:space="preserve">08.206.867/0001-00
</t>
  </si>
  <si>
    <t>ECS COMERCIO DE VEICULOS</t>
  </si>
  <si>
    <t>(54) 2101 4150</t>
  </si>
  <si>
    <t>03.093.776/0018-30</t>
  </si>
  <si>
    <t>(62) 9 9145-5883</t>
  </si>
  <si>
    <t>(54) 2101 4151</t>
  </si>
  <si>
    <t xml:space="preserve">HOMOLOGADO </t>
  </si>
  <si>
    <t>(54) 2101 4152</t>
  </si>
  <si>
    <t xml:space="preserve">46.135.499/0001-45
</t>
  </si>
  <si>
    <t>HOMOLOGADO VENCEDOR NOVO HORIZONTE ITEM REABERTO</t>
  </si>
  <si>
    <t>(54) 2101 4153</t>
  </si>
  <si>
    <t>(54) 2101 4154</t>
  </si>
  <si>
    <t xml:space="preserve">46.135.499/0001-45
</t>
  </si>
  <si>
    <t>ÔNIBUS</t>
  </si>
  <si>
    <t xml:space="preserve">VOLKSWAGEN/17230 ONIBUS 47 + 1 LUGARES </t>
  </si>
  <si>
    <t>Foton Aumark 916</t>
  </si>
  <si>
    <t>CINDACTA3</t>
  </si>
  <si>
    <t xml:space="preserve">Volkswagen Truck &amp; bus / 14210 com carroceria metalica </t>
  </si>
  <si>
    <t xml:space="preserve">14.707.364/0001-10
</t>
  </si>
  <si>
    <t xml:space="preserve">11.726.521/0001-47 </t>
  </si>
  <si>
    <t>13
P250007</t>
  </si>
  <si>
    <t>E17-01A-DTS</t>
  </si>
  <si>
    <t>XC870BRII</t>
  </si>
  <si>
    <t xml:space="preserve">XCMG BRASIL INDUSTRIA LTDA
</t>
  </si>
  <si>
    <t>CAMINHÃO MILITAR</t>
  </si>
  <si>
    <t xml:space="preserve">14.707.364/0001-10
</t>
  </si>
  <si>
    <t xml:space="preserve">VOLKSWAGEN 11180 4X4
</t>
  </si>
  <si>
    <t xml:space="preserve">03.093.776/0018-30
</t>
  </si>
  <si>
    <t xml:space="preserve">TRANSRIO CAMINHOES, ONIBUS, MAQUINAS E MOTORES LTDA
</t>
  </si>
  <si>
    <t>Julgado e habilitado (aberto para recursos)</t>
  </si>
  <si>
    <t>14
P250003</t>
  </si>
  <si>
    <t>E19-01A-DTS</t>
  </si>
  <si>
    <t xml:space="preserve">FOTON 1722
</t>
  </si>
  <si>
    <t>PICK UP CABINE DUPLA</t>
  </si>
  <si>
    <t>FORD RANGER</t>
  </si>
  <si>
    <t>03.470.727/0041-18</t>
  </si>
  <si>
    <t>FORD MOTOR COMPANY BRASIL LTDA</t>
  </si>
  <si>
    <t>11 41745713</t>
  </si>
  <si>
    <t>dmassini@ford.com, bsanto66@ford.com, jcinotti@ford.com</t>
  </si>
  <si>
    <t>15
P250016</t>
  </si>
  <si>
    <t>E22-01A-DTS</t>
  </si>
  <si>
    <t>REBOQUE MOTOCICLETA</t>
  </si>
  <si>
    <t>GAP-DF (GSD-BR)</t>
  </si>
  <si>
    <t>ADL</t>
  </si>
  <si>
    <t xml:space="preserve">29.127.216/0001-02
</t>
  </si>
  <si>
    <t xml:space="preserve">AF EMPREENDIMENTOS LTDA
</t>
  </si>
  <si>
    <t>GAP-RJ (GSD-RJ)</t>
  </si>
  <si>
    <t>GAP-MN (GSD-MN)</t>
  </si>
  <si>
    <t>BANT (GSD-NT)</t>
  </si>
  <si>
    <t>E26-01A-DTS</t>
  </si>
  <si>
    <t>MERCEDES-BENS/ ATEGO 2429</t>
  </si>
  <si>
    <t xml:space="preserve">08.206.867/0001-00 </t>
  </si>
  <si>
    <t>ECS COMERCIO DE VEICULOS E EQUIPAMENTOS LTDA</t>
  </si>
  <si>
    <t>CAMINHONETE MILITAR</t>
  </si>
  <si>
    <t xml:space="preserve">RENAULT MASTER </t>
  </si>
  <si>
    <t xml:space="preserve">AGRALE MARRUÁ AM23 G2 - MILITAR
</t>
  </si>
  <si>
    <t xml:space="preserve">88.610.324/0001-92
</t>
  </si>
  <si>
    <t>AGRALE</t>
  </si>
  <si>
    <t>Aguardando julgamento</t>
  </si>
  <si>
    <t xml:space="preserve">29.987.662/0001-89
</t>
  </si>
  <si>
    <t xml:space="preserve">SOCIETE COMERCIO DE VEICULOS LTDA
</t>
  </si>
  <si>
    <t>GALC</t>
  </si>
  <si>
    <t>E27-01A-DTS</t>
  </si>
  <si>
    <t xml:space="preserve">PEUGEOT PARTNER </t>
  </si>
  <si>
    <t>MITSUBISHI / L200 TRITON GL</t>
  </si>
  <si>
    <t>54.305.743/0011-70</t>
  </si>
  <si>
    <t>HPE AUTOMOTORES DO BRASIL LTDA</t>
  </si>
  <si>
    <t>MERCEDES-BENS / ATEGO 1419</t>
  </si>
  <si>
    <t>DIRAD</t>
  </si>
  <si>
    <t>CARRO GUINCHO-SOCORRO PESADO</t>
  </si>
  <si>
    <t>IVECO / TECTOR 17-210</t>
  </si>
  <si>
    <t xml:space="preserve">POTTENCIAL VEICULOS ESPECIAIS LTDA
</t>
  </si>
  <si>
    <t>MITSUBISHI/L200 TRITON GL</t>
  </si>
  <si>
    <t>CAVALO MECÂNICO</t>
  </si>
  <si>
    <t>(11) 3214-4550 /(11) 98167-5341</t>
  </si>
  <si>
    <t xml:space="preserve">Volkswagen truck &amp; bus
</t>
  </si>
  <si>
    <t>TRANSRIO CAMINHOES</t>
  </si>
  <si>
    <t>HEDESA CPCD25</t>
  </si>
  <si>
    <t>48.161.058/0001-43</t>
  </si>
  <si>
    <t xml:space="preserve">BAUMASTER IMPORTACAO E COMERCIO DE MAQUINAS LTDA
</t>
  </si>
  <si>
    <t>RENAULT/ MASTER GRAND FURGÃO 2.3 16V L2H2</t>
  </si>
  <si>
    <t>00.913.443/0001-73</t>
  </si>
  <si>
    <t>RENAULT DO BRASIL S.A</t>
  </si>
  <si>
    <t>18
P250003</t>
  </si>
  <si>
    <t>FIAT / FIORINO</t>
  </si>
  <si>
    <t>E4-02A-DTS</t>
  </si>
  <si>
    <t>CARRO-PIPA</t>
  </si>
  <si>
    <t>29.127.216/0001-02</t>
  </si>
  <si>
    <t>AF EMPREENDIMENTOS LTDA</t>
  </si>
  <si>
    <t>062 3952-1122</t>
  </si>
  <si>
    <t>licitacao@afempreendimentos.com</t>
  </si>
  <si>
    <t>solicitação do GABAER em 02/12/2024 Maj Poliana</t>
  </si>
  <si>
    <t>IVECO</t>
  </si>
  <si>
    <t>CARRO DE PRESOS</t>
  </si>
  <si>
    <t xml:space="preserve">FRACASSADO </t>
  </si>
  <si>
    <t>P10-01A-DTS</t>
  </si>
  <si>
    <t>MOTOCICLETA TRAIL</t>
  </si>
  <si>
    <t>21
P250022</t>
  </si>
  <si>
    <t>P11-01A-DTS</t>
  </si>
  <si>
    <t>ok</t>
  </si>
  <si>
    <t>50.325.167/0001-09</t>
  </si>
  <si>
    <t>X CAR VEICULOS LTDA FRACASSADO</t>
  </si>
  <si>
    <t>VAN</t>
  </si>
  <si>
    <t>Jac Hunter</t>
  </si>
  <si>
    <t xml:space="preserve">11.453.341/0004-81
</t>
  </si>
  <si>
    <t xml:space="preserve">NGN DISTRIBUIDORA DE VEICULOS LTDA
</t>
  </si>
  <si>
    <t>FORD TRANSIT MINIBUS</t>
  </si>
  <si>
    <t xml:space="preserve">11.453.341/0004-81
</t>
  </si>
  <si>
    <t xml:space="preserve">NGN DISTRIBUIDORA DE VEICULOS LTDA
</t>
  </si>
  <si>
    <t>FURGÃO LEVE PARA TRANSPORTE DE CÃES</t>
  </si>
  <si>
    <t>X</t>
  </si>
  <si>
    <t>FORD/ TRANSIT FURGÃO L3H3 MT</t>
  </si>
  <si>
    <t>FORD MOTOR COMPANY BRASIL LTDA FRACASSADO</t>
  </si>
  <si>
    <t>FRACASSADO</t>
  </si>
  <si>
    <t>CARRO PATRULHA</t>
  </si>
  <si>
    <t>22
P250012</t>
  </si>
  <si>
    <t xml:space="preserve">TOYAMA
</t>
  </si>
  <si>
    <t>76.074.376/0001-02</t>
  </si>
  <si>
    <t xml:space="preserve">AGROVET SUL SERVICOS E COMERCIO DE EQUIPAMENTOS LTDA
</t>
  </si>
  <si>
    <t>Jac Hunter  4X4</t>
  </si>
  <si>
    <t>MICRO TRATOR C/ APARADOR DE GRAMA</t>
  </si>
  <si>
    <t xml:space="preserve">MANUPA COMERCIO EXPORTACAO IMPORTACAO DE EQUIPAMENTOS E VEICULOS ADAPTADOS LTDA
</t>
  </si>
  <si>
    <t xml:space="preserve">03.093.776/0018-30
</t>
  </si>
  <si>
    <t xml:space="preserve">MANUPA COMERCIO EXPORTACAO IMPORTACAO DE EQUIPAMENTOS E VEICULOS ADAPTADOS LTDA
</t>
  </si>
  <si>
    <t xml:space="preserve">AGROVET SUL SERVICOS E COMERCIO DE EQUIPAMENTOS LTDA
</t>
  </si>
  <si>
    <t>23
P250012</t>
  </si>
  <si>
    <t>P13-01A-DTS</t>
  </si>
  <si>
    <t>BABV (GSD)</t>
  </si>
  <si>
    <t>CAMINHÃO MÉDIO PESADO</t>
  </si>
  <si>
    <t>FIAT FIORINO ENDURANCE 1.4 FLEX 2024/2024</t>
  </si>
  <si>
    <t>23.821.956/0001-50</t>
  </si>
  <si>
    <t xml:space="preserve">DINAMICA </t>
  </si>
  <si>
    <t xml:space="preserve"> (62) 99139-5151</t>
  </si>
  <si>
    <t>contato@comercialdinamica.com.br</t>
  </si>
  <si>
    <t>GAP-GL (GSD)</t>
  </si>
  <si>
    <t>FIAT FIORINO ENDURANCE 1.4 FLEX 2024/2025</t>
  </si>
  <si>
    <t> 1192</t>
  </si>
  <si>
    <t xml:space="preserve">TOYAMA
</t>
  </si>
  <si>
    <t>FIAT FIORINO ENDURANCE 1.4 FLEX 2024/2026</t>
  </si>
  <si>
    <t>FIAT FIORINO ENDURANCE 1.4 FLEX 2024/2027</t>
  </si>
  <si>
    <t>24
P250014</t>
  </si>
  <si>
    <t>NÃO EMPENHAR MAIS</t>
  </si>
  <si>
    <t>P14-01A-DTS</t>
  </si>
  <si>
    <t>RENAULT MASTER L3H2</t>
  </si>
  <si>
    <t xml:space="preserve">29.987.662/0001-89
</t>
  </si>
  <si>
    <t>FIAT FIORINO ENDURANCE 1.4 FLEX 2024/2028</t>
  </si>
  <si>
    <t>MARCOPOLO/ ATTACK 9/ EXECUTIVO</t>
  </si>
  <si>
    <t>FIAT STRADA ENDURANCE CABINE PLUS/SIMPLES 1.3 FLEX 2024/2024</t>
  </si>
  <si>
    <t>FORD TRANSIT / L3H3</t>
  </si>
  <si>
    <t>MANUPA</t>
  </si>
  <si>
    <t>(11) 2478-2818</t>
  </si>
  <si>
    <t xml:space="preserve"> vg@manupa.com.br manupa@manupa.com.br</t>
  </si>
  <si>
    <t>1190/2024</t>
  </si>
  <si>
    <t>CARRO DE COLETOR</t>
  </si>
  <si>
    <t>FABRICANTE: HANGCHA/ MODELO NACIONALIZADO
MARCA: HANGCHA/ MOVIX
MODELO: CPCD25/ MD25</t>
  </si>
  <si>
    <t>10.346.806/0001-90</t>
  </si>
  <si>
    <t>MOVIX</t>
  </si>
  <si>
    <t xml:space="preserve"> (54) 3342-9850</t>
  </si>
  <si>
    <t xml:space="preserve"> licitacao@movix.ind.br</t>
  </si>
  <si>
    <t>25
P250008</t>
  </si>
  <si>
    <t>P2-01A-DTS</t>
  </si>
  <si>
    <t xml:space="preserve">RENAULT KWID ZEN 
</t>
  </si>
  <si>
    <t xml:space="preserve">22.424.304/0001-19
</t>
  </si>
  <si>
    <t xml:space="preserve">NASA FRANCE VEICULOS LTDA
</t>
  </si>
  <si>
    <t>SHINERAY / SHI 175s EFI</t>
  </si>
  <si>
    <t>17.119.079/0001-77</t>
  </si>
  <si>
    <t>J. MENEZES COSTA LTDA</t>
  </si>
  <si>
    <t>TRATOR INDUSTRIAL</t>
  </si>
  <si>
    <t xml:space="preserve">22.424.304/0001-19
</t>
  </si>
  <si>
    <t>VOLKSWAGEN / ÔNIBUS  17.230/CARR. MASCARELLO GRAN VIA</t>
  </si>
  <si>
    <t xml:space="preserve">31.306.830/0001-75 </t>
  </si>
  <si>
    <t>MAHINDRA 6075 / MFW ROTD 1800</t>
  </si>
  <si>
    <t>29.211.016/0002-06</t>
  </si>
  <si>
    <t>DNM - DISTRIBUIDORA NACIONAL DE MAQUINAS LTDA</t>
  </si>
  <si>
    <t xml:space="preserve"> (61) 99836-0434</t>
  </si>
  <si>
    <t xml:space="preserve"> DNMmaquinas@gmail.com</t>
  </si>
  <si>
    <t xml:space="preserve">RENAULT KWID ZEN 
</t>
  </si>
  <si>
    <t>MAHINDRA 6075 / MFW ROTD 1801</t>
  </si>
  <si>
    <t>29.211.016/0002-07</t>
  </si>
  <si>
    <t>MAHINDRA 6075 / MFW ROTD 1802</t>
  </si>
  <si>
    <t>29.211.016/0002-08</t>
  </si>
  <si>
    <t xml:space="preserve">NASA FRANCE VEICULOS LTDA
</t>
  </si>
  <si>
    <t>Modelo: TS 142
Marca: HUSQVARNA</t>
  </si>
  <si>
    <t>52.500.287/0001-12</t>
  </si>
  <si>
    <t>CASA NASSER COMERCIO</t>
  </si>
  <si>
    <t>(19) 3656-9400</t>
  </si>
  <si>
    <t xml:space="preserve"> licitacoes@somassey.com.br</t>
  </si>
  <si>
    <t>FABRICANTE/MARCA: XCMG
MODELO: XC870BR-I
PROCEDÊNCIA: NACIONAL</t>
  </si>
  <si>
    <t xml:space="preserve"> 14.707.364/0001-10 </t>
  </si>
  <si>
    <t xml:space="preserve"> XCMG BRASIL INDUSTRIA LTDA</t>
  </si>
  <si>
    <t>(35) 2102-0500 – ramal 10617</t>
  </si>
  <si>
    <t>: agnaldo.mendes@zocarrio.com.br
 licitacao@xcmgbrasil.com.br T</t>
  </si>
  <si>
    <t>EMPENHADO</t>
  </si>
  <si>
    <t>reservado conforme Ofício nº 4579/SPOG-20/9378</t>
  </si>
  <si>
    <t>reservado conforme Ofício nº 4579/SPOG-20/9379</t>
  </si>
  <si>
    <t>reservado conforme Ofício nº 4579/SPOG-20/9380</t>
  </si>
  <si>
    <t>ICEA</t>
  </si>
  <si>
    <t>ÔNIBUS MILITARIZADO</t>
  </si>
  <si>
    <t>VW /CHASSI</t>
  </si>
  <si>
    <t xml:space="preserve">51.552.005/0001-68 </t>
  </si>
  <si>
    <t>NOVO HORIZONTE COMERCIO E SERVICOS LTDA FRACASSADO</t>
  </si>
  <si>
    <t xml:space="preserve">RENAULT MASTER L2H2 </t>
  </si>
  <si>
    <t>FIAT/ TITANO</t>
  </si>
  <si>
    <t xml:space="preserve">16.701.716/0001-56 </t>
  </si>
  <si>
    <t>26
P250011</t>
  </si>
  <si>
    <t>P3-01A-DTS</t>
  </si>
  <si>
    <t>UTILITÁRIO (CAMINHONETE)</t>
  </si>
  <si>
    <t>C3 AIR CROSS</t>
  </si>
  <si>
    <t xml:space="preserve">29.127.216/0001-02
</t>
  </si>
  <si>
    <t xml:space="preserve">AF EMPREENDIMENTOS LTDA
</t>
  </si>
  <si>
    <t>FIAT / STRADA CS</t>
  </si>
  <si>
    <t xml:space="preserve">50.325.167/0001-09 </t>
  </si>
  <si>
    <t>CARRETAS RUSSO/P.C.S. DAMASCENO &amp; CIA LTDA / R/ RUSSO CR 1700 1E-CARGA</t>
  </si>
  <si>
    <t>46.151.804/0001-92</t>
  </si>
  <si>
    <t>L D UNIDADES MOVEIS &amp; REPRESENTACOES LTDA</t>
  </si>
  <si>
    <t>ARC / CR01</t>
  </si>
  <si>
    <t xml:space="preserve">57.212.891/0001-67 </t>
  </si>
  <si>
    <t>LJX DO BRASIL LTDA FRACASADO</t>
  </si>
  <si>
    <t>27
P250009</t>
  </si>
  <si>
    <t>P5-01A-DTS</t>
  </si>
  <si>
    <t>MICRO-ÔNIBUS</t>
  </si>
  <si>
    <t xml:space="preserve">Marcopolo Volare/Attack 9 Executivo
</t>
  </si>
  <si>
    <t xml:space="preserve">88.611.835/0018-77
</t>
  </si>
  <si>
    <t xml:space="preserve">MARCOPOLO SA
</t>
  </si>
  <si>
    <t xml:space="preserve">Marcopolo Volare/Attack 9 Executivo
</t>
  </si>
  <si>
    <t xml:space="preserve">88.611.835/0018-77
</t>
  </si>
  <si>
    <t xml:space="preserve">MARCOPOLO SA
</t>
  </si>
  <si>
    <t>DIKKWELL / 3CX</t>
  </si>
  <si>
    <t xml:space="preserve">29.127.216/0001-02 </t>
  </si>
  <si>
    <t>EMPENHADO PARA</t>
  </si>
  <si>
    <t>FACCHINI / SEMIRREBOQUE</t>
  </si>
  <si>
    <t>KOMATSU</t>
  </si>
  <si>
    <t xml:space="preserve">46.872.557/0001-13
</t>
  </si>
  <si>
    <t xml:space="preserve">RIO VERMELHO COMERCIO DE MAQUINAS EQUIPAMENTOS E SERVICOS LTDA
</t>
  </si>
  <si>
    <t>TRATOR DE RODAS</t>
  </si>
  <si>
    <t>LOVOL</t>
  </si>
  <si>
    <t xml:space="preserve">13.798.658/0001-32
</t>
  </si>
  <si>
    <t xml:space="preserve">LIDON COMERCIO E REPRESENTACAO COMERCIAL DE MAQUINAS LTDA
</t>
  </si>
  <si>
    <t xml:space="preserve">13.798.658/0001-32
</t>
  </si>
  <si>
    <t xml:space="preserve">LIDON COMERCIO E REPRESENTACAO COMERCIAL DE MAQUINAS LTDA
</t>
  </si>
  <si>
    <t>28
P250010</t>
  </si>
  <si>
    <t>P6-01A-DTS</t>
  </si>
  <si>
    <t xml:space="preserve">Volkswagen Volksbus 
</t>
  </si>
  <si>
    <t xml:space="preserve">31.306.830/0001-75
</t>
  </si>
  <si>
    <t xml:space="preserve">ABOLICAO CAMINHOES E ONIBUS LTDA
</t>
  </si>
  <si>
    <t xml:space="preserve">ABOLICAO CAMINHOES E ONIBUS LTDA
</t>
  </si>
  <si>
    <t xml:space="preserve">31.306.830/0001-75
</t>
  </si>
  <si>
    <t>YAMAHA FACTOR 150 UBS - 2024/2024</t>
  </si>
  <si>
    <t>12.939.753/0001-46</t>
  </si>
  <si>
    <t>VALE CENTER MOTOS</t>
  </si>
  <si>
    <t xml:space="preserve"> (66) 3566-2020 (66) 98452-6520</t>
  </si>
  <si>
    <t>001440.titular@yamahaconcessionaria.com.br
 licitacaovalecentermotos@gmail.com</t>
  </si>
  <si>
    <t xml:space="preserve"> (66) 3566-2020
(66) 98452-6520</t>
  </si>
  <si>
    <t xml:space="preserve">L200 TRITON GL / MITSUBISHI </t>
  </si>
  <si>
    <t xml:space="preserve"> 54.305.743/0011-70 </t>
  </si>
  <si>
    <t>HPE AUTOMOTORES</t>
  </si>
  <si>
    <t xml:space="preserve">(11) 98167-5341 </t>
  </si>
  <si>
    <t xml:space="preserve">governo@almeidaesilva.com.br </t>
  </si>
  <si>
    <t>1 BACG,           1 BAAN,             1 BASC,            1 BANT,              1 BAPV</t>
  </si>
  <si>
    <t>CITROEN / AIRCROSS FEEL 7 LUGARES 1.0</t>
  </si>
  <si>
    <t xml:space="preserve">29.034.608/0001-19 </t>
  </si>
  <si>
    <t>SAINT-TROPEZ DISTRIBUIDORA DE VEICULOS LTDA</t>
  </si>
  <si>
    <t>CONFORME OF N° 7202/SPOG-20/14784 DE 25/11/2024 DO COMPREP</t>
  </si>
  <si>
    <t>29
P250013</t>
  </si>
  <si>
    <t>SHINERAY</t>
  </si>
  <si>
    <t xml:space="preserve">AF EMPREENDIMENTOS LTDA
</t>
  </si>
  <si>
    <t>30
P250012</t>
  </si>
  <si>
    <t>P15-01A-DTS</t>
  </si>
  <si>
    <t xml:space="preserve">JAC HUNTER 4X4
</t>
  </si>
  <si>
    <t>P-14-01A-DTS</t>
  </si>
  <si>
    <t>FORD / TRANSIT MINIBUS 17+1 L4H3 MT</t>
  </si>
  <si>
    <t xml:space="preserve">14.480.377/0001-08 </t>
  </si>
  <si>
    <t>MBR COMERCIO DE VEICULOS LTDA</t>
  </si>
  <si>
    <t>FORD RENAULT MASTER / L3H2 16 LUGARES</t>
  </si>
  <si>
    <t>E25-01A-DTS</t>
  </si>
  <si>
    <t>P-0-01BH-DTS</t>
  </si>
  <si>
    <t>VEÍCULO DE REPRESENTAÇÃO</t>
  </si>
  <si>
    <t>HONDA ACCORD ADVANCED HYBRID 2.0 - BLINDADO NÍVEL IIIA</t>
  </si>
  <si>
    <t xml:space="preserve">59.104.760/0001-91 </t>
  </si>
  <si>
    <t>POTTENCIAL VEICULOS</t>
  </si>
  <si>
    <t>P-2-01A-DTS</t>
  </si>
  <si>
    <t>RENAULT / KWID ZEN ZERO KM</t>
  </si>
  <si>
    <t>22.424.304/0001-19</t>
  </si>
  <si>
    <t>NASA FRANCE VEICULOS LTDA</t>
  </si>
  <si>
    <t xml:space="preserve"> E11-02A-DTS </t>
  </si>
  <si>
    <t xml:space="preserve"> TRATOR INDUSTRIAL </t>
  </si>
  <si>
    <t>33
P250001</t>
  </si>
  <si>
    <t>E9-02A-DTS</t>
  </si>
  <si>
    <t xml:space="preserve">Volkswagen Truck &amp; bus
</t>
  </si>
  <si>
    <t xml:space="preserve">11.726.521/0001-47
</t>
  </si>
  <si>
    <t>(11) 2377-7000</t>
  </si>
  <si>
    <t>marcus.turner@hotmail.com / marcus.turner@transrio.com.br</t>
  </si>
  <si>
    <t>E-6-01A-DTS</t>
  </si>
  <si>
    <t>34 P250002</t>
  </si>
  <si>
    <t>C3-02A-DTS</t>
  </si>
  <si>
    <t>SEMIRREBOQUE FURGÃO LONADO</t>
  </si>
  <si>
    <t xml:space="preserve">VOLKSWAGEN TRUCK E BUS / 11180 com compactador de 6 metros cubicos </t>
  </si>
  <si>
    <t>GAP-GL (CTLA)</t>
  </si>
  <si>
    <t xml:space="preserve">Reboque Especial </t>
  </si>
  <si>
    <t xml:space="preserve">10.284.459/0002-07
</t>
  </si>
  <si>
    <t xml:space="preserve">MORUMBI INDUSTRIAL LTDA
</t>
  </si>
  <si>
    <t>C-5-01A-DTS</t>
  </si>
  <si>
    <t>BAMN</t>
  </si>
  <si>
    <t>IVECO / 15-210</t>
  </si>
  <si>
    <t>NOVO HORIZONTE COMERCIO E SERVICOS LTDA</t>
  </si>
  <si>
    <t>C26158</t>
  </si>
  <si>
    <t>MERCEDES / OF1726 CARROCERIA MASCARELLO</t>
  </si>
  <si>
    <t>HOMOLOGADO DIA 26/08/24</t>
  </si>
  <si>
    <t xml:space="preserve"> R$                       -  </t>
  </si>
  <si>
    <t>CGABEG</t>
  </si>
  <si>
    <t>Julgado e habilitado (aguardando decisão de recursos)</t>
  </si>
  <si>
    <t>GSAU-AK</t>
  </si>
  <si>
    <t>GSAU-AN</t>
  </si>
  <si>
    <t>GSAU-BQ</t>
  </si>
  <si>
    <t>GSAU-BV</t>
  </si>
  <si>
    <t>GSAU-CG</t>
  </si>
  <si>
    <t>GSAU-FZ</t>
  </si>
  <si>
    <t>GSAU-GW</t>
  </si>
  <si>
    <t>GSAU-NT</t>
  </si>
  <si>
    <t>GSAU-PV</t>
  </si>
  <si>
    <t>67106.000741/2024-69</t>
  </si>
  <si>
    <r>
      <rPr>
        <rFont val="Liberation Sans1"/>
        <b/>
        <color rgb="FF000000"/>
        <sz val="11.0"/>
      </rPr>
      <t>STATUS</t>
    </r>
    <r>
      <rPr>
        <rFont val="Liberation Sans1"/>
        <color rgb="FF000000"/>
        <sz val="11.0"/>
      </rPr>
      <t xml:space="preserve"> em 07/10/24 item 1 homologado; item 2 fracassado</t>
    </r>
  </si>
  <si>
    <t>GSAU-SJ</t>
  </si>
  <si>
    <t>VIGÊNCIA ENCERRADA</t>
  </si>
  <si>
    <t>GSAU-SV</t>
  </si>
  <si>
    <t>HABE</t>
  </si>
  <si>
    <t xml:space="preserve">FIAT - CRONOS  DRIVE 1.3  FLEX 4P  2025 </t>
  </si>
  <si>
    <t>FCA Fiat Chrysler Automóveis Brasil Ltda</t>
  </si>
  <si>
    <t>(41) 99228 3904</t>
  </si>
  <si>
    <t xml:space="preserve">antonio.menna@stellantis.com </t>
  </si>
  <si>
    <t>01253/2024</t>
  </si>
  <si>
    <t>HARF</t>
  </si>
  <si>
    <t>HFAB</t>
  </si>
  <si>
    <t>HFASP</t>
  </si>
  <si>
    <t>GSAU-LS</t>
  </si>
  <si>
    <t>GSAU-YS</t>
  </si>
  <si>
    <t>HAAF</t>
  </si>
  <si>
    <t>HACO</t>
  </si>
  <si>
    <t>HAMN</t>
  </si>
  <si>
    <t>HCA</t>
  </si>
  <si>
    <t>AMBULÂNCIA DE SUPORTE AVANÇADO DE VIDA 4x4</t>
  </si>
  <si>
    <t xml:space="preserve"> BANT </t>
  </si>
  <si>
    <t xml:space="preserve"> x </t>
  </si>
  <si>
    <t>VOLKSWAGEN / MASCARELLO</t>
  </si>
  <si>
    <t>12 988939333</t>
  </si>
  <si>
    <t>marcus.turner@transrio.com.br</t>
  </si>
  <si>
    <t>01290/2024</t>
  </si>
  <si>
    <t>homologado</t>
  </si>
  <si>
    <t>FABRICANTE: HANGCHA/ MODELO NACIONALIZADO
MARCA: HANGCHA/ MOVIX 
MODELO: CPCD25/ MD25</t>
  </si>
  <si>
    <t xml:space="preserve"> GAP-AF</t>
  </si>
  <si>
    <t>67106.001146/2024</t>
  </si>
  <si>
    <t xml:space="preserve">STATUS em 24/10/24: Itens 1, 2 e 3 (Julgado e habilitado (decisão de recursos em análise) </t>
  </si>
  <si>
    <t>RENAULT/RENAULT DO BRASIL S.A</t>
  </si>
  <si>
    <t xml:space="preserve"> BANT</t>
  </si>
  <si>
    <t>C3 AIRCROSS 7 FEEL TURBO 200 AT</t>
  </si>
  <si>
    <t>07.886.644/0001-78</t>
  </si>
  <si>
    <t xml:space="preserve"> Ok Distribuidora de Veículos e Peças LTDA</t>
  </si>
  <si>
    <t xml:space="preserve"> 11 4723 1330</t>
  </si>
  <si>
    <t xml:space="preserve">não fornecido </t>
  </si>
  <si>
    <t>aguardando recurso</t>
  </si>
  <si>
    <t>QNT EMPENHADO</t>
  </si>
  <si>
    <t>Renault Master L3H2</t>
  </si>
  <si>
    <t>08.299.803/0001-09</t>
  </si>
  <si>
    <t>BEM ESTAR HOSPITALAR</t>
  </si>
  <si>
    <t>Renault Master L3H3</t>
  </si>
  <si>
    <t>08.299.803/0001-10</t>
  </si>
  <si>
    <t>Renault Master L3H4</t>
  </si>
  <si>
    <t>08.299.803/0001-11</t>
  </si>
  <si>
    <t>Renault Master L3H5</t>
  </si>
  <si>
    <t>08.299.803/0001-12</t>
  </si>
  <si>
    <t>Renault Master L3H6</t>
  </si>
  <si>
    <t>08.299.803/0001-13</t>
  </si>
  <si>
    <t>Renault Master L3H7</t>
  </si>
  <si>
    <t>08.299.803/0001-14</t>
  </si>
  <si>
    <t xml:space="preserve"> GAP-RF</t>
  </si>
  <si>
    <t>Renault Master L3H8</t>
  </si>
  <si>
    <t>08.299.803/0001-15</t>
  </si>
  <si>
    <t>Renault Master L3H9</t>
  </si>
  <si>
    <t>08.299.803/0001-16</t>
  </si>
  <si>
    <t>Renault Master L3H10</t>
  </si>
  <si>
    <t>08.299.803/0001-17</t>
  </si>
  <si>
    <t xml:space="preserve">MÓDULO DE 
ABASTECIMENTO </t>
  </si>
  <si>
    <t>JBS</t>
  </si>
  <si>
    <t>29.309.381/0001-77</t>
  </si>
  <si>
    <t>Inova Agronegócios LTDA</t>
  </si>
  <si>
    <t>Renault Master L3H11</t>
  </si>
  <si>
    <t>(62) 99885-3642</t>
  </si>
  <si>
    <t>08.299.803/0001-18</t>
  </si>
  <si>
    <t>inova.agronegocios01@gmail.com</t>
  </si>
  <si>
    <t>Renault Master L3H12</t>
  </si>
  <si>
    <t>01350/2024</t>
  </si>
  <si>
    <t>08.299.803/0001-19</t>
  </si>
  <si>
    <t>Renault Master L3H13</t>
  </si>
  <si>
    <t>08.299.803/0001-20</t>
  </si>
  <si>
    <t>Renault Master L3H14</t>
  </si>
  <si>
    <t>08.299.803/0001-21</t>
  </si>
  <si>
    <t>Renault Master L3H15</t>
  </si>
  <si>
    <t>08.299.803/0001-22</t>
  </si>
  <si>
    <t>agrale/ marrua</t>
  </si>
  <si>
    <t>08.299.803/0001-23</t>
  </si>
  <si>
    <t>08.299.803/0001-24</t>
  </si>
  <si>
    <t>08.299.803/0001-25</t>
  </si>
  <si>
    <t>08.299.803/0001-26</t>
  </si>
  <si>
    <t>08.299.803/0001-27</t>
  </si>
  <si>
    <t>TOTAL - PREGÃO</t>
  </si>
  <si>
    <t xml:space="preserve"> FRAC. / REV.</t>
  </si>
  <si>
    <t xml:space="preserve">001440.titular@yamahaconcessionaria.com.br 
 licitacaovalecentermotos@gmail.com 
</t>
  </si>
  <si>
    <t xml:space="preserve"> (66) 3566-2020 
(66) 98452-6520</t>
  </si>
  <si>
    <r>
      <rPr>
        <rFont val="Liberation Sans1"/>
        <b/>
        <color rgb="FF000000"/>
        <sz val="11.0"/>
      </rPr>
      <t>STATUS</t>
    </r>
    <r>
      <rPr>
        <rFont val="Liberation Sans1"/>
        <color rgb="FF000000"/>
        <sz val="11.0"/>
      </rPr>
      <t xml:space="preserve"> em 08/11/24 item 1 homologado; item 2 homologado</t>
    </r>
  </si>
  <si>
    <t>01637/2024</t>
  </si>
  <si>
    <t>11/11/2024 a 10/11/2025</t>
  </si>
  <si>
    <t>67106.001329/2024-66</t>
  </si>
  <si>
    <r>
      <rPr>
        <rFont val="Liberation Sans1"/>
        <b/>
        <color rgb="FF000000"/>
        <sz val="11.0"/>
      </rPr>
      <t>STATUS</t>
    </r>
    <r>
      <rPr>
        <rFont val="Liberation Sans1"/>
        <color rgb="FF000000"/>
        <sz val="11.0"/>
      </rPr>
      <t xml:space="preserve"> em 07/10/24 item 1e item 2  Julgado e habilitado (aberto para contrarrazões) </t>
    </r>
  </si>
  <si>
    <t>MÓDULO DE 
ABASTECIMENTO 
AUTOMOTIVO 
COMPLETO CAP. 
15.000 LITROS PLENO 
PARA GASOLINA
Acordo NBR 15461</t>
  </si>
  <si>
    <t>GAP-CO (GAP-AF)</t>
  </si>
  <si>
    <t>BACG (CLBI)</t>
  </si>
  <si>
    <t>MÓDULO DE 
ABASTECIMENTO 
AUTOMOTIVO 
COMPLETO CAP. 
15.000 LITROS
PLENO DIESEL S10 
Acordo NBR 15461</t>
  </si>
  <si>
    <t>PAG n° 67106.002131/2023-19</t>
  </si>
  <si>
    <t>PAG n° 67106.002279/2023-53</t>
  </si>
  <si>
    <t>C-5/01A/DTS</t>
  </si>
  <si>
    <t>P0</t>
  </si>
  <si>
    <t>COROLLA</t>
  </si>
  <si>
    <t>P1</t>
  </si>
  <si>
    <t>LICITAR</t>
  </si>
  <si>
    <t>TIPO COROLLA</t>
  </si>
  <si>
    <t>16 BSB</t>
  </si>
  <si>
    <t>2 RJ</t>
  </si>
  <si>
    <t>2 SP</t>
  </si>
  <si>
    <t>COR PRATA</t>
  </si>
  <si>
    <t>P2</t>
  </si>
  <si>
    <t>KWID</t>
  </si>
  <si>
    <t>P3</t>
  </si>
  <si>
    <t>AIRCROSS</t>
  </si>
  <si>
    <t>CÓDIGO</t>
  </si>
  <si>
    <t>TIPO</t>
  </si>
  <si>
    <t>DESCRIÇÃO</t>
  </si>
  <si>
    <t>COR</t>
  </si>
  <si>
    <t>pregao</t>
  </si>
  <si>
    <t>quantidade disponível</t>
  </si>
  <si>
    <t>valor</t>
  </si>
  <si>
    <t>P-0</t>
  </si>
  <si>
    <t>Veículo de Representação</t>
  </si>
  <si>
    <r>
      <rPr>
        <rFont val="Calibri"/>
        <color rgb="FF000000"/>
        <sz val="12.0"/>
      </rPr>
      <t>Automóvel de 4 portas,</t>
    </r>
    <r>
      <rPr>
        <rFont val="Calibri"/>
        <color rgb="FF000000"/>
        <sz val="12.0"/>
      </rPr>
      <t xml:space="preserve"> modelo </t>
    </r>
    <r>
      <rPr>
        <rFont val="Calibri"/>
        <color rgb="FF000000"/>
        <sz val="12.0"/>
      </rPr>
      <t xml:space="preserve">sedan </t>
    </r>
    <r>
      <rPr>
        <rFont val="Calibri"/>
        <color rgb="FF000000"/>
        <sz val="12.0"/>
      </rPr>
      <t>grande ou SUV, potência mínima de 185 CV.</t>
    </r>
  </si>
  <si>
    <t>Prata ou preta do fabricante</t>
  </si>
  <si>
    <t>P-1</t>
  </si>
  <si>
    <t>Veículo Especial</t>
  </si>
  <si>
    <r>
      <rPr>
        <rFont val="Calibri"/>
        <color rgb="FF000000"/>
        <sz val="12.0"/>
      </rPr>
      <t>Automóvel de 4 portas, m</t>
    </r>
    <r>
      <rPr>
        <rFont val="Calibri"/>
        <color rgb="FF000000"/>
        <sz val="12.0"/>
      </rPr>
      <t>odelo sedan médio ou grande, potência mínima de 87 CV.</t>
    </r>
  </si>
  <si>
    <t>Branca, prata ou preta do fabricante</t>
  </si>
  <si>
    <t>P-2</t>
  </si>
  <si>
    <t>Veículo de Serviço</t>
  </si>
  <si>
    <r>
      <rPr>
        <rFont val="Calibri"/>
        <color rgb="FF000000"/>
        <sz val="12.0"/>
      </rPr>
      <t>Automóvel de 2 ou 4 portas, m</t>
    </r>
    <r>
      <rPr>
        <rFont val="Calibri"/>
        <color rgb="FF000000"/>
        <sz val="12.0"/>
      </rPr>
      <t>odelo hatch, potência mínima de 66 CV.</t>
    </r>
  </si>
  <si>
    <t>Branca do fabricante</t>
  </si>
  <si>
    <t>P-3</t>
  </si>
  <si>
    <t>Utilitário (Caminhonete)</t>
  </si>
  <si>
    <t>Veículo de porte médio com capacidade de até 9 pessoas.</t>
  </si>
  <si>
    <t>P-4</t>
  </si>
  <si>
    <t>Jipe</t>
  </si>
  <si>
    <t>Veículo de serviço de múltiplo uso, para transporte de 4 a 5 pessoas, com tração em 2 ou 4 rodas.</t>
  </si>
  <si>
    <t>Camuflado</t>
  </si>
  <si>
    <t>P-5</t>
  </si>
  <si>
    <t>Micro-ônibus</t>
  </si>
  <si>
    <t>Veículo para transporte coletivo, com capacidade de 19 a 31 pessoas sentadas.</t>
  </si>
  <si>
    <t>P-6</t>
  </si>
  <si>
    <t>Ônibus</t>
  </si>
  <si>
    <t>Veículo para transporte coletivo, com capacidade superior a 31 pessoas sentadas.</t>
  </si>
  <si>
    <t>P-7</t>
  </si>
  <si>
    <t>Caminhão Militar</t>
  </si>
  <si>
    <t>Veículo com cobertura tipo toldo e bancos laterais e/ou centrais escamoteáveis, para transporte de tropas.</t>
  </si>
  <si>
    <t>P-8</t>
  </si>
  <si>
    <t>Motocicleta Normal</t>
  </si>
  <si>
    <t>Veículo destinado às atividades administrativas, provido de depósito para transporte de pequenos volumes.</t>
  </si>
  <si>
    <t>P-9</t>
  </si>
  <si>
    <t>Motocicleta Policial</t>
  </si>
  <si>
    <t>Veículo com equipamentos especiais destinados às atividades de patrulhamento e escolta.</t>
  </si>
  <si>
    <t>P-10</t>
  </si>
  <si>
    <t>Motocicleta Trail</t>
  </si>
  <si>
    <t>Veículo destinado às atividades de patrulhamento policial em áreas acidentadas ou de difícil acesso.</t>
  </si>
  <si>
    <t>P-11</t>
  </si>
  <si>
    <t>“Pick up” Cabine Dupla</t>
  </si>
  <si>
    <t>Veículo de porte médio destinado ao transporte de pessoal e de carga com capacidade para 5 pessoas e capacidade mínima de carga de 1.000 kg.</t>
  </si>
  <si>
    <t>P-12</t>
  </si>
  <si>
    <t>Carro de Operações</t>
  </si>
  <si>
    <t>Veículo destinado ao transporte de tripulações e equipagens.</t>
  </si>
  <si>
    <t>Amarelo Munsell</t>
  </si>
  <si>
    <t>P-13</t>
  </si>
  <si>
    <t>Carro de Presos</t>
  </si>
  <si>
    <t>Veículo de porte médio, com área própria, para transporte de presos.</t>
  </si>
  <si>
    <t>P-14</t>
  </si>
  <si>
    <t>Van</t>
  </si>
  <si>
    <t>Veículo para transporte coletivo, com capacidade de 10 a 18 pessoas sentadas.</t>
  </si>
  <si>
    <t>P-15</t>
  </si>
  <si>
    <t>Carro Patrulha</t>
  </si>
  <si>
    <t>Veículo utilitário de porte médio destinado ao patrulhamento policial.</t>
  </si>
  <si>
    <t>P-16</t>
  </si>
  <si>
    <t>Quadriciclo</t>
  </si>
  <si>
    <t>Veículo tipo motocicleta com quatro rodas.</t>
  </si>
  <si>
    <t>P-17</t>
  </si>
  <si>
    <t>Veículo Blindado para Transporte de Pessoal</t>
  </si>
  <si>
    <t>Veículo com blindagem nível III ou superior, para transporte de pessoal em apoio à atividade de segurança e defesa.</t>
  </si>
  <si>
    <t>P-18</t>
  </si>
  <si>
    <t>Ônibus Militarizado</t>
  </si>
  <si>
    <t>Ônibus adaptado para o pronto deslocamento das frações de
tropas terrestres, incumbidas de atuar nas atividades operacionais de
Controle de Distúrbios.</t>
  </si>
  <si>
    <t>P-19</t>
  </si>
  <si>
    <t>Caminhonete Militar</t>
  </si>
  <si>
    <t>Veículo de porte médio, com cobertura tipo toldo e bancos laterais, com capacidade para transporte de tropa e/ou de carga de até ¾ ton.</t>
  </si>
  <si>
    <t>C-1</t>
  </si>
  <si>
    <t>Caminhão Leve</t>
  </si>
  <si>
    <t>Veículo com carroceria, aberto, com capacidade de carga menor ou igual a 6 ton.</t>
  </si>
  <si>
    <t>C-2</t>
  </si>
  <si>
    <t>Caminhão Médio/Pesado</t>
  </si>
  <si>
    <t>Veículo com carroceria, aberto, com capacidade de carga superior a 6 ton.</t>
  </si>
  <si>
    <t>C-3</t>
  </si>
  <si>
    <t>Semirreboque</t>
  </si>
  <si>
    <t>Veículo rebocável, por cavalo mecânico, com plataforma para transporte de cargas menor ou igual a 45 ton.</t>
  </si>
  <si>
    <t>C-4</t>
  </si>
  <si>
    <t>Furgão Leve</t>
  </si>
  <si>
    <t>Veículo fechado, com capacidade de carga menor ou igual a 2 ton.</t>
  </si>
  <si>
    <t>C-5</t>
  </si>
  <si>
    <t>Caminhão Baú</t>
  </si>
  <si>
    <t>Veículo com carroceria fechada (BAÚ), com capacidade de carga maior que 2 ton.</t>
  </si>
  <si>
    <t>C-6</t>
  </si>
  <si>
    <t>“Pick up” Cabine Simples</t>
  </si>
  <si>
    <t>Veículo com caçamba, cabine simples e capacidade de carga menor ou igual 1,5 ton.</t>
  </si>
  <si>
    <t>C-7</t>
  </si>
  <si>
    <t>Caminhão Trucado</t>
  </si>
  <si>
    <t>Veículo com carroceria, aberto, com capacidade de carga superior a 10 ton.</t>
  </si>
  <si>
    <t>C-8</t>
  </si>
  <si>
    <t>Caminhão Baú Trucado</t>
  </si>
  <si>
    <t>Veículo com carroceria fechada (BAÚ), com capacidade de carga maior que 10 ton.</t>
  </si>
  <si>
    <t>C-9</t>
  </si>
  <si>
    <t>Reboque Carga</t>
  </si>
  <si>
    <t>Veículo rebocável para transporte de pequenas cargas.</t>
  </si>
  <si>
    <t>Ambulância de Suporte Básico de Vida</t>
  </si>
  <si>
    <t>Veículo com um ou mais leitos, para remoção de pacientes.</t>
  </si>
  <si>
    <t>Ambulância de Suporte Avançado de Vida</t>
  </si>
  <si>
    <t>Veículo com um ou mais leitos, dotado de equipamentos de emergência tipo UTI.</t>
  </si>
  <si>
    <t>E-3</t>
  </si>
  <si>
    <t>Caminhão Frigorífico</t>
  </si>
  <si>
    <t>Veículo dotado de equipamento de refrigeração para transporte de materiais perecíveis.</t>
  </si>
  <si>
    <t>E-4</t>
  </si>
  <si>
    <t>Carro-Pipa</t>
  </si>
  <si>
    <t>Veículo dotado de tanque para transporte de água (PIPA).</t>
  </si>
  <si>
    <t>E-5</t>
  </si>
  <si>
    <t>Carro Basculante</t>
  </si>
  <si>
    <t>Veículo tipo caçamba, com carroceria basculante.</t>
  </si>
  <si>
    <t>E-6</t>
  </si>
  <si>
    <t>Carro Coletor/Compactador de Lixo</t>
  </si>
  <si>
    <t>Veículo para o transporte de lixo coletado e compactado, com caçamba basculável.</t>
  </si>
  <si>
    <t>E-7</t>
  </si>
  <si>
    <t>Carro Guincho-Socorro Pesado</t>
  </si>
  <si>
    <t>Veículo para socorro e reboque de veículos pesados, acima de 4 ton.</t>
  </si>
  <si>
    <t>E-8</t>
  </si>
  <si>
    <t>Carro Guincho-Socorro Leve</t>
  </si>
  <si>
    <t>Veículo para socorro e reboque de veículos leves, até 4 ton.</t>
  </si>
  <si>
    <t>E-9</t>
  </si>
  <si>
    <t>Cavalo Mecânico</t>
  </si>
  <si>
    <r>
      <rPr>
        <rFont val="Calibri"/>
        <color rgb="FF000000"/>
        <sz val="12.0"/>
      </rPr>
      <t>Veículo destinado à tração de semirreboque, equipado com 5</t>
    </r>
    <r>
      <rPr>
        <rFont val="Calibri"/>
        <color rgb="FF000000"/>
        <sz val="8.0"/>
        <u/>
      </rPr>
      <t>a</t>
    </r>
    <r>
      <rPr>
        <rFont val="Calibri"/>
        <color rgb="FF000000"/>
        <sz val="12.0"/>
      </rPr>
      <t xml:space="preserve"> roda.</t>
    </r>
  </si>
  <si>
    <t>E-10</t>
  </si>
  <si>
    <t>Empilhadeira</t>
  </si>
  <si>
    <t>Veículo destinado à movimentação, elevação e empilhamento de carga.</t>
  </si>
  <si>
    <t>Original do fabricante</t>
  </si>
  <si>
    <t>E-11</t>
  </si>
  <si>
    <t>Trator Industrial</t>
  </si>
  <si>
    <t>Veículo destinado à tração de pequenas carretas e equipamentos.</t>
  </si>
  <si>
    <t>E-12</t>
  </si>
  <si>
    <t>Trator de Rodas</t>
  </si>
  <si>
    <t>Veículo destinado ao reboque de implementos agrícolas e corte de capim.</t>
  </si>
  <si>
    <t>E-13</t>
  </si>
  <si>
    <t>Trator de Esteiras</t>
  </si>
  <si>
    <t>Veículo com esteiras, destinado à atividade de terraplenagem ou para reboque de equipamentos especiais.</t>
  </si>
  <si>
    <t>E-14</t>
  </si>
  <si>
    <t>Microtrator com Aparador de Grama</t>
  </si>
  <si>
    <t>Veículo de pequeno porte para serviços de corte de grama.</t>
  </si>
  <si>
    <t>E-15</t>
  </si>
  <si>
    <t>Caminhão Equipado com Guindaste Hidráulico</t>
  </si>
  <si>
    <t>Veículo destinado ao transporte e movimentação de carga.</t>
  </si>
  <si>
    <t>E-16</t>
  </si>
  <si>
    <t>Caminhão Equipado com Elevador Hidráulico e Cesto Aéreo</t>
  </si>
  <si>
    <t>Veículo destinado à poda de galhos e manutenção de telhados, rede elétrica e fachada de prédios.</t>
  </si>
  <si>
    <t>E-17</t>
  </si>
  <si>
    <t>Retroescavadeira com Pá Carregadeira</t>
  </si>
  <si>
    <t>Equipamento destinado ao trabalho de escavação e de movimentação de carga.</t>
  </si>
  <si>
    <t>E-18</t>
  </si>
  <si>
    <t>Caminhão-tanque</t>
  </si>
  <si>
    <t>Veículo destinado ao transporte de combustíveis automotivos.</t>
  </si>
  <si>
    <t>E-19</t>
  </si>
  <si>
    <t>Carro Limpa Fossa</t>
  </si>
  <si>
    <t>Veículo destinado a desentupimento de tubulações e fossas.</t>
  </si>
  <si>
    <t>E-20</t>
  </si>
  <si>
    <t>Varredeira</t>
  </si>
  <si>
    <t>Veículo destinado basicamente a limpeza de pátios.</t>
  </si>
  <si>
    <t>E-21</t>
  </si>
  <si>
    <t>Outros tipos</t>
  </si>
  <si>
    <t>Veículos que não se enquadram nos tipos definidos em outros itens.</t>
  </si>
  <si>
    <t>E-22</t>
  </si>
  <si>
    <t>Reboque Motocicleta</t>
  </si>
  <si>
    <t>Veículo rebocável, para transporte de motocicletas.</t>
  </si>
  <si>
    <t>E-23</t>
  </si>
  <si>
    <t>Reboque Água</t>
  </si>
  <si>
    <t>Veículo rebocável tipo tanque, para transporte de água.</t>
  </si>
  <si>
    <t>E-24</t>
  </si>
  <si>
    <t>Reboque Equinos</t>
  </si>
  <si>
    <t>Veículo rebocável, para transporte de equinos.</t>
  </si>
  <si>
    <t>E-25</t>
  </si>
  <si>
    <t>Furgão Leve para Transporte de cães</t>
  </si>
  <si>
    <t>Veículo fechado e adaptado para transporte de cães.</t>
  </si>
  <si>
    <t>E-26</t>
  </si>
  <si>
    <t>Furgão Frigorífico</t>
  </si>
  <si>
    <r>
      <rPr>
        <rFont val="Calibri"/>
        <color rgb="FF000000"/>
        <sz val="12.0"/>
      </rPr>
      <t xml:space="preserve">Veículo dotado de isolamento térmico e equipamento de refrigeração </t>
    </r>
    <r>
      <rPr>
        <rFont val="Calibri"/>
        <color rgb="FF000000"/>
        <sz val="12.0"/>
      </rPr>
      <t xml:space="preserve">(manutenção da temperatura entre 0° a 5°C), </t>
    </r>
    <r>
      <rPr>
        <rFont val="Calibri"/>
        <color rgb="FF000000"/>
        <sz val="12.0"/>
      </rPr>
      <t>com capacidade de carga não inferior a 10 m</t>
    </r>
    <r>
      <rPr>
        <rFont val="Calibri"/>
        <color rgb="FF000000"/>
        <sz val="8.0"/>
      </rPr>
      <t>3</t>
    </r>
    <r>
      <rPr>
        <rFont val="Calibri"/>
        <color rgb="FF000000"/>
        <sz val="12.0"/>
      </rPr>
      <t>, destinado exclusivamente ao transporte de gêneros alimentícios.</t>
    </r>
  </si>
  <si>
    <t>E-27</t>
  </si>
  <si>
    <t>Furgão Isotérmico</t>
  </si>
  <si>
    <r>
      <rPr>
        <rFont val="Calibri"/>
        <color rgb="FF000000"/>
        <sz val="12.0"/>
      </rPr>
      <t>Veículo dotado de isolamento térmico, com capacidade de carga não inferior a 3 m</t>
    </r>
    <r>
      <rPr>
        <rFont val="Calibri"/>
        <color rgb="FF000000"/>
        <sz val="8.0"/>
      </rPr>
      <t xml:space="preserve">3, </t>
    </r>
    <r>
      <rPr>
        <rFont val="Calibri"/>
        <color rgb="FF000000"/>
        <sz val="12.0"/>
      </rPr>
      <t>destinado exclusivamente ao transporte de gêneros alimentícios.</t>
    </r>
  </si>
  <si>
    <t>E-28</t>
  </si>
  <si>
    <t>Furgão Leve para Comando e Controle</t>
  </si>
  <si>
    <t>Veículo fechado e adaptador para atuar como Posto de Comando e/ou Central Móvel de Vigilância Eletrônica.</t>
  </si>
  <si>
    <t>90034_2025</t>
  </si>
  <si>
    <t>ABERTURA 14/04</t>
  </si>
  <si>
    <t>90146_2025</t>
  </si>
  <si>
    <t>90057/2026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</si>
</sst>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_ ;[Red]\-0\ "/>
    <numFmt numFmtId="165" formatCode="_-&quot;R$ &quot;* #,##0.00_-;&quot;-R$ &quot;* #,##0.00_-;_-&quot;R$ &quot;* \-??_-;_-@"/>
    <numFmt numFmtId="166" formatCode="d/m/yy"/>
    <numFmt numFmtId="167" formatCode="&quot;R$&quot;\ #,##0.00"/>
    <numFmt numFmtId="168" formatCode="d/m/yyyy"/>
    <numFmt numFmtId="169" formatCode="dd/mm/yyyy"/>
    <numFmt numFmtId="170" formatCode="[$-416]d/m/yyyy"/>
    <numFmt numFmtId="171" formatCode="&quot;R$&quot;\ #,##0.00;[Red]\-&quot;R$&quot;\ #,##0.00"/>
    <numFmt numFmtId="172" formatCode="_-[$R$-416]\ * #,##0.00_-;\-[$R$-416]\ * #,##0.00_-;_-[$R$-416]\ * &quot;-&quot;??_-;_-@"/>
  </numFmts>
  <fonts count="43">
    <font>
      <sz val="11.0"/>
      <color rgb="FF000000"/>
      <name val="Liberation Sans1"/>
      <scheme val="minor"/>
    </font>
    <font>
      <b/>
      <sz val="12.0"/>
      <color rgb="FFFFFFFF"/>
      <name val="Times New Roman"/>
    </font>
    <font>
      <b/>
      <sz val="16.0"/>
      <color rgb="FF000000"/>
      <name val="Arial"/>
    </font>
    <font/>
    <font>
      <sz val="11.0"/>
      <color rgb="FF000000"/>
      <name val="Liberation Sans1"/>
    </font>
    <font>
      <b/>
      <sz val="11.0"/>
      <color rgb="FF000000"/>
      <name val="Arial"/>
    </font>
    <font>
      <color theme="1"/>
      <name val="Liberation Sans1"/>
      <scheme val="minor"/>
    </font>
    <font>
      <sz val="11.0"/>
      <color rgb="FF000000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u/>
      <sz val="11.0"/>
      <color theme="10"/>
      <name val="Liberation Sans1"/>
    </font>
    <font>
      <color rgb="FF000000"/>
      <name val="Times New Roman"/>
    </font>
    <font>
      <color theme="1"/>
      <name val="Arial"/>
    </font>
    <font>
      <sz val="12.0"/>
      <color rgb="FFD84800"/>
      <name val="Arial"/>
    </font>
    <font>
      <color rgb="FF000000"/>
      <name val="Liberation Sans1"/>
      <scheme val="minor"/>
    </font>
    <font>
      <sz val="12.0"/>
      <color rgb="FFD84800"/>
      <name val="Rawline"/>
    </font>
    <font>
      <color rgb="FF000000"/>
      <name val="Arial"/>
    </font>
    <font>
      <u/>
      <sz val="11.0"/>
      <color theme="10"/>
      <name val="Liberation Sans1"/>
    </font>
    <font>
      <b/>
      <sz val="14.0"/>
      <color rgb="FF000000"/>
      <name val="Arial"/>
    </font>
    <font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Arial"/>
    </font>
    <font>
      <sz val="12.0"/>
      <color theme="1"/>
      <name val="Times New Roman"/>
    </font>
    <font>
      <sz val="12.0"/>
      <color rgb="FFFFC000"/>
      <name val="Times New Roman"/>
    </font>
    <font>
      <sz val="11.0"/>
      <color theme="1"/>
      <name val="Liberation Sans1"/>
    </font>
    <font>
      <sz val="11.0"/>
      <color theme="1"/>
      <name val="Arial"/>
    </font>
    <font>
      <sz val="16.0"/>
      <color rgb="FF000000"/>
      <name val="Liberation Sans1"/>
    </font>
    <font>
      <b/>
      <sz val="11.0"/>
      <color rgb="FF000000"/>
      <name val="Liberation Sans1"/>
    </font>
    <font>
      <b/>
      <sz val="14.0"/>
      <color rgb="FF000000"/>
      <name val="Liberation Sans1"/>
    </font>
    <font>
      <b/>
      <sz val="25.0"/>
      <color theme="1"/>
      <name val="Arial"/>
    </font>
    <font>
      <b/>
      <sz val="25.0"/>
      <color rgb="FF000000"/>
      <name val="Arial"/>
    </font>
    <font>
      <u/>
      <sz val="11.0"/>
      <color theme="10"/>
      <name val="Liberation Sans1"/>
    </font>
    <font>
      <sz val="12.0"/>
      <color rgb="FFFF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b/>
      <sz val="12.0"/>
      <color theme="0"/>
      <name val="Times New Roman"/>
    </font>
    <font>
      <u/>
      <sz val="11.0"/>
      <color theme="10"/>
      <name val="Liberation Sans1"/>
    </font>
    <font>
      <u/>
      <sz val="11.0"/>
      <color rgb="FF0563C1"/>
      <name val="Arial"/>
    </font>
    <font>
      <sz val="12.0"/>
      <color theme="7"/>
      <name val="Times New Roman"/>
    </font>
    <font>
      <b/>
      <sz val="12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4800"/>
        <bgColor rgb="FFD848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D9E1F2"/>
        <bgColor rgb="FFD9E1F2"/>
      </patternFill>
    </fill>
  </fills>
  <borders count="23">
    <border/>
    <border>
      <right style="thin">
        <color rgb="FF000000"/>
      </right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theme="4"/>
      </right>
      <top style="thin">
        <color theme="4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theme="4"/>
      </top>
    </border>
    <border>
      <top style="thin">
        <color theme="4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theme="4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/>
    </xf>
    <xf borderId="3" fillId="2" fontId="1" numFmtId="0" xfId="0" applyAlignment="1" applyBorder="1" applyFont="1">
      <alignment horizontal="center" vertical="center"/>
    </xf>
    <xf borderId="4" fillId="0" fontId="3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3" fillId="2" fontId="1" numFmtId="164" xfId="0" applyAlignment="1" applyBorder="1" applyFont="1" applyNumberFormat="1">
      <alignment horizontal="center" shrinkToFit="0" vertical="center" wrapText="1"/>
    </xf>
    <xf borderId="3" fillId="2" fontId="4" numFmtId="165" xfId="0" applyBorder="1" applyFont="1" applyNumberFormat="1"/>
    <xf borderId="2" fillId="3" fontId="5" numFmtId="0" xfId="0" applyAlignment="1" applyBorder="1" applyFont="1">
      <alignment horizontal="center" readingOrder="0" shrinkToFit="0" wrapText="1"/>
    </xf>
    <xf borderId="6" fillId="3" fontId="2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 shrinkToFit="0" wrapText="1"/>
    </xf>
    <xf borderId="0" fillId="3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6" fillId="3" fontId="4" numFmtId="0" xfId="0" applyAlignment="1" applyBorder="1" applyFont="1">
      <alignment horizontal="center"/>
    </xf>
    <xf borderId="6" fillId="3" fontId="7" numFmtId="0" xfId="0" applyAlignment="1" applyBorder="1" applyFont="1">
      <alignment horizontal="center" readingOrder="0"/>
    </xf>
    <xf borderId="0" fillId="0" fontId="4" numFmtId="167" xfId="0" applyAlignment="1" applyFont="1" applyNumberFormat="1">
      <alignment horizontal="center"/>
    </xf>
    <xf borderId="3" fillId="2" fontId="1" numFmtId="166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2" fontId="8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7" fillId="4" fontId="4" numFmtId="0" xfId="0" applyAlignment="1" applyBorder="1" applyFont="1">
      <alignment horizontal="center" shrinkToFit="0" vertical="center" wrapText="1"/>
    </xf>
    <xf borderId="3" fillId="2" fontId="8" numFmtId="167" xfId="0" applyAlignment="1" applyBorder="1" applyFont="1" applyNumberForma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7" fillId="4" fontId="4" numFmtId="164" xfId="0" applyAlignment="1" applyBorder="1" applyFont="1" applyNumberFormat="1">
      <alignment horizontal="center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7" fillId="4" fontId="4" numFmtId="165" xfId="0" applyBorder="1" applyFont="1" applyNumberFormat="1"/>
    <xf borderId="0" fillId="0" fontId="6" numFmtId="0" xfId="0" applyFont="1"/>
    <xf borderId="8" fillId="2" fontId="8" numFmtId="0" xfId="0" applyAlignment="1" applyBorder="1" applyFont="1">
      <alignment horizontal="center" shrinkToFit="0" vertical="center" wrapText="1"/>
    </xf>
    <xf borderId="0" fillId="0" fontId="6" numFmtId="166" xfId="0" applyFont="1" applyNumberFormat="1"/>
    <xf borderId="0" fillId="0" fontId="6" numFmtId="1" xfId="0" applyFont="1" applyNumberFormat="1"/>
    <xf borderId="7" fillId="4" fontId="9" numFmtId="1" xfId="0" applyAlignment="1" applyBorder="1" applyFont="1" applyNumberFormat="1">
      <alignment horizontal="center" readingOrder="0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7" fillId="4" fontId="9" numFmtId="1" xfId="0" applyAlignment="1" applyBorder="1" applyFont="1" applyNumberFormat="1">
      <alignment horizontal="center" shrinkToFit="0" vertical="center" wrapText="1"/>
    </xf>
    <xf borderId="7" fillId="4" fontId="4" numFmtId="166" xfId="0" applyAlignment="1" applyBorder="1" applyFont="1" applyNumberFormat="1">
      <alignment horizontal="center" shrinkToFit="0" vertical="center" wrapText="1"/>
    </xf>
    <xf borderId="7" fillId="4" fontId="9" numFmtId="167" xfId="0" applyAlignment="1" applyBorder="1" applyFont="1" applyNumberFormat="1">
      <alignment horizontal="center" readingOrder="0" shrinkToFit="0" wrapText="1"/>
    </xf>
    <xf borderId="1" fillId="5" fontId="4" numFmtId="0" xfId="0" applyAlignment="1" applyBorder="1" applyFill="1" applyFont="1">
      <alignment horizontal="center" shrinkToFit="0" vertical="center" wrapText="1"/>
    </xf>
    <xf borderId="7" fillId="5" fontId="4" numFmtId="0" xfId="0" applyAlignment="1" applyBorder="1" applyFont="1">
      <alignment horizontal="center" shrinkToFit="0" vertical="center" wrapText="1"/>
    </xf>
    <xf borderId="7" fillId="4" fontId="9" numFmtId="167" xfId="0" applyAlignment="1" applyBorder="1" applyFont="1" applyNumberFormat="1">
      <alignment horizontal="center" shrinkToFit="0" wrapText="1"/>
    </xf>
    <xf borderId="9" fillId="4" fontId="11" numFmtId="1" xfId="0" applyAlignment="1" applyBorder="1" applyFont="1" applyNumberFormat="1">
      <alignment horizontal="center" readingOrder="0"/>
    </xf>
    <xf borderId="0" fillId="4" fontId="12" numFmtId="0" xfId="0" applyAlignment="1" applyFont="1">
      <alignment readingOrder="0"/>
    </xf>
    <xf borderId="7" fillId="4" fontId="9" numFmtId="0" xfId="0" applyAlignment="1" applyBorder="1" applyFont="1">
      <alignment horizontal="center" readingOrder="0" shrinkToFit="0" vertical="center" wrapText="1"/>
    </xf>
    <xf borderId="7" fillId="4" fontId="9" numFmtId="0" xfId="0" applyAlignment="1" applyBorder="1" applyFont="1">
      <alignment horizontal="center" shrinkToFit="0" vertical="center" wrapText="1"/>
    </xf>
    <xf borderId="7" fillId="5" fontId="4" numFmtId="164" xfId="0" applyAlignment="1" applyBorder="1" applyFont="1" applyNumberFormat="1">
      <alignment horizontal="center" shrinkToFit="0" vertical="center" wrapText="1"/>
    </xf>
    <xf borderId="7" fillId="5" fontId="4" numFmtId="165" xfId="0" applyBorder="1" applyFont="1" applyNumberFormat="1"/>
    <xf borderId="7" fillId="4" fontId="9" numFmtId="168" xfId="0" applyAlignment="1" applyBorder="1" applyFont="1" applyNumberFormat="1">
      <alignment horizontal="center" readingOrder="0" shrinkToFit="0" vertical="center" wrapText="1"/>
    </xf>
    <xf borderId="6" fillId="4" fontId="13" numFmtId="0" xfId="0" applyAlignment="1" applyBorder="1" applyFont="1">
      <alignment horizontal="center" readingOrder="0"/>
    </xf>
    <xf borderId="7" fillId="5" fontId="9" numFmtId="1" xfId="0" applyAlignment="1" applyBorder="1" applyFont="1" applyNumberFormat="1">
      <alignment horizontal="center" readingOrder="0" shrinkToFit="0" vertical="center" wrapText="1"/>
    </xf>
    <xf borderId="7" fillId="5" fontId="4" numFmtId="166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ont="1">
      <alignment horizontal="center" vertical="center"/>
    </xf>
    <xf borderId="7" fillId="5" fontId="9" numFmtId="1" xfId="0" applyAlignment="1" applyBorder="1" applyFont="1" applyNumberFormat="1">
      <alignment horizontal="center" shrinkToFit="0" vertical="center" wrapText="1"/>
    </xf>
    <xf borderId="7" fillId="5" fontId="9" numFmtId="167" xfId="0" applyAlignment="1" applyBorder="1" applyFont="1" applyNumberFormat="1">
      <alignment horizontal="center" readingOrder="0" shrinkToFit="0" wrapText="1"/>
    </xf>
    <xf borderId="7" fillId="5" fontId="9" numFmtId="167" xfId="0" applyAlignment="1" applyBorder="1" applyFont="1" applyNumberFormat="1">
      <alignment horizontal="center" shrinkToFit="0" wrapText="1"/>
    </xf>
    <xf borderId="7" fillId="5" fontId="14" numFmtId="1" xfId="0" applyAlignment="1" applyBorder="1" applyFont="1" applyNumberFormat="1">
      <alignment horizontal="center" readingOrder="0"/>
    </xf>
    <xf borderId="7" fillId="4" fontId="9" numFmtId="164" xfId="0" applyAlignment="1" applyBorder="1" applyFont="1" applyNumberFormat="1">
      <alignment horizontal="center" shrinkToFit="0" vertical="center" wrapText="1"/>
    </xf>
    <xf borderId="0" fillId="5" fontId="12" numFmtId="0" xfId="0" applyAlignment="1" applyFont="1">
      <alignment readingOrder="0"/>
    </xf>
    <xf borderId="7" fillId="5" fontId="9" numFmtId="0" xfId="0" applyAlignment="1" applyBorder="1" applyFont="1">
      <alignment horizontal="center" readingOrder="0" shrinkToFit="0" vertical="center" wrapText="1"/>
    </xf>
    <xf borderId="7" fillId="5" fontId="9" numFmtId="0" xfId="0" applyAlignment="1" applyBorder="1" applyFont="1">
      <alignment horizontal="center" shrinkToFit="0" vertical="center" wrapText="1"/>
    </xf>
    <xf borderId="7" fillId="5" fontId="9" numFmtId="168" xfId="0" applyAlignment="1" applyBorder="1" applyFont="1" applyNumberFormat="1">
      <alignment horizontal="center" readingOrder="0" shrinkToFit="0" vertical="center" wrapText="1"/>
    </xf>
    <xf borderId="6" fillId="5" fontId="15" numFmtId="0" xfId="0" applyAlignment="1" applyBorder="1" applyFont="1">
      <alignment horizontal="center"/>
    </xf>
    <xf borderId="7" fillId="5" fontId="16" numFmtId="1" xfId="0" applyAlignment="1" applyBorder="1" applyFont="1" applyNumberFormat="1">
      <alignment horizontal="center" readingOrder="0"/>
    </xf>
    <xf borderId="7" fillId="4" fontId="9" numFmtId="166" xfId="0" applyAlignment="1" applyBorder="1" applyFont="1" applyNumberFormat="1">
      <alignment horizontal="center" shrinkToFit="0" vertical="center" wrapText="1"/>
    </xf>
    <xf borderId="7" fillId="4" fontId="14" numFmtId="1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 vertical="center"/>
    </xf>
    <xf borderId="6" fillId="4" fontId="15" numFmtId="0" xfId="0" applyAlignment="1" applyBorder="1" applyFont="1">
      <alignment horizontal="center"/>
    </xf>
    <xf borderId="7" fillId="5" fontId="9" numFmtId="164" xfId="0" applyAlignment="1" applyBorder="1" applyFont="1" applyNumberFormat="1">
      <alignment horizontal="center" shrinkToFit="0" vertical="center" wrapText="1"/>
    </xf>
    <xf borderId="7" fillId="4" fontId="16" numFmtId="1" xfId="0" applyAlignment="1" applyBorder="1" applyFont="1" applyNumberFormat="1">
      <alignment horizontal="center" readingOrder="0"/>
    </xf>
    <xf borderId="7" fillId="5" fontId="17" numFmtId="0" xfId="0" applyAlignment="1" applyBorder="1" applyFont="1">
      <alignment horizontal="center" shrinkToFit="0" vertical="center" wrapText="1"/>
    </xf>
    <xf borderId="7" fillId="5" fontId="9" numFmtId="166" xfId="0" applyAlignment="1" applyBorder="1" applyFont="1" applyNumberFormat="1">
      <alignment horizontal="center" shrinkToFit="0" vertical="center" wrapText="1"/>
    </xf>
    <xf borderId="6" fillId="6" fontId="4" numFmtId="0" xfId="0" applyAlignment="1" applyBorder="1" applyFill="1" applyFont="1">
      <alignment horizontal="center"/>
    </xf>
    <xf borderId="6" fillId="5" fontId="13" numFmtId="0" xfId="0" applyAlignment="1" applyBorder="1" applyFont="1">
      <alignment horizontal="center" readingOrder="0"/>
    </xf>
    <xf borderId="7" fillId="4" fontId="7" numFmtId="0" xfId="0" applyAlignment="1" applyBorder="1" applyFont="1">
      <alignment horizontal="center" readingOrder="0" shrinkToFit="0" vertical="center" wrapText="1"/>
    </xf>
    <xf borderId="6" fillId="3" fontId="18" numFmtId="0" xfId="0" applyAlignment="1" applyBorder="1" applyFont="1">
      <alignment readingOrder="0"/>
    </xf>
    <xf borderId="6" fillId="3" fontId="5" numFmtId="0" xfId="0" applyAlignment="1" applyBorder="1" applyFont="1">
      <alignment readingOrder="0" shrinkToFit="0" wrapText="1"/>
    </xf>
    <xf borderId="2" fillId="3" fontId="4" numFmtId="0" xfId="0" applyAlignment="1" applyBorder="1" applyFont="1">
      <alignment readingOrder="0"/>
    </xf>
    <xf borderId="7" fillId="5" fontId="4" numFmtId="0" xfId="0" applyAlignment="1" applyBorder="1" applyFont="1">
      <alignment horizontal="center" vertical="center"/>
    </xf>
    <xf borderId="3" fillId="2" fontId="8" numFmtId="165" xfId="0" applyAlignment="1" applyBorder="1" applyFont="1" applyNumberFormat="1">
      <alignment horizontal="center" shrinkToFit="0" vertical="center" wrapText="1"/>
    </xf>
    <xf borderId="7" fillId="4" fontId="4" numFmtId="0" xfId="0" applyAlignment="1" applyBorder="1" applyFont="1">
      <alignment horizontal="center" vertical="center"/>
    </xf>
    <xf borderId="7" fillId="4" fontId="11" numFmtId="1" xfId="0" applyAlignment="1" applyBorder="1" applyFont="1" applyNumberFormat="1">
      <alignment horizontal="center" readingOrder="0"/>
    </xf>
    <xf borderId="7" fillId="4" fontId="9" numFmtId="165" xfId="0" applyAlignment="1" applyBorder="1" applyFont="1" applyNumberFormat="1">
      <alignment horizontal="center" readingOrder="0" shrinkToFit="0" wrapText="1"/>
    </xf>
    <xf borderId="7" fillId="4" fontId="9" numFmtId="165" xfId="0" applyAlignment="1" applyBorder="1" applyFont="1" applyNumberFormat="1">
      <alignment horizontal="center" shrinkToFit="0" wrapText="1"/>
    </xf>
    <xf borderId="7" fillId="4" fontId="9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wrapText="1"/>
    </xf>
    <xf borderId="7" fillId="4" fontId="19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/>
    </xf>
    <xf borderId="3" fillId="4" fontId="11" numFmtId="1" xfId="0" applyAlignment="1" applyBorder="1" applyFont="1" applyNumberFormat="1">
      <alignment horizontal="center" readingOrder="0"/>
    </xf>
    <xf borderId="7" fillId="5" fontId="9" numFmtId="165" xfId="0" applyAlignment="1" applyBorder="1" applyFont="1" applyNumberFormat="1">
      <alignment horizontal="center" readingOrder="0" shrinkToFit="0" wrapText="1"/>
    </xf>
    <xf borderId="7" fillId="5" fontId="9" numFmtId="165" xfId="0" applyAlignment="1" applyBorder="1" applyFont="1" applyNumberFormat="1">
      <alignment horizontal="center" shrinkToFit="0" wrapText="1"/>
    </xf>
    <xf borderId="7" fillId="5" fontId="9" numFmtId="0" xfId="0" applyAlignment="1" applyBorder="1" applyFont="1">
      <alignment horizontal="center" readingOrder="0" vertical="center"/>
    </xf>
    <xf borderId="6" fillId="4" fontId="7" numFmtId="0" xfId="0" applyAlignment="1" applyBorder="1" applyFont="1">
      <alignment horizontal="center" readingOrder="0"/>
    </xf>
    <xf borderId="7" fillId="5" fontId="20" numFmtId="0" xfId="0" applyAlignment="1" applyBorder="1" applyFont="1">
      <alignment horizontal="center" readingOrder="0" shrinkToFit="0" vertical="center" wrapText="1"/>
    </xf>
    <xf borderId="7" fillId="5" fontId="11" numFmtId="1" xfId="0" applyAlignment="1" applyBorder="1" applyFont="1" applyNumberFormat="1">
      <alignment horizontal="center" readingOrder="0"/>
    </xf>
    <xf borderId="7" fillId="4" fontId="21" numFmtId="0" xfId="0" applyAlignment="1" applyBorder="1" applyFont="1">
      <alignment horizontal="center" readingOrder="0" shrinkToFit="0" vertical="center" wrapText="1"/>
    </xf>
    <xf borderId="9" fillId="5" fontId="11" numFmtId="1" xfId="0" applyAlignment="1" applyBorder="1" applyFont="1" applyNumberFormat="1">
      <alignment horizontal="center" readingOrder="0"/>
    </xf>
    <xf borderId="10" fillId="4" fontId="11" numFmtId="1" xfId="0" applyAlignment="1" applyBorder="1" applyFont="1" applyNumberFormat="1">
      <alignment horizontal="center" readingOrder="0"/>
    </xf>
    <xf borderId="3" fillId="5" fontId="11" numFmtId="1" xfId="0" applyAlignment="1" applyBorder="1" applyFont="1" applyNumberFormat="1">
      <alignment horizontal="center" readingOrder="0"/>
    </xf>
    <xf borderId="0" fillId="4" fontId="15" numFmtId="0" xfId="0" applyAlignment="1" applyFont="1">
      <alignment horizontal="center"/>
    </xf>
    <xf borderId="0" fillId="5" fontId="15" numFmtId="0" xfId="0" applyAlignment="1" applyFont="1">
      <alignment horizontal="center"/>
    </xf>
    <xf borderId="7" fillId="5" fontId="22" numFmtId="1" xfId="0" applyAlignment="1" applyBorder="1" applyFont="1" applyNumberFormat="1">
      <alignment horizontal="center" vertical="center"/>
    </xf>
    <xf borderId="7" fillId="5" fontId="22" numFmtId="1" xfId="0" applyAlignment="1" applyBorder="1" applyFont="1" applyNumberFormat="1">
      <alignment horizontal="center" shrinkToFit="0" vertical="center" wrapText="1"/>
    </xf>
    <xf borderId="7" fillId="5" fontId="22" numFmtId="164" xfId="0" applyAlignment="1" applyBorder="1" applyFont="1" applyNumberFormat="1">
      <alignment horizontal="center" shrinkToFit="0" vertical="center" wrapText="1"/>
    </xf>
    <xf borderId="7" fillId="4" fontId="22" numFmtId="0" xfId="0" applyAlignment="1" applyBorder="1" applyFont="1">
      <alignment horizontal="center" vertical="center"/>
    </xf>
    <xf borderId="7" fillId="4" fontId="22" numFmtId="1" xfId="0" applyAlignment="1" applyBorder="1" applyFont="1" applyNumberFormat="1">
      <alignment horizontal="center" shrinkToFit="0" vertical="center" wrapText="1"/>
    </xf>
    <xf borderId="7" fillId="4" fontId="22" numFmtId="164" xfId="0" applyAlignment="1" applyBorder="1" applyFont="1" applyNumberFormat="1">
      <alignment horizontal="center" shrinkToFit="0" vertical="center" wrapText="1"/>
    </xf>
    <xf borderId="10" fillId="5" fontId="11" numFmtId="1" xfId="0" applyAlignment="1" applyBorder="1" applyFont="1" applyNumberFormat="1">
      <alignment horizontal="center" readingOrder="0"/>
    </xf>
    <xf borderId="7" fillId="7" fontId="9" numFmtId="0" xfId="0" applyAlignment="1" applyBorder="1" applyFill="1" applyFont="1">
      <alignment horizontal="center" readingOrder="0" shrinkToFit="0" vertical="center" wrapText="1"/>
    </xf>
    <xf borderId="7" fillId="4" fontId="23" numFmtId="0" xfId="0" applyAlignment="1" applyBorder="1" applyFont="1">
      <alignment horizontal="center" shrinkToFit="0" vertical="center" wrapText="1"/>
    </xf>
    <xf borderId="11" fillId="4" fontId="9" numFmtId="0" xfId="0" applyAlignment="1" applyBorder="1" applyFont="1">
      <alignment horizontal="center" shrinkToFit="0" vertical="center" wrapText="1"/>
    </xf>
    <xf borderId="7" fillId="8" fontId="9" numFmtId="0" xfId="0" applyAlignment="1" applyBorder="1" applyFill="1" applyFont="1">
      <alignment horizontal="center" readingOrder="0" shrinkToFit="0" vertical="center" wrapText="1"/>
    </xf>
    <xf borderId="7" fillId="9" fontId="9" numFmtId="0" xfId="0" applyAlignment="1" applyBorder="1" applyFill="1" applyFont="1">
      <alignment horizontal="center" readingOrder="0" shrinkToFit="0" vertical="center" wrapText="1"/>
    </xf>
    <xf borderId="7" fillId="10" fontId="9" numFmtId="0" xfId="0" applyAlignment="1" applyBorder="1" applyFill="1" applyFont="1">
      <alignment horizontal="center" readingOrder="0" shrinkToFit="0" vertical="center" wrapText="1"/>
    </xf>
    <xf borderId="9" fillId="5" fontId="9" numFmtId="0" xfId="0" applyAlignment="1" applyBorder="1" applyFont="1">
      <alignment horizontal="center" shrinkToFit="0" vertical="center" wrapText="1"/>
    </xf>
    <xf borderId="11" fillId="5" fontId="9" numFmtId="0" xfId="0" applyAlignment="1" applyBorder="1" applyFont="1">
      <alignment horizontal="center" shrinkToFit="0" vertical="center" wrapText="1"/>
    </xf>
    <xf borderId="11" fillId="5" fontId="9" numFmtId="0" xfId="0" applyAlignment="1" applyBorder="1" applyFont="1">
      <alignment horizontal="center" readingOrder="0" shrinkToFit="0" vertical="center" wrapText="1"/>
    </xf>
    <xf borderId="12" fillId="4" fontId="11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horizontal="center" readingOrder="0" shrinkToFit="0" vertical="center" wrapText="1"/>
    </xf>
    <xf borderId="9" fillId="4" fontId="14" numFmtId="1" xfId="0" applyAlignment="1" applyBorder="1" applyFont="1" applyNumberFormat="1">
      <alignment horizontal="center" readingOrder="0"/>
    </xf>
    <xf borderId="7" fillId="4" fontId="9" numFmtId="14" xfId="0" applyAlignment="1" applyBorder="1" applyFont="1" applyNumberFormat="1">
      <alignment horizontal="center" shrinkToFit="0" vertical="center" wrapText="1"/>
    </xf>
    <xf borderId="7" fillId="5" fontId="9" numFmtId="14" xfId="0" applyAlignment="1" applyBorder="1" applyFont="1" applyNumberFormat="1">
      <alignment horizontal="center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11" fillId="10" fontId="9" numFmtId="0" xfId="0" applyAlignment="1" applyBorder="1" applyFont="1">
      <alignment horizontal="center" readingOrder="0" shrinkToFit="0" vertical="center" wrapText="1"/>
    </xf>
    <xf borderId="7" fillId="10" fontId="9" numFmtId="0" xfId="0" applyAlignment="1" applyBorder="1" applyFont="1">
      <alignment horizontal="center" shrinkToFit="0" vertical="center" wrapText="1"/>
    </xf>
    <xf borderId="7" fillId="5" fontId="24" numFmtId="0" xfId="0" applyAlignment="1" applyBorder="1" applyFont="1">
      <alignment horizontal="center" readingOrder="0"/>
    </xf>
    <xf borderId="7" fillId="10" fontId="9" numFmtId="165" xfId="0" applyAlignment="1" applyBorder="1" applyFont="1" applyNumberFormat="1">
      <alignment horizontal="center" shrinkToFit="0" wrapText="1"/>
    </xf>
    <xf borderId="7" fillId="5" fontId="24" numFmtId="0" xfId="0" applyAlignment="1" applyBorder="1" applyFont="1">
      <alignment horizontal="center"/>
    </xf>
    <xf borderId="7" fillId="10" fontId="9" numFmtId="0" xfId="0" applyAlignment="1" applyBorder="1" applyFont="1">
      <alignment horizontal="center" readingOrder="0" vertical="center"/>
    </xf>
    <xf borderId="6" fillId="5" fontId="24" numFmtId="0" xfId="0" applyAlignment="1" applyBorder="1" applyFont="1">
      <alignment horizontal="center" vertical="bottom"/>
    </xf>
    <xf borderId="0" fillId="0" fontId="24" numFmtId="0" xfId="0" applyAlignment="1" applyFont="1">
      <alignment horizontal="center" vertical="bottom"/>
    </xf>
    <xf borderId="0" fillId="10" fontId="4" numFmtId="0" xfId="0" applyAlignment="1" applyFont="1">
      <alignment horizontal="center"/>
    </xf>
    <xf borderId="7" fillId="6" fontId="9" numFmtId="0" xfId="0" applyAlignment="1" applyBorder="1" applyFont="1">
      <alignment horizontal="center" readingOrder="0" shrinkToFit="0" vertical="center" wrapText="1"/>
    </xf>
    <xf borderId="7" fillId="5" fontId="22" numFmtId="1" xfId="0" applyAlignment="1" applyBorder="1" applyFont="1" applyNumberFormat="1">
      <alignment horizontal="center" readingOrder="0" shrinkToFit="0" wrapText="1"/>
    </xf>
    <xf borderId="11" fillId="10" fontId="9" numFmtId="165" xfId="0" applyAlignment="1" applyBorder="1" applyFont="1" applyNumberFormat="1">
      <alignment horizontal="center" readingOrder="0" shrinkToFit="0" vertical="center" wrapText="1"/>
    </xf>
    <xf borderId="7" fillId="5" fontId="25" numFmtId="167" xfId="0" applyAlignment="1" applyBorder="1" applyFont="1" applyNumberFormat="1">
      <alignment horizontal="center" readingOrder="0" vertical="bottom"/>
    </xf>
    <xf borderId="11" fillId="10" fontId="9" numFmtId="0" xfId="0" applyAlignment="1" applyBorder="1" applyFont="1">
      <alignment horizontal="center" shrinkToFit="0" vertical="center" wrapText="1"/>
    </xf>
    <xf borderId="7" fillId="5" fontId="25" numFmtId="0" xfId="0" applyAlignment="1" applyBorder="1" applyFont="1">
      <alignment horizontal="center" readingOrder="0"/>
    </xf>
    <xf borderId="0" fillId="0" fontId="24" numFmtId="0" xfId="0" applyAlignment="1" applyFont="1">
      <alignment horizontal="center" vertical="bottom"/>
    </xf>
    <xf borderId="7" fillId="4" fontId="25" numFmtId="0" xfId="0" applyAlignment="1" applyBorder="1" applyFont="1">
      <alignment horizontal="center" readingOrder="0"/>
    </xf>
    <xf borderId="7" fillId="5" fontId="9" numFmtId="169" xfId="0" applyAlignment="1" applyBorder="1" applyFont="1" applyNumberFormat="1">
      <alignment horizontal="center" readingOrder="0" shrinkToFit="0" vertical="center" wrapText="1"/>
    </xf>
    <xf borderId="7" fillId="4" fontId="9" numFmtId="169" xfId="0" applyAlignment="1" applyBorder="1" applyFont="1" applyNumberFormat="1">
      <alignment horizontal="center" readingOrder="0" shrinkToFit="0" vertical="center" wrapText="1"/>
    </xf>
    <xf borderId="7" fillId="5" fontId="9" numFmtId="1" xfId="0" applyAlignment="1" applyBorder="1" applyFont="1" applyNumberFormat="1">
      <alignment horizontal="center" readingOrder="0"/>
    </xf>
    <xf borderId="7" fillId="11" fontId="9" numFmtId="0" xfId="0" applyAlignment="1" applyBorder="1" applyFill="1" applyFont="1">
      <alignment horizontal="center" readingOrder="0" shrinkToFit="0" vertical="center" wrapText="1"/>
    </xf>
    <xf borderId="7" fillId="4" fontId="9" numFmtId="1" xfId="0" applyAlignment="1" applyBorder="1" applyFont="1" applyNumberFormat="1">
      <alignment horizontal="center" readingOrder="0"/>
    </xf>
    <xf borderId="7" fillId="5" fontId="11" numFmtId="1" xfId="0" applyAlignment="1" applyBorder="1" applyFont="1" applyNumberFormat="1">
      <alignment horizontal="center" readingOrder="0" shrinkToFit="0" wrapText="1"/>
    </xf>
    <xf borderId="6" fillId="3" fontId="26" numFmtId="0" xfId="0" applyBorder="1" applyFont="1"/>
    <xf borderId="6" fillId="3" fontId="27" numFmtId="0" xfId="0" applyBorder="1" applyFont="1"/>
    <xf borderId="6" fillId="3" fontId="4" numFmtId="0" xfId="0" applyBorder="1" applyFont="1"/>
    <xf borderId="13" fillId="2" fontId="8" numFmtId="0" xfId="0" applyAlignment="1" applyBorder="1" applyFont="1">
      <alignment horizontal="center" shrinkToFit="0" vertical="center" wrapText="1"/>
    </xf>
    <xf borderId="6" fillId="4" fontId="15" numFmtId="0" xfId="0" applyBorder="1" applyFont="1"/>
    <xf borderId="3" fillId="4" fontId="9" numFmtId="0" xfId="0" applyAlignment="1" applyBorder="1" applyFont="1">
      <alignment horizontal="center" shrinkToFit="0" vertical="center" wrapText="1"/>
    </xf>
    <xf borderId="6" fillId="5" fontId="15" numFmtId="0" xfId="0" applyBorder="1" applyFont="1"/>
    <xf borderId="9" fillId="5" fontId="9" numFmtId="0" xfId="0" applyAlignment="1" applyBorder="1" applyFont="1">
      <alignment horizontal="center" readingOrder="0" shrinkToFit="0" vertical="center" wrapText="1"/>
    </xf>
    <xf borderId="14" fillId="4" fontId="9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readingOrder="0" shrinkToFit="0" wrapText="1"/>
    </xf>
    <xf borderId="6" fillId="6" fontId="4" numFmtId="0" xfId="0" applyBorder="1" applyFont="1"/>
    <xf borderId="14" fillId="5" fontId="9" numFmtId="0" xfId="0" applyAlignment="1" applyBorder="1" applyFont="1">
      <alignment horizontal="center" shrinkToFit="0" vertical="center" wrapText="1"/>
    </xf>
    <xf borderId="7" fillId="5" fontId="4" numFmtId="0" xfId="0" applyAlignment="1" applyBorder="1" applyFont="1">
      <alignment horizontal="center"/>
    </xf>
    <xf borderId="6" fillId="5" fontId="13" numFmtId="0" xfId="0" applyAlignment="1" applyBorder="1" applyFont="1">
      <alignment readingOrder="0"/>
    </xf>
    <xf borderId="6" fillId="4" fontId="13" numFmtId="0" xfId="0" applyAlignment="1" applyBorder="1" applyFont="1">
      <alignment readingOrder="0"/>
    </xf>
    <xf borderId="7" fillId="5" fontId="22" numFmtId="0" xfId="0" applyAlignment="1" applyBorder="1" applyFont="1">
      <alignment horizontal="center" vertical="center"/>
    </xf>
    <xf borderId="7" fillId="4" fontId="22" numFmtId="1" xfId="0" applyAlignment="1" applyBorder="1" applyFont="1" applyNumberFormat="1">
      <alignment horizontal="center" vertical="center"/>
    </xf>
    <xf borderId="6" fillId="4" fontId="7" numFmtId="0" xfId="0" applyAlignment="1" applyBorder="1" applyFont="1">
      <alignment readingOrder="0"/>
    </xf>
    <xf borderId="6" fillId="5" fontId="4" numFmtId="0" xfId="0" applyBorder="1" applyFont="1"/>
    <xf borderId="6" fillId="4" fontId="4" numFmtId="0" xfId="0" applyBorder="1" applyFont="1"/>
    <xf borderId="6" fillId="12" fontId="24" numFmtId="0" xfId="0" applyAlignment="1" applyBorder="1" applyFill="1" applyFont="1">
      <alignment horizontal="center" vertical="bottom"/>
    </xf>
    <xf borderId="7" fillId="4" fontId="9" numFmtId="167" xfId="0" applyAlignment="1" applyBorder="1" applyFont="1" applyNumberFormat="1">
      <alignment horizontal="center" readingOrder="0" shrinkToFit="0" vertical="center" wrapText="1"/>
    </xf>
    <xf borderId="7" fillId="5" fontId="22" numFmtId="0" xfId="0" applyAlignment="1" applyBorder="1" applyFont="1">
      <alignment horizontal="center" shrinkToFit="0" vertical="center" wrapText="1"/>
    </xf>
    <xf borderId="7" fillId="5" fontId="9" numFmtId="167" xfId="0" applyAlignment="1" applyBorder="1" applyFont="1" applyNumberFormat="1">
      <alignment horizontal="center" readingOrder="0" shrinkToFit="0" vertical="center" wrapText="1"/>
    </xf>
    <xf borderId="7" fillId="4" fontId="22" numFmtId="1" xfId="0" applyAlignment="1" applyBorder="1" applyFont="1" applyNumberFormat="1">
      <alignment horizontal="center" readingOrder="0" shrinkToFit="0" wrapText="1"/>
    </xf>
    <xf borderId="0" fillId="4" fontId="15" numFmtId="0" xfId="0" applyFont="1"/>
    <xf borderId="7" fillId="4" fontId="25" numFmtId="167" xfId="0" applyAlignment="1" applyBorder="1" applyFont="1" applyNumberFormat="1">
      <alignment horizontal="center" readingOrder="0" vertical="bottom"/>
    </xf>
    <xf borderId="7" fillId="4" fontId="24" numFmtId="0" xfId="0" applyAlignment="1" applyBorder="1" applyFont="1">
      <alignment horizontal="center"/>
    </xf>
    <xf borderId="6" fillId="4" fontId="24" numFmtId="0" xfId="0" applyAlignment="1" applyBorder="1" applyFont="1">
      <alignment horizontal="center" vertical="bottom"/>
    </xf>
    <xf borderId="0" fillId="5" fontId="15" numFmtId="0" xfId="0" applyFont="1"/>
    <xf borderId="12" fillId="5" fontId="11" numFmtId="1" xfId="0" applyAlignment="1" applyBorder="1" applyFont="1" applyNumberFormat="1">
      <alignment horizontal="center" readingOrder="0"/>
    </xf>
    <xf borderId="7" fillId="4" fontId="24" numFmtId="1" xfId="0" applyAlignment="1" applyBorder="1" applyFont="1" applyNumberFormat="1">
      <alignment horizontal="center" readingOrder="0"/>
    </xf>
    <xf borderId="7" fillId="4" fontId="24" numFmtId="1" xfId="0" applyAlignment="1" applyBorder="1" applyFont="1" applyNumberFormat="1">
      <alignment horizontal="center" readingOrder="0" shrinkToFit="0" wrapText="1"/>
    </xf>
    <xf borderId="8" fillId="4" fontId="11" numFmtId="1" xfId="0" applyAlignment="1" applyBorder="1" applyFont="1" applyNumberFormat="1">
      <alignment horizontal="center" readingOrder="0"/>
    </xf>
    <xf borderId="7" fillId="4" fontId="25" numFmtId="169" xfId="0" applyAlignment="1" applyBorder="1" applyFont="1" applyNumberFormat="1">
      <alignment horizontal="center" readingOrder="0"/>
    </xf>
    <xf borderId="7" fillId="5" fontId="24" numFmtId="1" xfId="0" applyAlignment="1" applyBorder="1" applyFont="1" applyNumberFormat="1">
      <alignment horizontal="center" readingOrder="0"/>
    </xf>
    <xf borderId="7" fillId="5" fontId="24" numFmtId="1" xfId="0" applyAlignment="1" applyBorder="1" applyFont="1" applyNumberFormat="1">
      <alignment horizontal="center" readingOrder="0" shrinkToFit="0" wrapText="1"/>
    </xf>
    <xf borderId="8" fillId="5" fontId="11" numFmtId="1" xfId="0" applyAlignment="1" applyBorder="1" applyFont="1" applyNumberFormat="1">
      <alignment horizontal="center" readingOrder="0"/>
    </xf>
    <xf borderId="7" fillId="5" fontId="25" numFmtId="169" xfId="0" applyAlignment="1" applyBorder="1" applyFont="1" applyNumberFormat="1">
      <alignment horizontal="center" readingOrder="0"/>
    </xf>
    <xf borderId="7" fillId="5" fontId="25" numFmtId="1" xfId="0" applyAlignment="1" applyBorder="1" applyFont="1" applyNumberFormat="1">
      <alignment horizontal="center" readingOrder="0"/>
    </xf>
    <xf borderId="7" fillId="5" fontId="25" numFmtId="1" xfId="0" applyAlignment="1" applyBorder="1" applyFont="1" applyNumberFormat="1">
      <alignment horizontal="center" readingOrder="0" shrinkToFit="0" wrapText="1"/>
    </xf>
    <xf borderId="3" fillId="5" fontId="14" numFmtId="1" xfId="0" applyAlignment="1" applyBorder="1" applyFont="1" applyNumberFormat="1">
      <alignment horizontal="center" readingOrder="0"/>
    </xf>
    <xf borderId="7" fillId="5" fontId="25" numFmtId="167" xfId="0" applyAlignment="1" applyBorder="1" applyFont="1" applyNumberFormat="1">
      <alignment horizontal="center" readingOrder="0"/>
    </xf>
    <xf borderId="8" fillId="5" fontId="14" numFmtId="1" xfId="0" applyAlignment="1" applyBorder="1" applyFont="1" applyNumberFormat="1">
      <alignment horizontal="center" readingOrder="0"/>
    </xf>
    <xf borderId="7" fillId="4" fontId="25" numFmtId="1" xfId="0" applyAlignment="1" applyBorder="1" applyFont="1" applyNumberFormat="1">
      <alignment horizontal="center" readingOrder="0"/>
    </xf>
    <xf borderId="7" fillId="4" fontId="25" numFmtId="167" xfId="0" applyAlignment="1" applyBorder="1" applyFont="1" applyNumberFormat="1">
      <alignment horizontal="center" readingOrder="0"/>
    </xf>
    <xf borderId="0" fillId="5" fontId="13" numFmtId="0" xfId="0" applyAlignment="1" applyFont="1">
      <alignment horizontal="center" readingOrder="0"/>
    </xf>
    <xf borderId="0" fillId="4" fontId="13" numFmtId="0" xfId="0" applyAlignment="1" applyFont="1">
      <alignment horizontal="center" readingOrder="0"/>
    </xf>
    <xf borderId="9" fillId="5" fontId="9" numFmtId="1" xfId="0" applyAlignment="1" applyBorder="1" applyFont="1" applyNumberFormat="1">
      <alignment horizontal="center" shrinkToFit="0" vertical="center" wrapText="1"/>
    </xf>
    <xf borderId="7" fillId="4" fontId="4" numFmtId="0" xfId="0" applyAlignment="1" applyBorder="1" applyFont="1">
      <alignment horizontal="center"/>
    </xf>
    <xf borderId="0" fillId="5" fontId="15" numFmtId="0" xfId="0" applyAlignment="1" applyFont="1">
      <alignment horizontal="center" readingOrder="0"/>
    </xf>
    <xf borderId="7" fillId="4" fontId="16" numFmtId="1" xfId="0" applyAlignment="1" applyBorder="1" applyFont="1" applyNumberFormat="1">
      <alignment horizontal="center" readingOrder="0" shrinkToFit="0" wrapText="1"/>
    </xf>
    <xf borderId="9" fillId="4" fontId="9" numFmtId="1" xfId="0" applyAlignment="1" applyBorder="1" applyFont="1" applyNumberFormat="1">
      <alignment horizontal="center" readingOrder="0" shrinkToFit="0" vertical="center" wrapText="1"/>
    </xf>
    <xf borderId="7" fillId="4" fontId="22" numFmtId="0" xfId="0" applyAlignment="1" applyBorder="1" applyFont="1">
      <alignment horizontal="center" shrinkToFit="0" vertical="center" wrapText="1"/>
    </xf>
    <xf borderId="10" fillId="10" fontId="9" numFmtId="0" xfId="0" applyAlignment="1" applyBorder="1" applyFont="1">
      <alignment horizontal="center" readingOrder="0" shrinkToFit="0" vertical="center" wrapText="1"/>
    </xf>
    <xf borderId="15" fillId="5" fontId="3" numFmtId="0" xfId="0" applyBorder="1" applyFont="1"/>
    <xf borderId="16" fillId="5" fontId="3" numFmtId="0" xfId="0" applyBorder="1" applyFont="1"/>
    <xf borderId="15" fillId="4" fontId="3" numFmtId="0" xfId="0" applyBorder="1" applyFont="1"/>
    <xf borderId="16" fillId="4" fontId="3" numFmtId="0" xfId="0" applyBorder="1" applyFont="1"/>
    <xf borderId="9" fillId="4" fontId="9" numFmtId="1" xfId="0" applyAlignment="1" applyBorder="1" applyFont="1" applyNumberFormat="1">
      <alignment horizontal="center" shrinkToFit="0" vertical="center" wrapText="1"/>
    </xf>
    <xf borderId="7" fillId="4" fontId="14" numFmtId="1" xfId="0" applyAlignment="1" applyBorder="1" applyFont="1" applyNumberFormat="1">
      <alignment horizontal="center" readingOrder="0" shrinkToFit="0" wrapText="1"/>
    </xf>
    <xf borderId="7" fillId="10" fontId="9" numFmtId="1" xfId="0" applyAlignment="1" applyBorder="1" applyFont="1" applyNumberFormat="1">
      <alignment horizontal="center" shrinkToFit="0" vertical="center" wrapText="1"/>
    </xf>
    <xf borderId="7" fillId="10" fontId="9" numFmtId="1" xfId="0" applyAlignment="1" applyBorder="1" applyFont="1" applyNumberFormat="1">
      <alignment horizontal="center" readingOrder="0" shrinkToFit="0" vertical="center" wrapText="1"/>
    </xf>
    <xf borderId="7" fillId="10" fontId="9" numFmtId="167" xfId="0" applyAlignment="1" applyBorder="1" applyFont="1" applyNumberFormat="1">
      <alignment horizontal="center" shrinkToFit="0" wrapText="1"/>
    </xf>
    <xf borderId="7" fillId="3" fontId="9" numFmtId="0" xfId="0" applyAlignment="1" applyBorder="1" applyFont="1">
      <alignment horizontal="center" readingOrder="0" shrinkToFit="0" vertical="center" wrapText="1"/>
    </xf>
    <xf borderId="6" fillId="10" fontId="15" numFmtId="0" xfId="0" applyBorder="1" applyFont="1"/>
    <xf borderId="0" fillId="10" fontId="6" numFmtId="0" xfId="0" applyFont="1"/>
    <xf borderId="9" fillId="10" fontId="9" numFmtId="1" xfId="0" applyAlignment="1" applyBorder="1" applyFont="1" applyNumberFormat="1">
      <alignment horizontal="center" shrinkToFit="0" vertical="center" wrapText="1"/>
    </xf>
    <xf borderId="9" fillId="10" fontId="9" numFmtId="0" xfId="0" applyAlignment="1" applyBorder="1" applyFont="1">
      <alignment horizontal="center" shrinkToFit="0" vertical="center" wrapText="1"/>
    </xf>
    <xf borderId="6" fillId="10" fontId="4" numFmtId="0" xfId="0" applyBorder="1" applyFont="1"/>
    <xf borderId="11" fillId="10" fontId="9" numFmtId="1" xfId="0" applyAlignment="1" applyBorder="1" applyFont="1" applyNumberFormat="1">
      <alignment horizontal="center" shrinkToFit="0" vertical="center" wrapText="1"/>
    </xf>
    <xf borderId="7" fillId="8" fontId="9" numFmtId="1" xfId="0" applyAlignment="1" applyBorder="1" applyFont="1" applyNumberFormat="1">
      <alignment horizontal="center" readingOrder="0" shrinkToFit="0" vertical="center" wrapText="1"/>
    </xf>
    <xf borderId="7" fillId="5" fontId="22" numFmtId="166" xfId="0" applyAlignment="1" applyBorder="1" applyFont="1" applyNumberFormat="1">
      <alignment horizontal="center" shrinkToFit="0" vertical="center" wrapText="1"/>
    </xf>
    <xf borderId="7" fillId="13" fontId="4" numFmtId="0" xfId="0" applyAlignment="1" applyBorder="1" applyFill="1" applyFont="1">
      <alignment horizontal="center" vertical="center"/>
    </xf>
    <xf borderId="7" fillId="13" fontId="9" numFmtId="0" xfId="0" applyAlignment="1" applyBorder="1" applyFont="1">
      <alignment horizontal="center" shrinkToFit="0" vertical="center" wrapText="1"/>
    </xf>
    <xf borderId="7" fillId="13" fontId="22" numFmtId="0" xfId="0" applyAlignment="1" applyBorder="1" applyFont="1">
      <alignment horizontal="center" shrinkToFit="0" vertical="center" wrapText="1"/>
    </xf>
    <xf borderId="7" fillId="13" fontId="22" numFmtId="0" xfId="0" applyAlignment="1" applyBorder="1" applyFont="1">
      <alignment horizontal="center" readingOrder="0" shrinkToFit="0" vertical="center" wrapText="1"/>
    </xf>
    <xf borderId="7" fillId="13" fontId="22" numFmtId="164" xfId="0" applyAlignment="1" applyBorder="1" applyFont="1" applyNumberFormat="1">
      <alignment horizontal="center" readingOrder="0" shrinkToFit="0" vertical="center" wrapText="1"/>
    </xf>
    <xf borderId="7" fillId="13" fontId="4" numFmtId="165" xfId="0" applyBorder="1" applyFont="1" applyNumberFormat="1"/>
    <xf borderId="7" fillId="13" fontId="22" numFmtId="166" xfId="0" applyAlignment="1" applyBorder="1" applyFont="1" applyNumberFormat="1">
      <alignment horizontal="center" shrinkToFit="0" vertical="center" wrapText="1"/>
    </xf>
    <xf borderId="7" fillId="13" fontId="9" numFmtId="0" xfId="0" applyAlignment="1" applyBorder="1" applyFont="1">
      <alignment horizontal="center" readingOrder="0" shrinkToFit="0" vertical="center" wrapText="1"/>
    </xf>
    <xf borderId="0" fillId="13" fontId="6" numFmtId="0" xfId="0" applyFont="1"/>
    <xf borderId="7" fillId="8" fontId="22" numFmtId="0" xfId="0" applyAlignment="1" applyBorder="1" applyFont="1">
      <alignment horizontal="center" shrinkToFit="0" vertical="center" wrapText="1"/>
    </xf>
    <xf borderId="7" fillId="9" fontId="9" numFmtId="1" xfId="0" applyAlignment="1" applyBorder="1" applyFont="1" applyNumberFormat="1">
      <alignment horizontal="center" readingOrder="0" shrinkToFit="0" vertical="center" wrapText="1"/>
    </xf>
    <xf borderId="11" fillId="10" fontId="9" numFmtId="167" xfId="0" applyAlignment="1" applyBorder="1" applyFont="1" applyNumberFormat="1">
      <alignment horizontal="center" shrinkToFit="0" wrapText="1"/>
    </xf>
    <xf borderId="9" fillId="10" fontId="9" numFmtId="14" xfId="0" applyAlignment="1" applyBorder="1" applyFont="1" applyNumberFormat="1">
      <alignment horizontal="center" shrinkToFit="0" vertical="center" wrapText="1"/>
    </xf>
    <xf borderId="7" fillId="4" fontId="22" numFmtId="1" xfId="0" applyAlignment="1" applyBorder="1" applyFont="1" applyNumberFormat="1">
      <alignment horizontal="center" shrinkToFit="0" wrapText="1"/>
    </xf>
    <xf borderId="7" fillId="5" fontId="22" numFmtId="1" xfId="0" applyAlignment="1" applyBorder="1" applyFont="1" applyNumberFormat="1">
      <alignment horizontal="center" shrinkToFit="0" wrapText="1"/>
    </xf>
    <xf borderId="7" fillId="4" fontId="25" numFmtId="1" xfId="0" applyAlignment="1" applyBorder="1" applyFont="1" applyNumberFormat="1">
      <alignment horizontal="center" readingOrder="0" shrinkToFit="0" wrapText="1"/>
    </xf>
    <xf borderId="7" fillId="4" fontId="9" numFmtId="167" xfId="0" applyAlignment="1" applyBorder="1" applyFont="1" applyNumberFormat="1">
      <alignment horizontal="center" shrinkToFit="0" vertical="center" wrapText="1"/>
    </xf>
    <xf borderId="7" fillId="5" fontId="9" numFmtId="167" xfId="0" applyAlignment="1" applyBorder="1" applyFont="1" applyNumberFormat="1">
      <alignment horizontal="center" shrinkToFit="0" vertical="center" wrapText="1"/>
    </xf>
    <xf borderId="11" fillId="4" fontId="9" numFmtId="1" xfId="0" applyAlignment="1" applyBorder="1" applyFont="1" applyNumberFormat="1">
      <alignment horizontal="center" shrinkToFit="0" vertical="center" wrapText="1"/>
    </xf>
    <xf borderId="11" fillId="4" fontId="9" numFmtId="167" xfId="0" applyAlignment="1" applyBorder="1" applyFont="1" applyNumberFormat="1">
      <alignment horizontal="center" readingOrder="0" shrinkToFit="0" wrapText="1"/>
    </xf>
    <xf borderId="11" fillId="4" fontId="9" numFmtId="4" xfId="0" applyAlignment="1" applyBorder="1" applyFont="1" applyNumberFormat="1">
      <alignment horizontal="center" readingOrder="0" shrinkToFit="0" vertical="center" wrapText="1"/>
    </xf>
    <xf borderId="0" fillId="5" fontId="13" numFmtId="0" xfId="0" applyAlignment="1" applyFont="1">
      <alignment readingOrder="0"/>
    </xf>
    <xf borderId="0" fillId="4" fontId="13" numFmtId="0" xfId="0" applyAlignment="1" applyFont="1">
      <alignment readingOrder="0"/>
    </xf>
    <xf borderId="6" fillId="12" fontId="24" numFmtId="0" xfId="0" applyAlignment="1" applyBorder="1" applyFont="1">
      <alignment horizontal="center" vertical="bottom"/>
    </xf>
    <xf borderId="7" fillId="13" fontId="9" numFmtId="166" xfId="0" applyAlignment="1" applyBorder="1" applyFont="1" applyNumberFormat="1">
      <alignment horizontal="center" shrinkToFit="0" vertical="center" wrapText="1"/>
    </xf>
    <xf borderId="0" fillId="5" fontId="15" numFmtId="0" xfId="0" applyAlignment="1" applyFont="1">
      <alignment readingOrder="0"/>
    </xf>
    <xf borderId="7" fillId="5" fontId="9" numFmtId="166" xfId="0" applyAlignment="1" applyBorder="1" applyFont="1" applyNumberFormat="1">
      <alignment horizontal="center" readingOrder="0" shrinkToFit="0" vertical="center" wrapText="1"/>
    </xf>
    <xf borderId="7" fillId="4" fontId="9" numFmtId="166" xfId="0" applyAlignment="1" applyBorder="1" applyFont="1" applyNumberFormat="1">
      <alignment horizontal="center" readingOrder="0" shrinkToFit="0" vertical="center" wrapText="1"/>
    </xf>
    <xf borderId="11" fillId="5" fontId="9" numFmtId="1" xfId="0" applyAlignment="1" applyBorder="1" applyFont="1" applyNumberFormat="1">
      <alignment horizontal="center" shrinkToFit="0" vertical="center" wrapText="1"/>
    </xf>
    <xf borderId="7" fillId="4" fontId="24" numFmtId="167" xfId="0" applyAlignment="1" applyBorder="1" applyFont="1" applyNumberFormat="1">
      <alignment horizontal="center" vertical="bottom"/>
    </xf>
    <xf borderId="7" fillId="5" fontId="24" numFmtId="167" xfId="0" applyAlignment="1" applyBorder="1" applyFont="1" applyNumberFormat="1">
      <alignment horizontal="center" vertical="bottom"/>
    </xf>
    <xf borderId="7" fillId="7" fontId="9" numFmtId="1" xfId="0" applyAlignment="1" applyBorder="1" applyFont="1" applyNumberFormat="1">
      <alignment horizontal="center" readingOrder="0" shrinkToFit="0" vertical="center" wrapText="1"/>
    </xf>
    <xf borderId="7" fillId="7" fontId="22" numFmtId="0" xfId="0" applyAlignment="1" applyBorder="1" applyFont="1">
      <alignment horizontal="center" readingOrder="0" shrinkToFit="0" vertical="center" wrapText="1"/>
    </xf>
    <xf borderId="7" fillId="5" fontId="22" numFmtId="164" xfId="0" applyAlignment="1" applyBorder="1" applyFont="1" applyNumberFormat="1">
      <alignment horizontal="center" readingOrder="0" shrinkToFit="0" vertical="center" wrapText="1"/>
    </xf>
    <xf borderId="7" fillId="5" fontId="25" numFmtId="168" xfId="0" applyAlignment="1" applyBorder="1" applyFont="1" applyNumberFormat="1">
      <alignment horizontal="center" readingOrder="0"/>
    </xf>
    <xf borderId="7" fillId="4" fontId="12" numFmtId="1" xfId="0" applyAlignment="1" applyBorder="1" applyFont="1" applyNumberFormat="1">
      <alignment horizontal="center" readingOrder="0"/>
    </xf>
    <xf borderId="7" fillId="4" fontId="11" numFmtId="1" xfId="0" applyAlignment="1" applyBorder="1" applyFont="1" applyNumberFormat="1">
      <alignment horizontal="center" readingOrder="0" shrinkToFit="0" wrapText="1"/>
    </xf>
    <xf borderId="7" fillId="4" fontId="25" numFmtId="168" xfId="0" applyAlignment="1" applyBorder="1" applyFont="1" applyNumberFormat="1">
      <alignment horizontal="center" readingOrder="0"/>
    </xf>
    <xf borderId="11" fillId="5" fontId="9" numFmtId="167" xfId="0" applyAlignment="1" applyBorder="1" applyFont="1" applyNumberFormat="1">
      <alignment horizontal="center" shrinkToFit="0" wrapText="1"/>
    </xf>
    <xf borderId="7" fillId="4" fontId="9" numFmtId="0" xfId="0" applyAlignment="1" applyBorder="1" applyFont="1">
      <alignment horizontal="center" vertical="center"/>
    </xf>
    <xf borderId="7" fillId="5" fontId="9" numFmtId="0" xfId="0" applyAlignment="1" applyBorder="1" applyFont="1">
      <alignment horizontal="center" vertical="center"/>
    </xf>
    <xf borderId="17" fillId="4" fontId="24" numFmtId="0" xfId="0" applyBorder="1" applyFont="1"/>
    <xf borderId="7" fillId="8" fontId="9" numFmtId="0" xfId="0" applyAlignment="1" applyBorder="1" applyFont="1">
      <alignment horizontal="center" shrinkToFit="0" vertical="center" wrapText="1"/>
    </xf>
    <xf borderId="17" fillId="5" fontId="24" numFmtId="0" xfId="0" applyBorder="1" applyFont="1"/>
    <xf borderId="6" fillId="3" fontId="28" numFmtId="0" xfId="0" applyBorder="1" applyFont="1"/>
    <xf borderId="10" fillId="10" fontId="29" numFmtId="0" xfId="0" applyAlignment="1" applyBorder="1" applyFont="1">
      <alignment horizontal="center" vertical="bottom"/>
    </xf>
    <xf borderId="15" fillId="0" fontId="3" numFmtId="0" xfId="0" applyBorder="1" applyFont="1"/>
    <xf borderId="16" fillId="0" fontId="3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8" numFmtId="165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9" numFmtId="165" xfId="0" applyAlignment="1" applyBorder="1" applyFont="1" applyNumberFormat="1">
      <alignment shrinkToFit="0" wrapText="1"/>
    </xf>
    <xf borderId="7" fillId="0" fontId="9" numFmtId="165" xfId="0" applyAlignment="1" applyBorder="1" applyFont="1" applyNumberFormat="1">
      <alignment horizontal="center" shrinkToFit="0" wrapText="1"/>
    </xf>
    <xf borderId="7" fillId="0" fontId="9" numFmtId="0" xfId="0" applyAlignment="1" applyBorder="1" applyFont="1">
      <alignment horizontal="center" vertical="center"/>
    </xf>
    <xf borderId="0" fillId="0" fontId="6" numFmtId="0" xfId="0" applyFont="1"/>
    <xf borderId="11" fillId="10" fontId="9" numFmtId="0" xfId="0" applyAlignment="1" applyBorder="1" applyFont="1">
      <alignment horizontal="center" shrinkToFit="0" vertical="center" wrapText="1"/>
    </xf>
    <xf borderId="11" fillId="10" fontId="9" numFmtId="165" xfId="0" applyAlignment="1" applyBorder="1" applyFont="1" applyNumberFormat="1">
      <alignment horizontal="center" shrinkToFit="0" vertical="center" wrapText="1"/>
    </xf>
    <xf borderId="7" fillId="3" fontId="28" numFmtId="0" xfId="0" applyBorder="1" applyFont="1"/>
    <xf borderId="7" fillId="3" fontId="5" numFmtId="0" xfId="0" applyAlignment="1" applyBorder="1" applyFont="1">
      <alignment readingOrder="0" shrinkToFit="0" wrapText="1"/>
    </xf>
    <xf borderId="10" fillId="10" fontId="30" numFmtId="0" xfId="0" applyAlignment="1" applyBorder="1" applyFont="1">
      <alignment horizontal="center" readingOrder="0"/>
    </xf>
    <xf borderId="0" fillId="0" fontId="4" numFmtId="0" xfId="0" applyAlignment="1" applyFont="1">
      <alignment horizontal="left" shrinkToFit="0" vertical="center" wrapText="1"/>
    </xf>
    <xf borderId="18" fillId="10" fontId="9" numFmtId="0" xfId="0" applyAlignment="1" applyBorder="1" applyFont="1">
      <alignment horizontal="center" shrinkToFit="0" vertical="center" wrapText="1"/>
    </xf>
    <xf borderId="7" fillId="10" fontId="9" numFmtId="0" xfId="0" applyAlignment="1" applyBorder="1" applyFont="1">
      <alignment horizontal="center" shrinkToFit="0" vertical="center" wrapText="1"/>
    </xf>
    <xf borderId="7" fillId="10" fontId="9" numFmtId="167" xfId="0" applyAlignment="1" applyBorder="1" applyFont="1" applyNumberFormat="1">
      <alignment horizontal="center" shrinkToFit="0" vertical="center" wrapText="1"/>
    </xf>
    <xf borderId="7" fillId="10" fontId="9" numFmtId="170" xfId="0" applyAlignment="1" applyBorder="1" applyFont="1" applyNumberFormat="1">
      <alignment horizontal="center" shrinkToFit="0" vertical="center" wrapText="1"/>
    </xf>
    <xf borderId="14" fillId="1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7" fillId="14" fontId="9" numFmtId="0" xfId="0" applyAlignment="1" applyBorder="1" applyFill="1" applyFont="1">
      <alignment horizontal="center" shrinkToFit="0" vertical="center" wrapText="1"/>
    </xf>
    <xf borderId="7" fillId="0" fontId="9" numFmtId="167" xfId="0" applyAlignment="1" applyBorder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left" shrinkToFit="0" vertical="center" wrapText="1"/>
    </xf>
    <xf borderId="7" fillId="0" fontId="9" numFmtId="170" xfId="0" applyAlignment="1" applyBorder="1" applyFont="1" applyNumberFormat="1">
      <alignment horizontal="center" shrinkToFit="0" vertical="center" wrapText="1"/>
    </xf>
    <xf borderId="10" fillId="0" fontId="9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left" shrinkToFit="0" vertical="center" wrapText="1"/>
    </xf>
    <xf borderId="7" fillId="5" fontId="32" numFmtId="164" xfId="0" applyAlignment="1" applyBorder="1" applyFont="1" applyNumberFormat="1">
      <alignment horizontal="center" shrinkToFit="0" vertical="center" wrapText="1"/>
    </xf>
    <xf borderId="19" fillId="5" fontId="24" numFmtId="0" xfId="0" applyBorder="1" applyFont="1"/>
    <xf borderId="7" fillId="4" fontId="32" numFmtId="164" xfId="0" applyAlignment="1" applyBorder="1" applyFont="1" applyNumberFormat="1">
      <alignment horizontal="center" shrinkToFit="0" vertical="center" wrapText="1"/>
    </xf>
    <xf borderId="19" fillId="4" fontId="24" numFmtId="0" xfId="0" applyBorder="1" applyFont="1"/>
    <xf borderId="7" fillId="4" fontId="22" numFmtId="166" xfId="0" applyAlignment="1" applyBorder="1" applyFont="1" applyNumberFormat="1">
      <alignment horizontal="center" shrinkToFit="0" vertical="center" wrapText="1"/>
    </xf>
    <xf borderId="19" fillId="5" fontId="24" numFmtId="0" xfId="0" applyAlignment="1" applyBorder="1" applyFont="1">
      <alignment horizontal="center"/>
    </xf>
    <xf borderId="7" fillId="0" fontId="33" numFmtId="0" xfId="0" applyAlignment="1" applyBorder="1" applyFont="1">
      <alignment horizontal="left" shrinkToFit="0" vertical="center" wrapText="1"/>
    </xf>
    <xf borderId="19" fillId="4" fontId="24" numFmtId="0" xfId="0" applyAlignment="1" applyBorder="1" applyFont="1">
      <alignment horizontal="center"/>
    </xf>
    <xf borderId="7" fillId="0" fontId="34" numFmtId="0" xfId="0" applyAlignment="1" applyBorder="1" applyFont="1">
      <alignment horizontal="left" readingOrder="0" shrinkToFit="0" vertical="center" wrapText="1"/>
    </xf>
    <xf borderId="6" fillId="3" fontId="5" numFmtId="0" xfId="0" applyAlignment="1" applyBorder="1" applyFont="1">
      <alignment readingOrder="0"/>
    </xf>
    <xf borderId="10" fillId="10" fontId="29" numFmtId="167" xfId="0" applyAlignment="1" applyBorder="1" applyFont="1" applyNumberFormat="1">
      <alignment horizontal="center" vertical="bottom"/>
    </xf>
    <xf borderId="0" fillId="4" fontId="6" numFmtId="0" xfId="0" applyFont="1"/>
    <xf borderId="0" fillId="5" fontId="6" numFmtId="0" xfId="0" applyFont="1"/>
    <xf borderId="1" fillId="0" fontId="9" numFmtId="0" xfId="0" applyAlignment="1" applyBorder="1" applyFont="1">
      <alignment horizontal="center" shrinkToFit="0" vertical="center" wrapText="1"/>
    </xf>
    <xf borderId="3" fillId="0" fontId="8" numFmtId="167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7" fillId="0" fontId="9" numFmtId="14" xfId="0" applyAlignment="1" applyBorder="1" applyFont="1" applyNumberFormat="1">
      <alignment horizontal="center" shrinkToFit="0" vertical="center" wrapText="1"/>
    </xf>
    <xf borderId="14" fillId="9" fontId="9" numFmtId="0" xfId="0" applyAlignment="1" applyBorder="1" applyFont="1">
      <alignment horizontal="center" shrinkToFit="0" vertical="center" wrapText="1"/>
    </xf>
    <xf borderId="7" fillId="14" fontId="9" numFmtId="0" xfId="0" applyAlignment="1" applyBorder="1" applyFont="1">
      <alignment horizontal="center" readingOrder="0" shrinkToFit="0" vertical="center" wrapText="1"/>
    </xf>
    <xf borderId="14" fillId="10" fontId="9" numFmtId="0" xfId="0" applyAlignment="1" applyBorder="1" applyFont="1">
      <alignment horizontal="center"/>
    </xf>
    <xf borderId="7" fillId="9" fontId="9" numFmtId="0" xfId="0" applyAlignment="1" applyBorder="1" applyFont="1">
      <alignment horizontal="center" shrinkToFit="0" vertical="center" wrapText="1"/>
    </xf>
    <xf borderId="7" fillId="4" fontId="9" numFmtId="171" xfId="0" applyAlignment="1" applyBorder="1" applyFont="1" applyNumberFormat="1">
      <alignment horizontal="center" shrinkToFit="0" vertical="center" wrapText="1"/>
    </xf>
    <xf borderId="9" fillId="4" fontId="9" numFmtId="167" xfId="0" applyAlignment="1" applyBorder="1" applyFont="1" applyNumberFormat="1">
      <alignment horizontal="center" shrinkToFit="0" wrapText="1"/>
    </xf>
    <xf borderId="9" fillId="4" fontId="9" numFmtId="0" xfId="0" applyAlignment="1" applyBorder="1" applyFont="1">
      <alignment horizontal="center" vertical="center"/>
    </xf>
    <xf borderId="7" fillId="4" fontId="4" numFmtId="171" xfId="0" applyAlignment="1" applyBorder="1" applyFont="1" applyNumberFormat="1">
      <alignment horizontal="center" shrinkToFit="0" vertical="center" wrapText="1"/>
    </xf>
    <xf borderId="9" fillId="5" fontId="9" numFmtId="167" xfId="0" applyAlignment="1" applyBorder="1" applyFont="1" applyNumberFormat="1">
      <alignment horizontal="center" shrinkToFit="0" wrapText="1"/>
    </xf>
    <xf borderId="9" fillId="5" fontId="9" numFmtId="0" xfId="0" applyAlignment="1" applyBorder="1" applyFont="1">
      <alignment horizontal="center" vertical="center"/>
    </xf>
    <xf borderId="20" fillId="5" fontId="24" numFmtId="0" xfId="0" applyAlignment="1" applyBorder="1" applyFont="1">
      <alignment horizontal="center"/>
    </xf>
    <xf borderId="7" fillId="8" fontId="9" numFmtId="1" xfId="0" applyAlignment="1" applyBorder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center" shrinkToFit="0" wrapText="1"/>
    </xf>
    <xf borderId="7" fillId="9" fontId="9" numFmtId="1" xfId="0" applyAlignment="1" applyBorder="1" applyFont="1" applyNumberFormat="1">
      <alignment horizontal="center" shrinkToFit="0" vertical="center" wrapText="1"/>
    </xf>
    <xf borderId="7" fillId="13" fontId="9" numFmtId="1" xfId="0" applyAlignment="1" applyBorder="1" applyFont="1" applyNumberFormat="1">
      <alignment horizontal="center" shrinkToFit="0" vertical="center" wrapText="1"/>
    </xf>
    <xf borderId="7" fillId="13" fontId="9" numFmtId="164" xfId="0" applyAlignment="1" applyBorder="1" applyFont="1" applyNumberForma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vertical="center"/>
    </xf>
    <xf borderId="21" fillId="0" fontId="9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9" numFmtId="167" xfId="0" applyAlignment="1" applyBorder="1" applyFont="1" applyNumberFormat="1">
      <alignment horizontal="center" shrinkToFit="0" vertical="center" wrapText="1"/>
    </xf>
    <xf borderId="0" fillId="4" fontId="4" numFmtId="0" xfId="0" applyAlignment="1" applyFont="1">
      <alignment horizontal="center"/>
    </xf>
    <xf borderId="9" fillId="0" fontId="35" numFmtId="0" xfId="0" applyAlignment="1" applyBorder="1" applyFont="1">
      <alignment horizontal="left" shrinkToFit="0" vertical="center" wrapText="1"/>
    </xf>
    <xf borderId="9" fillId="0" fontId="9" numFmtId="170" xfId="0" applyAlignment="1" applyBorder="1" applyFont="1" applyNumberFormat="1">
      <alignment horizontal="center" readingOrder="0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0" fillId="0" fontId="4" numFmtId="167" xfId="0" applyFont="1" applyNumberForma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5" fontId="4" numFmtId="0" xfId="0" applyAlignment="1" applyFont="1">
      <alignment horizontal="center"/>
    </xf>
    <xf borderId="0" fillId="0" fontId="4" numFmtId="0" xfId="0" applyAlignment="1" applyFont="1">
      <alignment horizontal="left" shrinkToFit="0" vertical="center" wrapText="1"/>
    </xf>
    <xf borderId="0" fillId="0" fontId="4" numFmtId="167" xfId="0" applyFont="1" applyNumberFormat="1"/>
    <xf borderId="0" fillId="0" fontId="4" numFmtId="0" xfId="0" applyAlignment="1" applyFont="1">
      <alignment shrinkToFit="0" wrapText="1"/>
    </xf>
    <xf borderId="16" fillId="0" fontId="9" numFmtId="0" xfId="0" applyAlignment="1" applyBorder="1" applyFont="1">
      <alignment vertical="center"/>
    </xf>
    <xf borderId="7" fillId="0" fontId="9" numFmtId="0" xfId="0" applyAlignment="1" applyBorder="1" applyFont="1">
      <alignment vertical="center"/>
    </xf>
    <xf borderId="7" fillId="0" fontId="9" numFmtId="0" xfId="0" applyAlignment="1" applyBorder="1" applyFont="1">
      <alignment horizontal="center" shrinkToFit="0" vertical="center" wrapText="1"/>
    </xf>
    <xf borderId="7" fillId="0" fontId="9" numFmtId="167" xfId="0" applyAlignment="1" applyBorder="1" applyFont="1" applyNumberFormat="1">
      <alignment horizontal="center" vertical="center"/>
    </xf>
    <xf borderId="7" fillId="0" fontId="4" numFmtId="0" xfId="0" applyBorder="1" applyFont="1"/>
    <xf borderId="7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left" shrinkToFit="0" vertical="center" wrapText="1"/>
    </xf>
    <xf borderId="10" fillId="0" fontId="4" numFmtId="0" xfId="0" applyBorder="1" applyFont="1"/>
    <xf borderId="7" fillId="0" fontId="9" numFmtId="1" xfId="0" applyAlignment="1" applyBorder="1" applyFont="1" applyNumberFormat="1">
      <alignment horizontal="center" shrinkToFit="0" vertical="center" wrapText="1"/>
    </xf>
    <xf borderId="21" fillId="0" fontId="9" numFmtId="0" xfId="0" applyAlignment="1" applyBorder="1" applyFont="1">
      <alignment vertical="center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shrinkToFit="0" vertical="center" wrapText="1"/>
    </xf>
    <xf borderId="9" fillId="0" fontId="9" numFmtId="1" xfId="0" applyAlignment="1" applyBorder="1" applyFont="1" applyNumberFormat="1">
      <alignment horizontal="center" shrinkToFit="0" vertical="center" wrapText="1"/>
    </xf>
    <xf borderId="9" fillId="0" fontId="9" numFmtId="167" xfId="0" applyAlignment="1" applyBorder="1" applyFont="1" applyNumberFormat="1">
      <alignment horizontal="center" vertical="center"/>
    </xf>
    <xf borderId="9" fillId="0" fontId="4" numFmtId="0" xfId="0" applyBorder="1" applyFont="1"/>
    <xf borderId="9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left" shrinkToFit="0" vertical="center" wrapText="1"/>
    </xf>
    <xf borderId="12" fillId="0" fontId="4" numFmtId="0" xfId="0" applyBorder="1" applyFont="1"/>
    <xf borderId="11" fillId="4" fontId="9" numFmtId="165" xfId="0" applyAlignment="1" applyBorder="1" applyFont="1" applyNumberFormat="1">
      <alignment horizontal="center" shrinkToFit="0" vertical="center" wrapText="1"/>
    </xf>
    <xf borderId="6" fillId="6" fontId="9" numFmtId="0" xfId="0" applyAlignment="1" applyBorder="1" applyFont="1">
      <alignment horizontal="center" shrinkToFit="0" vertical="center" wrapText="1"/>
    </xf>
    <xf borderId="6" fillId="6" fontId="9" numFmtId="165" xfId="0" applyAlignment="1" applyBorder="1" applyFont="1" applyNumberFormat="1">
      <alignment horizontal="center" shrinkToFit="0" vertical="center" wrapText="1"/>
    </xf>
    <xf borderId="0" fillId="0" fontId="9" numFmtId="165" xfId="0" applyAlignment="1" applyFont="1" applyNumberFormat="1">
      <alignment horizontal="center" shrinkToFit="0" wrapText="1"/>
    </xf>
    <xf borderId="7" fillId="4" fontId="9" numFmtId="165" xfId="0" applyAlignment="1" applyBorder="1" applyFont="1" applyNumberFormat="1">
      <alignment horizontal="center" shrinkToFit="0" vertical="center" wrapText="1"/>
    </xf>
    <xf borderId="0" fillId="4" fontId="4" numFmtId="0" xfId="0" applyAlignment="1" applyFont="1">
      <alignment horizontal="center" vertical="center"/>
    </xf>
    <xf borderId="7" fillId="5" fontId="9" numFmtId="165" xfId="0" applyAlignment="1" applyBorder="1" applyFont="1" applyNumberFormat="1">
      <alignment horizontal="center" shrinkToFit="0" vertical="center" wrapText="1"/>
    </xf>
    <xf borderId="0" fillId="5" fontId="4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165" xfId="0" applyAlignment="1" applyFont="1" applyNumberFormat="1">
      <alignment shrinkToFit="0" wrapText="1"/>
    </xf>
    <xf borderId="0" fillId="0" fontId="9" numFmtId="0" xfId="0" applyAlignment="1" applyFont="1">
      <alignment horizontal="center" vertical="center"/>
    </xf>
    <xf borderId="6" fillId="3" fontId="4" numFmtId="0" xfId="0" applyAlignment="1" applyBorder="1" applyFont="1">
      <alignment shrinkToFit="0" vertical="center" wrapText="1"/>
    </xf>
    <xf borderId="6" fillId="3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2" fillId="2" fontId="36" numFmtId="0" xfId="0" applyAlignment="1" applyBorder="1" applyFont="1">
      <alignment horizontal="center" vertical="center"/>
    </xf>
    <xf borderId="7" fillId="2" fontId="36" numFmtId="0" xfId="0" applyAlignment="1" applyBorder="1" applyFont="1">
      <alignment horizontal="center" vertical="center"/>
    </xf>
    <xf borderId="7" fillId="2" fontId="36" numFmtId="0" xfId="0" applyAlignment="1" applyBorder="1" applyFont="1">
      <alignment horizontal="center" shrinkToFit="0" vertical="center" wrapText="1"/>
    </xf>
    <xf borderId="7" fillId="2" fontId="36" numFmtId="172" xfId="0" applyAlignment="1" applyBorder="1" applyFont="1" applyNumberFormat="1">
      <alignment horizontal="center" vertical="center"/>
    </xf>
    <xf borderId="14" fillId="2" fontId="36" numFmtId="14" xfId="0" applyAlignment="1" applyBorder="1" applyFont="1" applyNumberFormat="1">
      <alignment horizontal="center" shrinkToFit="0" vertical="center" wrapText="1"/>
    </xf>
    <xf borderId="7" fillId="2" fontId="36" numFmtId="1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4" numFmtId="172" xfId="0" applyAlignment="1" applyFont="1" applyNumberFormat="1">
      <alignment shrinkToFit="0" vertical="center" wrapText="1"/>
    </xf>
    <xf borderId="0" fillId="0" fontId="37" numFmtId="0" xfId="0" applyAlignment="1" applyFont="1">
      <alignment shrinkToFit="0" vertical="center" wrapText="1"/>
    </xf>
    <xf borderId="0" fillId="0" fontId="4" numFmtId="1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72" xfId="0" applyAlignment="1" applyFont="1" applyNumberFormat="1">
      <alignment shrinkToFit="0" vertical="center" wrapText="1"/>
    </xf>
    <xf borderId="0" fillId="0" fontId="4" numFmtId="172" xfId="0" applyAlignment="1" applyFont="1" applyNumberFormat="1">
      <alignment vertical="center"/>
    </xf>
    <xf borderId="7" fillId="3" fontId="4" numFmtId="0" xfId="0" applyAlignment="1" applyBorder="1" applyFont="1">
      <alignment horizontal="center" vertical="center"/>
    </xf>
    <xf borderId="7" fillId="3" fontId="9" numFmtId="1" xfId="0" applyAlignment="1" applyBorder="1" applyFont="1" applyNumberFormat="1">
      <alignment horizontal="center" shrinkToFit="0" vertical="center" wrapText="1"/>
    </xf>
    <xf borderId="7" fillId="3" fontId="9" numFmtId="1" xfId="0" applyAlignment="1" applyBorder="1" applyFont="1" applyNumberFormat="1">
      <alignment horizontal="center" readingOrder="0" shrinkToFit="0" vertical="center" wrapText="1"/>
    </xf>
    <xf borderId="7" fillId="3" fontId="9" numFmtId="164" xfId="0" applyAlignment="1" applyBorder="1" applyFont="1" applyNumberFormat="1">
      <alignment horizontal="center" readingOrder="0" shrinkToFit="0" vertical="center" wrapText="1"/>
    </xf>
    <xf borderId="7" fillId="3" fontId="4" numFmtId="165" xfId="0" applyBorder="1" applyFont="1" applyNumberFormat="1"/>
    <xf borderId="7" fillId="3" fontId="9" numFmtId="166" xfId="0" applyAlignment="1" applyBorder="1" applyFont="1" applyNumberFormat="1">
      <alignment horizontal="center" shrinkToFit="0" vertical="center" wrapText="1"/>
    </xf>
    <xf borderId="0" fillId="3" fontId="6" numFmtId="0" xfId="0" applyFont="1"/>
    <xf borderId="0" fillId="0" fontId="4" numFmtId="14" xfId="0" applyFont="1" applyNumberFormat="1"/>
    <xf borderId="16" fillId="2" fontId="8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vertical="center"/>
    </xf>
    <xf borderId="7" fillId="2" fontId="8" numFmtId="0" xfId="0" applyAlignment="1" applyBorder="1" applyFont="1">
      <alignment horizontal="center" shrinkToFit="0" vertical="center" wrapText="1"/>
    </xf>
    <xf borderId="7" fillId="2" fontId="8" numFmtId="167" xfId="0" applyAlignment="1" applyBorder="1" applyFont="1" applyNumberFormat="1">
      <alignment horizontal="center" vertical="center"/>
    </xf>
    <xf borderId="10" fillId="2" fontId="8" numFmtId="14" xfId="0" applyAlignment="1" applyBorder="1" applyFont="1" applyNumberFormat="1">
      <alignment horizontal="center" shrinkToFit="0" vertical="center" wrapText="1"/>
    </xf>
    <xf borderId="7" fillId="2" fontId="8" numFmtId="14" xfId="0" applyAlignment="1" applyBorder="1" applyFont="1" applyNumberFormat="1">
      <alignment horizontal="center" shrinkToFit="0" vertical="center" wrapText="1"/>
    </xf>
    <xf borderId="16" fillId="4" fontId="9" numFmtId="0" xfId="0" applyAlignment="1" applyBorder="1" applyFont="1">
      <alignment horizontal="center" vertical="center"/>
    </xf>
    <xf borderId="7" fillId="4" fontId="9" numFmtId="167" xfId="0" applyAlignment="1" applyBorder="1" applyFont="1" applyNumberFormat="1">
      <alignment horizontal="center" vertical="center"/>
    </xf>
    <xf borderId="10" fillId="4" fontId="9" numFmtId="14" xfId="0" applyAlignment="1" applyBorder="1" applyFont="1" applyNumberFormat="1">
      <alignment horizontal="center" vertical="center"/>
    </xf>
    <xf borderId="7" fillId="4" fontId="9" numFmtId="14" xfId="0" applyAlignment="1" applyBorder="1" applyFont="1" applyNumberFormat="1">
      <alignment horizontal="center" vertical="center"/>
    </xf>
    <xf borderId="16" fillId="5" fontId="9" numFmtId="0" xfId="0" applyAlignment="1" applyBorder="1" applyFont="1">
      <alignment horizontal="center" vertical="center"/>
    </xf>
    <xf borderId="7" fillId="5" fontId="9" numFmtId="167" xfId="0" applyAlignment="1" applyBorder="1" applyFont="1" applyNumberFormat="1">
      <alignment horizontal="center" vertical="center"/>
    </xf>
    <xf borderId="10" fillId="5" fontId="9" numFmtId="14" xfId="0" applyAlignment="1" applyBorder="1" applyFont="1" applyNumberFormat="1">
      <alignment horizontal="center" vertical="center"/>
    </xf>
    <xf borderId="7" fillId="5" fontId="9" numFmtId="14" xfId="0" applyAlignment="1" applyBorder="1" applyFont="1" applyNumberFormat="1">
      <alignment horizontal="center" vertical="center"/>
    </xf>
    <xf borderId="7" fillId="4" fontId="9" numFmtId="49" xfId="0" applyAlignment="1" applyBorder="1" applyFont="1" applyNumberFormat="1">
      <alignment horizontal="center" shrinkToFit="0" vertical="center" wrapText="1"/>
    </xf>
    <xf borderId="7" fillId="5" fontId="9" numFmtId="49" xfId="0" applyAlignment="1" applyBorder="1" applyFont="1" applyNumberFormat="1">
      <alignment horizontal="center" shrinkToFit="0" vertical="center" wrapText="1"/>
    </xf>
    <xf borderId="7" fillId="5" fontId="38" numFmtId="0" xfId="0" applyAlignment="1" applyBorder="1" applyFont="1">
      <alignment horizontal="center" readingOrder="0" shrinkToFit="0" vertical="center" wrapText="1"/>
    </xf>
    <xf borderId="7" fillId="13" fontId="9" numFmtId="1" xfId="0" applyAlignment="1" applyBorder="1" applyFont="1" applyNumberFormat="1">
      <alignment horizontal="center" readingOrder="0" shrinkToFit="0" vertical="center" wrapText="1"/>
    </xf>
    <xf borderId="7" fillId="4" fontId="9" numFmtId="1" xfId="0" applyAlignment="1" applyBorder="1" applyFont="1" applyNumberFormat="1">
      <alignment horizontal="center" vertical="center"/>
    </xf>
    <xf borderId="7" fillId="5" fontId="9" numFmtId="1" xfId="0" applyAlignment="1" applyBorder="1" applyFont="1" applyNumberFormat="1">
      <alignment horizontal="center" vertical="center"/>
    </xf>
    <xf borderId="10" fillId="5" fontId="9" numFmtId="14" xfId="0" applyAlignment="1" applyBorder="1" applyFont="1" applyNumberFormat="1">
      <alignment horizontal="center" shrinkToFit="0" vertical="center" wrapText="1"/>
    </xf>
    <xf borderId="10" fillId="4" fontId="9" numFmtId="14" xfId="0" applyAlignment="1" applyBorder="1" applyFont="1" applyNumberFormat="1">
      <alignment horizontal="center" shrinkToFit="0" vertical="center" wrapText="1"/>
    </xf>
    <xf borderId="7" fillId="4" fontId="39" numFmtId="4" xfId="0" applyAlignment="1" applyBorder="1" applyFont="1" applyNumberFormat="1">
      <alignment horizontal="center" vertical="center"/>
    </xf>
    <xf borderId="7" fillId="5" fontId="32" numFmtId="14" xfId="0" applyAlignment="1" applyBorder="1" applyFont="1" applyNumberFormat="1">
      <alignment horizontal="center" shrinkToFit="0" vertical="center" wrapText="1"/>
    </xf>
    <xf borderId="21" fillId="4" fontId="9" numFmtId="0" xfId="0" applyAlignment="1" applyBorder="1" applyFont="1">
      <alignment horizontal="center" vertical="center"/>
    </xf>
    <xf borderId="0" fillId="0" fontId="4" numFmtId="167" xfId="0" applyAlignment="1" applyFont="1" applyNumberFormat="1">
      <alignment shrinkToFit="0" wrapText="1"/>
    </xf>
    <xf borderId="9" fillId="4" fontId="9" numFmtId="167" xfId="0" applyAlignment="1" applyBorder="1" applyFont="1" applyNumberFormat="1">
      <alignment horizontal="center" vertical="center"/>
    </xf>
    <xf borderId="12" fillId="4" fontId="9" numFmtId="14" xfId="0" applyAlignment="1" applyBorder="1" applyFont="1" applyNumberFormat="1">
      <alignment horizontal="center" vertical="center"/>
    </xf>
    <xf borderId="9" fillId="4" fontId="9" numFmtId="14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7" fillId="14" fontId="22" numFmtId="167" xfId="0" applyAlignment="1" applyBorder="1" applyFont="1" applyNumberFormat="1">
      <alignment horizontal="center" shrinkToFit="0" wrapText="1"/>
    </xf>
    <xf borderId="6" fillId="14" fontId="22" numFmtId="1" xfId="0" applyAlignment="1" applyBorder="1" applyFont="1" applyNumberFormat="1">
      <alignment horizontal="center" shrinkToFit="0" wrapText="1"/>
    </xf>
    <xf borderId="7" fillId="15" fontId="9" numFmtId="171" xfId="0" applyAlignment="1" applyBorder="1" applyFill="1" applyFont="1" applyNumberFormat="1">
      <alignment horizontal="center" shrinkToFit="0" vertical="center" wrapText="1"/>
    </xf>
    <xf borderId="7" fillId="0" fontId="9" numFmtId="14" xfId="0" applyAlignment="1" applyBorder="1" applyFont="1" applyNumberFormat="1">
      <alignment horizontal="center" vertical="center"/>
    </xf>
    <xf borderId="6" fillId="15" fontId="9" numFmtId="1" xfId="0" applyAlignment="1" applyBorder="1" applyFont="1" applyNumberFormat="1">
      <alignment horizontal="center" shrinkToFit="0" vertical="center" wrapText="1"/>
    </xf>
    <xf borderId="7" fillId="0" fontId="9" numFmtId="1" xfId="0" applyAlignment="1" applyBorder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0" fillId="0" fontId="9" numFmtId="14" xfId="0" applyAlignment="1" applyFont="1" applyNumberFormat="1">
      <alignment horizontal="center" vertical="center"/>
    </xf>
    <xf borderId="10" fillId="0" fontId="40" numFmtId="0" xfId="0" applyAlignment="1" applyBorder="1" applyFont="1">
      <alignment shrinkToFit="0" wrapText="1"/>
    </xf>
    <xf borderId="7" fillId="0" fontId="40" numFmtId="0" xfId="0" applyAlignment="1" applyBorder="1" applyFont="1">
      <alignment shrinkToFit="0" wrapText="1"/>
    </xf>
    <xf borderId="10" fillId="0" fontId="41" numFmtId="0" xfId="0" applyAlignment="1" applyBorder="1" applyFont="1">
      <alignment shrinkToFit="0" wrapText="1"/>
    </xf>
    <xf borderId="7" fillId="0" fontId="41" numFmtId="0" xfId="0" applyAlignment="1" applyBorder="1" applyFont="1">
      <alignment shrinkToFit="0" wrapText="1"/>
    </xf>
    <xf borderId="0" fillId="0" fontId="4" numFmtId="1" xfId="0" applyAlignment="1" applyFont="1" applyNumberFormat="1">
      <alignment shrinkToFit="0" wrapText="1"/>
    </xf>
    <xf borderId="0" fillId="0" fontId="4" numFmtId="172" xfId="0" applyAlignment="1" applyFont="1" applyNumberFormat="1">
      <alignment shrinkToFit="0" wrapText="1"/>
    </xf>
    <xf borderId="12" fillId="0" fontId="41" numFmtId="0" xfId="0" applyAlignment="1" applyBorder="1" applyFont="1">
      <alignment shrinkToFit="0" wrapText="1"/>
    </xf>
    <xf borderId="9" fillId="0" fontId="41" numFmtId="0" xfId="0" applyAlignment="1" applyBorder="1" applyFont="1">
      <alignment shrinkToFit="0" wrapText="1"/>
    </xf>
    <xf borderId="8" fillId="0" fontId="4" numFmtId="0" xfId="0" applyAlignment="1" applyBorder="1" applyFont="1">
      <alignment shrinkToFit="0" wrapText="1"/>
    </xf>
    <xf borderId="8" fillId="0" fontId="41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wrapText="1"/>
    </xf>
    <xf borderId="8" fillId="0" fontId="42" numFmtId="0" xfId="0" applyAlignment="1" applyBorder="1" applyFont="1">
      <alignment shrinkToFit="0" wrapText="1"/>
    </xf>
    <xf borderId="3" fillId="0" fontId="41" numFmtId="0" xfId="0" applyAlignment="1" applyBorder="1" applyFont="1">
      <alignment shrinkToFit="0" wrapText="1"/>
    </xf>
    <xf borderId="7" fillId="5" fontId="9" numFmtId="164" xfId="0" applyAlignment="1" applyBorder="1" applyFont="1" applyNumberFormat="1">
      <alignment horizontal="center" readingOrder="0" shrinkToFit="0" vertical="center" wrapText="1"/>
    </xf>
    <xf borderId="7" fillId="4" fontId="9" numFmtId="164" xfId="0" applyAlignment="1" applyBorder="1" applyFont="1" applyNumberFormat="1">
      <alignment horizontal="center" readingOrder="0" shrinkToFit="0" vertical="center" wrapText="1"/>
    </xf>
    <xf borderId="9" fillId="3" fontId="9" numFmtId="1" xfId="0" applyAlignment="1" applyBorder="1" applyFont="1" applyNumberFormat="1">
      <alignment horizontal="center" shrinkToFit="0" vertical="center" wrapText="1"/>
    </xf>
    <xf borderId="9" fillId="3" fontId="9" numFmtId="1" xfId="0" applyAlignment="1" applyBorder="1" applyFont="1" applyNumberFormat="1">
      <alignment horizontal="center" readingOrder="0" shrinkToFit="0" vertical="center" wrapText="1"/>
    </xf>
    <xf borderId="9" fillId="3" fontId="9" numFmtId="164" xfId="0" applyAlignment="1" applyBorder="1" applyFont="1" applyNumberFormat="1">
      <alignment horizontal="center" readingOrder="0" shrinkToFit="0" vertical="center" wrapText="1"/>
    </xf>
    <xf borderId="9" fillId="3" fontId="4" numFmtId="165" xfId="0" applyBorder="1" applyFont="1" applyNumberFormat="1"/>
    <xf borderId="9" fillId="3" fontId="9" numFmtId="166" xfId="0" applyAlignment="1" applyBorder="1" applyFont="1" applyNumberFormat="1">
      <alignment horizontal="center" shrinkToFit="0" vertical="center" wrapText="1"/>
    </xf>
    <xf borderId="7" fillId="7" fontId="9" numFmtId="1" xfId="0" applyAlignment="1" applyBorder="1" applyFont="1" applyNumberFormat="1">
      <alignment horizontal="center" shrinkToFit="0" vertical="center" wrapText="1"/>
    </xf>
    <xf borderId="7" fillId="13" fontId="4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center" shrinkToFit="0" vertical="center" wrapText="1"/>
    </xf>
    <xf borderId="7" fillId="4" fontId="9" numFmtId="0" xfId="0" applyAlignment="1" applyBorder="1" applyFont="1">
      <alignment horizontal="center" readingOrder="0" shrinkToFit="0" vertical="center" wrapText="1"/>
    </xf>
    <xf borderId="7" fillId="5" fontId="7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horizontal="center" shrinkToFit="0" vertical="center" wrapText="1"/>
    </xf>
    <xf borderId="7" fillId="5" fontId="9" numFmtId="0" xfId="0" applyAlignment="1" applyBorder="1" applyFont="1">
      <alignment horizontal="center" readingOrder="0" shrinkToFit="0" vertical="center" wrapText="1"/>
    </xf>
    <xf borderId="7" fillId="4" fontId="6" numFmtId="1" xfId="0" applyAlignment="1" applyBorder="1" applyFont="1" applyNumberFormat="1">
      <alignment horizontal="center" readingOrder="0"/>
    </xf>
    <xf borderId="0" fillId="0" fontId="4" numFmtId="164" xfId="0" applyFont="1" applyNumberFormat="1"/>
    <xf borderId="0" fillId="0" fontId="4" numFmtId="165" xfId="0" applyFont="1" applyNumberFormat="1"/>
    <xf borderId="0" fillId="0" fontId="4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3">
    <tableStyle count="3" pivot="0" name="90103_2024-style">
      <tableStyleElement dxfId="2" type="headerRow"/>
      <tableStyleElement dxfId="3" type="firstRowStripe"/>
      <tableStyleElement dxfId="4" type="secondRowStripe"/>
    </tableStyle>
    <tableStyle count="3" pivot="0" name="90060_2024-style">
      <tableStyleElement dxfId="2" type="headerRow"/>
      <tableStyleElement dxfId="3" type="firstRowStripe"/>
      <tableStyleElement dxfId="4" type="secondRowStripe"/>
    </tableStyle>
    <tableStyle count="3" pivot="0" name="233_2023-style">
      <tableStyleElement dxfId="2" type="headerRow"/>
      <tableStyleElement dxfId="3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pivotCacheDefinition" Target="pivotCache/pivotCacheDefinition1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503" sheet="PREGÕES CONSOLIDADOS"/>
  </cacheSource>
  <cacheFields>
    <cacheField name="PREGÃO" numFmtId="0">
      <sharedItems>
        <s v="233_2023"/>
        <s v="247_2023"/>
        <s v="90060_2024"/>
        <s v="90101_2024"/>
        <s v="90103_2024"/>
        <s v="90121_2024"/>
        <s v="90091_2024"/>
        <s v="90186_2024"/>
      </sharedItems>
    </cacheField>
    <cacheField name="ITEM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</sharedItems>
    </cacheField>
    <cacheField name="VEÍCULO" numFmtId="0">
      <sharedItems>
        <s v="E-1"/>
        <s v="E-2"/>
        <s v="C-1/01A/DTS"/>
        <s v="C-4/01A/DTS"/>
        <s v="C-4/02A/DTS"/>
        <s v="C-5/02A/DTS"/>
        <s v="C-6/01A/DTS"/>
        <s v="C-7/01A/DTS"/>
        <s v="C-9/01A/DTS"/>
        <s v="E-4/02A/DTS"/>
        <s v="E-8/01A/DTS"/>
        <s v="E-10/02A/DTS"/>
        <s v="E-12/03B/DTS"/>
        <s v="E-13/01A/DTS"/>
        <s v="E-14/01A/DTS"/>
        <s v="E-15/01A/DTS"/>
        <s v="E-16/01A/DTS"/>
        <s v="E-17/01A/DTS"/>
        <s v="E-19/01A/DTS"/>
        <s v="E-26/01A/DTS"/>
        <s v="E-27/01A/DTS"/>
        <s v="P-1/02A/DTS"/>
        <s v="P-2/01A/DTS"/>
        <s v="P-3/01A/DTS"/>
        <s v="P-5/01A/DTS"/>
        <s v="P-6/01A/DTS"/>
        <s v="P-8/01A/DTS"/>
        <s v="P-11/01A/DTS"/>
        <s v="P-12/02A/DTS"/>
        <s v="P-13/01A/DTS"/>
        <s v="P-14/01A/DTS"/>
        <s v="P-15/01A/DTS"/>
        <s v="C-2/01A/DTS"/>
        <s v="E-1/01A/DTS"/>
        <s v="E-6/01A/DTS"/>
        <s v="E-11/02A/DTS"/>
        <s v="E-12/02B/DTS"/>
        <s v="P-10/01A/DTS"/>
        <s v="P-18/01A/DTS"/>
        <s v="E1-01A-DTS"/>
        <s v="E2-01A-DTS"/>
        <s v="E2-02A-DTS"/>
        <s v="P-1/02A/DTS "/>
        <s v="P-10/01A/DTS "/>
        <s v="MÓDULO DE &#10;ABASTECIMENTO 15.000 L PARA GASOLINA"/>
        <s v="MÓDULO DE &#10;ABASTECIMENTO 15.000 L PARA DIESEL S10"/>
        <s v="C-8-01A-DTS"/>
        <s v="E-16-01A-DTS"/>
        <s v="E-15-01A-DTS"/>
        <s v="C-1-01A-DTS"/>
        <s v="C-2-01A-DTS"/>
        <s v="P-7-01A-DTS"/>
        <s v="C-7-01A-DTS"/>
        <s v="P-19-01A-DTS"/>
        <s v="P-12-02A-DTS"/>
        <s v="E-8-01A-DTS"/>
        <s v="E-7-01A-DTS"/>
        <s v="E-9-01A-DTS"/>
        <s v="E-10-02A-DTS"/>
        <s v="E-26-01A-DTS"/>
        <s v="E-27-01A-DTS"/>
        <s v="C-4-01A-DTS"/>
        <s v="E-25-01A-DTS"/>
        <s v="E-14-01A-DTS"/>
        <s v="P-5-01A-DTS"/>
        <s v="P-10-01A-DTS"/>
        <s v="P-6-01A-DTS"/>
        <s v="P-18-01A-DTS"/>
        <s v="P-11-01A-DTS"/>
        <s v="C-6-01A-DTS"/>
        <s v="C-9-01A-DTS"/>
        <s v="E-22-01A-DTS"/>
        <s v="E-17-01A-DTS"/>
        <s v="C-3-01A-DTS"/>
        <s v="E-13-01A-DTS"/>
        <s v="E-12-03B-DTS"/>
        <s v="P-3-01A-DTS"/>
      </sharedItems>
    </cacheField>
    <cacheField name="NOMENCLATURA" numFmtId="0">
      <sharedItems>
        <s v="AMBULÂNCIA DE SUPORTE BÁSICO DE VIDA"/>
        <s v="AMBULÂNCIA DE SUPORTE AVANÇADO DE VIDA"/>
        <s v="CAMINHÃO LEVE"/>
        <s v="FURGÃO LEVE"/>
        <s v="FURGÃO LEVE (TIPO VAN)"/>
        <s v="CAMINHÃO BAÚ"/>
        <s v="PICK UP CABINE SIMPLES"/>
        <s v="CAMINHÃO TRUCADO"/>
        <s v="REBOQUE CARGA"/>
        <s v="CAMINHÃO-PIPA"/>
        <s v="CARRO GUINCHO SOCORRO LEVE"/>
        <s v="EMPILHADEIRA"/>
        <s v="TRATOR DE RODAS COM ROÇADEIRA"/>
        <s v="TRATOR DE ESTEIRAS"/>
        <s v="MICROTRATOR COM APARADOR DE GRAMA"/>
        <s v="CAMINHÃO EQUIPADO COM GUINDASTE HIDRÁULICO"/>
        <s v="CAMINHÃO EQUIPADO COM ELEVADOR HIDRÁULICO E CESTO AÉREO"/>
        <s v="RETROESCAVADEIRA COM PÁ CARREGADEIRA"/>
        <s v="CARRO LIMPA FOSSA"/>
        <s v="FURGÃO FRIGORÍFICO"/>
        <s v="FURGÃO ISOTÉRMICO"/>
        <s v="VEÍCULO ESPECIAL"/>
        <s v="VEÍCULO DE SERVIÇO"/>
        <s v="UTILITÁRIO"/>
        <s v="MICROÔNIBUS"/>
        <s v="ÔNIBUS"/>
        <s v="MOTOCICLETA NORMAL"/>
        <s v="PICK UP CABINE DUPLA"/>
        <s v="CARRO DE OPERAÇÕES"/>
        <s v="CARRO DE PRESOS"/>
        <s v="VAN"/>
        <s v="CARRO PATRULHA"/>
        <s v="CAMINHÃO MÉDIO PESADO"/>
        <s v="CARRO DE COLETOR"/>
        <s v="TRATOR INDUSTRIAL"/>
        <s v="MOTOCICLETA TRAIL"/>
        <s v="ÔNIBUS MILITARIZADO"/>
        <s v="AMBULÂNCIA DE SUPORTE AVANÇADO DE VIDA 4x4"/>
        <s v="MÓDULO DE &#10;ABASTECIMENTO "/>
        <s v="CAMINHÃO BAÚ TRUCADO"/>
        <s v="CAMINHÃO MÉDIO/PESADO"/>
        <s v="CAMINHÃO MILITAR"/>
        <s v="CAMINHONETE MILITAR"/>
        <s v="CARRO GUINCHO-SOCORRO PESADO"/>
        <s v="CAVALO MECÂNICO"/>
        <s v="FURGÃO LEVE PARA TRANSPORTE DE CÃES"/>
        <s v="MICRO TRATOR C/ APARADOR DE GRAMA"/>
        <s v="REBOQUE MOTOCICLETA"/>
        <s v="SEMIRREBOQUE"/>
        <s v="TRATOR DE RODAS"/>
      </sharedItems>
    </cacheField>
    <cacheField name="QTD TR" numFmtId="0">
      <sharedItems containsSemiMixedTypes="0" containsString="0" containsNumber="1" containsInteger="1">
        <n v="17.0"/>
        <n v="13.0"/>
        <n v="1.0"/>
        <n v="3.0"/>
        <n v="4.0"/>
        <n v="2.0"/>
        <n v="5.0"/>
        <n v="9.0"/>
        <n v="8.0"/>
        <n v="7.0"/>
        <n v="40.0"/>
        <n v="10.0"/>
        <n v="6.0"/>
      </sharedItems>
    </cacheField>
    <cacheField name="QTD EMPENHADO">
      <sharedItems containsMixedTypes="1" containsNumber="1" containsInteger="1">
        <n v="13.0"/>
        <n v="2.0"/>
        <n v="1.0"/>
        <n v="4.0"/>
        <n v="3.0"/>
        <n v="0.0"/>
        <s v="x"/>
        <n v="9.0"/>
        <n v="8.0"/>
        <n v="5.0"/>
        <n v="20.0"/>
        <n v="10.0"/>
        <n v="6.0"/>
      </sharedItems>
    </cacheField>
    <cacheField name="QNT DISPONÍVEL">
      <sharedItems containsMixedTypes="1" containsNumber="1" containsInteger="1">
        <n v="4.0"/>
        <n v="11.0"/>
        <n v="0.0"/>
        <n v="1.0"/>
        <s v="x"/>
        <s v=" "/>
        <n v="5.0"/>
        <n v="2.0"/>
        <n v="3.0"/>
        <n v="7.0"/>
        <n v="20.0"/>
      </sharedItems>
    </cacheField>
    <cacheField name="  VALOR UNITÁRIO ">
      <sharedItems containsMixedTypes="1" containsNumber="1">
        <n v="334800.0"/>
        <n v="529000.0"/>
        <n v="305000.0"/>
        <n v="144000.0"/>
        <n v="253684.0"/>
        <n v="518980.0"/>
        <n v="103229.0"/>
        <n v="595000.0"/>
        <n v="13682.0"/>
        <n v="790000.0"/>
        <n v="649900.0"/>
        <s v=" REVOGADO"/>
        <s v="  "/>
        <n v="1189999.78"/>
        <n v="979980.0"/>
        <n v="592400.0"/>
        <n v="474000.0"/>
        <n v="590000.0"/>
        <n v="390000.0"/>
        <n v="136701.0"/>
        <n v="81572.0"/>
        <n v="615000.0"/>
        <n v="969000.0"/>
        <n v="255750.0"/>
        <n v="253627.0"/>
        <n v="268000.0"/>
        <n v="295200.0"/>
        <n v="118000.0"/>
        <n v="109400.0"/>
        <n v="349800.0"/>
        <n v="124899.0"/>
        <n v="177002.58"/>
        <n v="22299.0"/>
        <n v="386000.0"/>
        <n v="275000.0"/>
        <n v="27489.0"/>
        <n v="202990.0"/>
        <n v="246000.0"/>
        <n v="295000.0"/>
        <n v="219990.0"/>
        <n v="1490000.0"/>
        <s v="  R$                       -  "/>
        <n v="97500.0"/>
        <n v="825000.0"/>
        <n v="132825.0"/>
        <n v="130000.0"/>
        <n v="105000.0"/>
        <n v="574575.0"/>
        <n v="659633.19"/>
        <n v="558500.0"/>
        <n v="979500.0"/>
        <n v="364128.52"/>
        <n v="517000.0"/>
        <n v="880000.0"/>
        <n v="594480.0"/>
        <n v="617000.0"/>
        <n v="244000.0"/>
        <n v="564480.0"/>
        <n v="734998.0"/>
        <n v="760000.0"/>
        <n v="120800.0"/>
        <n v="350800.0"/>
        <n v="186100.0"/>
        <n v="128690.0"/>
        <n v="450000.0"/>
        <n v="20720.0"/>
        <n v="17979.0"/>
        <n v="660000.0"/>
        <n v="30980.0"/>
        <n v="935000.0"/>
        <n v="1664000.0"/>
        <n v="208646.0"/>
        <n v="126880.0"/>
        <n v="15250.0"/>
        <n v="13000.0"/>
        <n v="350000.0"/>
        <n v="290900.0"/>
        <n v="1150000.0"/>
        <n v="243520.0"/>
        <n v="125197.29"/>
      </sharedItems>
    </cacheField>
    <cacheField name="  VALOR TOTAL ">
      <sharedItems containsMixedTypes="1" containsNumber="1">
        <n v="5691600.0"/>
        <n v="6877000.0"/>
        <n v="305000.0"/>
        <n v="144000.0"/>
        <n v="432000.0"/>
        <n v="253684.0"/>
        <n v="518980.0"/>
        <n v="309687.0"/>
        <n v="103229.0"/>
        <n v="595000.0"/>
        <n v="54728.0"/>
        <n v="3160000.0"/>
        <n v="649900.0"/>
        <s v="  R$                                   -  "/>
        <n v="1189999.78"/>
        <n v="979980.0"/>
        <n v="592400.0"/>
        <n v="474000.0"/>
        <n v="590000.0"/>
        <n v="390000.0"/>
        <n v="410103.0"/>
        <n v="136701.0"/>
        <n v="81572.0"/>
        <n v="163144.0"/>
        <n v="734148.0"/>
        <n v="1845000.0"/>
        <n v="615000.0"/>
        <n v="1938000.0"/>
        <n v="969000.0"/>
        <n v="255750.0"/>
        <n v="2046000.0"/>
        <n v="1023000.0"/>
        <n v="253627.0"/>
        <n v="268000.0"/>
        <n v="804000.0"/>
        <n v="885600.0"/>
        <n v="295200.0"/>
        <n v="1180800.0"/>
        <n v="590400.0"/>
        <n v="118000.0"/>
        <n v="354000.0"/>
        <n v="236000.0"/>
        <n v="328200.0"/>
        <n v="109400.0"/>
        <n v="349800.0"/>
        <n v="124899.0"/>
        <n v="499596.0"/>
        <n v="354005.16"/>
        <n v="708010.32"/>
        <n v="177002.58"/>
        <n v="289887.0"/>
        <n v="386000.0"/>
        <n v="275000.0"/>
        <n v="27489.0"/>
        <n v="202990.0"/>
        <n v="1623920.0"/>
        <n v="811960.0"/>
        <n v="492000.0"/>
        <n v="246000.0"/>
        <n v="738000.0"/>
        <n v="885000.0"/>
        <n v="295000.0"/>
        <n v="1180000.0"/>
        <n v="219990.0"/>
        <n v="439980.0"/>
        <n v="1490000.0"/>
        <n v="195000.0"/>
        <n v="487500.0"/>
        <n v="97500.0"/>
        <n v="2475000.0"/>
        <n v="825000.0"/>
        <n v="664125.0"/>
        <n v="132825.0"/>
        <n v="265650.0"/>
        <n v="398475.0"/>
        <n v="929775.0"/>
        <n v="0.0"/>
        <n v="130000.0"/>
        <n v="105000.0"/>
        <n v="574575.0"/>
        <n v="2638532.76"/>
        <n v="558500.0"/>
        <n v="979500.0"/>
        <n v="364128.52"/>
        <n v="1092385.56"/>
        <n v="517000.0"/>
        <n v="880000.0"/>
        <n v="594480.0"/>
        <n v="617000.0"/>
        <n v="1234000.0"/>
        <n v="244000.0"/>
        <n v="564480.0"/>
        <n v="734998.0"/>
        <n v="1520000.0"/>
        <n v="120800.0"/>
        <n v="350800.0"/>
        <n v="186100.0"/>
        <n v="372200.0"/>
        <n v="128690.0"/>
        <n v="257380.0"/>
        <n v="450000.0"/>
        <n v="900000.0"/>
        <n v="62160.0"/>
        <n v="41440.0"/>
        <n v="20720.0"/>
        <n v="269360.0"/>
        <n v="103600.0"/>
        <n v="17979.0"/>
        <n v="165760.0"/>
        <n v="660000.0"/>
        <n v="3300000.0"/>
        <n v="1980000.0"/>
        <n v="1320000.0"/>
        <n v="1239200.0"/>
        <n v="935000.0"/>
        <n v="1870000.0"/>
        <n v="3740000.0"/>
        <n v="1664000.0"/>
        <n v="417292.0"/>
        <n v="2086460.0"/>
        <n v="1043230.0"/>
        <n v="1251876.0"/>
        <n v="208646.0"/>
        <n v="380640.0"/>
        <n v="30500.0"/>
        <n v="61000.0"/>
        <n v="13000.0"/>
        <n v="350000.0"/>
        <n v="581800.0"/>
        <n v="1150000.0"/>
        <n v="243520.0"/>
        <n v="487040.0"/>
        <n v="1461120.0"/>
        <n v="1217600.0"/>
        <n v="625986.45"/>
        <n v="500789.16"/>
        <n v="250394.58"/>
        <n v="125197.29"/>
      </sharedItems>
    </cacheField>
    <cacheField name="OM TERMO DE REFERÊNCIA" numFmtId="0">
      <sharedItems>
        <s v=" "/>
        <s v="CINDACTA 1"/>
        <s v="CRCEA-SE"/>
        <s v=" DECEA"/>
        <s v="BACG"/>
        <s v="BAPV"/>
        <s v="CINDACTA 3"/>
        <s v="CINDACTA 2"/>
        <s v="CISCEA"/>
        <s v="GABAER"/>
        <s v="CINDACTA 4"/>
        <s v="DECEA"/>
        <s v="CLA"/>
        <s v="GAP-RF"/>
        <s v="PAMERJ"/>
        <s v="GAP-SP"/>
        <s v="ERA PRA ONDE?"/>
        <s v="GAP-MN"/>
        <s v="CPBV"/>
        <s v="GAP-AF"/>
        <s v="GAP-SJ"/>
        <s v="AFA"/>
        <s v="BAFL"/>
        <s v="GAP-DF"/>
        <s v="GAP-GL"/>
        <s v="GAP-RJ"/>
        <s v="GAP-CO"/>
        <s v="BAAN"/>
        <s v="BASV"/>
        <s v="EEAR"/>
        <s v="BAFZ"/>
        <s v="EPCAR"/>
        <s v="GAP-LS"/>
        <s v="GAP-BR"/>
        <s v="BASC"/>
        <s v="BASM"/>
        <s v="BABV"/>
        <s v="BANT"/>
        <s v="GAP-BE"/>
        <s v="CGABEG"/>
        <s v="GSAU-AK"/>
        <s v="GSAU-AN"/>
        <s v="GSAU-BQ"/>
        <s v="GSAU-BV"/>
        <s v="GSAU-CG"/>
        <s v="GSAU-FZ"/>
        <s v="GSAU-GW"/>
        <s v="GSAU-NT"/>
        <s v="GSAU-PV"/>
        <s v="GSAU-SJ"/>
        <s v="GSAU-SV"/>
        <s v="HABE"/>
        <s v="HARF"/>
        <s v="HFAB"/>
        <s v="HFASP"/>
        <s v="GSAU-LS"/>
        <s v="GSAU-YS"/>
        <s v="HAAF"/>
        <s v="HACO"/>
        <s v="HAMN"/>
        <s v="HCA"/>
        <s v=" BANT "/>
        <s v=" GAP-AF"/>
        <s v=" BANT"/>
        <s v=" GAP-RF"/>
        <s v="CLBI"/>
        <s v="COMARA"/>
        <s v="CINDACTA3"/>
        <s v="PAME-RJ"/>
        <s v="ICEA"/>
        <s v="1 BACG,           1 BAAN,             1 BASC,            1 BANT,              1 BAPV"/>
      </sharedItems>
    </cacheField>
    <cacheField name="MARCA/MODELO" numFmtId="0">
      <sharedItems>
        <s v="RENAULT - MASTER L3H2"/>
        <s v="HYUNDAI/ HD80 COM CARROCERIA"/>
        <s v="PEUGEOT PARTNER"/>
        <s v="FIAT/ NOVA DUCATO CARGO 2.2 DIESEL 2024"/>
        <s v="IVECO/ TECTOR 150E21 (4x2)"/>
        <s v="NOVA STRADA FREEDOM CP MT"/>
        <s v="VOLKSWAGEN MODELO 26.260 CONSTELLATION"/>
        <s v="CARRETAS RUSSO/ R - RUSSO 1700 1E"/>
        <s v="VOLKSWAGEN TRUCK &amp; BUS IND VEIC AUTOMOTORES"/>
        <s v="VOLKSWAGEN / 14210 PLATAFORMA AUTO SOCORRO"/>
        <s v="x"/>
        <s v="UNFORKLIFT/ UN16YE"/>
        <s v="VOLVO/ VMX 290 (6x4)"/>
        <s v="VOLKSWAGEN/9180 COM ELEVADOR HIDRAULICO E CESTO AEREO"/>
        <s v=" "/>
        <s v="Volkswagen / Caminhão Costellation 17.210"/>
        <s v="RENAULT / L2H2 TRANSFORMADO"/>
        <s v="FIORINO ENDURANCE FLEX"/>
        <s v="ARGO DRIVE 1.0"/>
        <s v=" MARCOPOLO/ATTACK 9 EXECUTIVO"/>
        <s v="VOLKSWAGEN/17230 ONIBUS 47 + 1 LUGARES "/>
        <s v="FORD RANGER"/>
        <s v="MITSUBISHI/L200 TRITON GL"/>
        <s v="FORD TRANSIT MINIBUS"/>
        <s v="FIAT FIORINO ENDURANCE 1.4 FLEX 2024/2024"/>
        <s v="FIAT FIORINO ENDURANCE 1.4 FLEX 2024/2025"/>
        <s v="FIAT FIORINO ENDURANCE 1.4 FLEX 2024/2026"/>
        <s v="FIAT FIORINO ENDURANCE 1.4 FLEX 2024/2027"/>
        <s v="FIAT FIORINO ENDURANCE 1.4 FLEX 2024/2028"/>
        <s v="FIAT STRADA ENDURANCE CABINE PLUS/SIMPLES 1.3 FLEX 2024/2024"/>
        <s v="FORD TRANSIT / L3H3"/>
        <s v="FABRICANTE: HANGCHA/ MODELO NACIONALIZADO&#10;MARCA: HANGCHA/ MOVIX&#10;MODELO: CPCD25/ MD25"/>
        <s v="MAHINDRA 6075 / MFW ROTD 1800"/>
        <s v="MAHINDRA 6075 / MFW ROTD 1801"/>
        <s v="MAHINDRA 6075 / MFW ROTD 1802"/>
        <s v="Modelo: TS 142&#10;Marca: HUSQVARNA"/>
        <s v="FABRICANTE/MARCA: XCMG&#10;MODELO: XC870BR-I&#10;PROCEDÊNCIA: NACIONAL"/>
        <s v="RENAULT MASTER L2H2 "/>
        <s v="YAMAHA FACTOR 150 UBS - 2024/2024"/>
        <s v="L200 TRITON GL / MITSUBISHI "/>
        <s v="FORD RENAULT MASTER / L3H2 16 LUGARES"/>
        <s v="MERCEDES / OF1726 CARROCERIA MASCARELLO"/>
        <s v="FIAT - CRONOS  DRIVE 1.3  FLEX 4P  2025 "/>
        <s v=" x "/>
        <s v="VOLKSWAGEN / MASCARELLO"/>
        <s v="C3 AIRCROSS 7 FEEL TURBO 200 AT"/>
        <s v="JBS"/>
        <s v="VOLVO / VM"/>
        <s v="VOLVO"/>
        <s v="MERCEDES-BENS&#10;"/>
        <s v="Foton Aumark 916"/>
        <s v="Volkswagen Truck &amp; bus / 14210 com carroceria metalica "/>
        <s v="VOLKSWAGEN 11180 4X4&#10;"/>
        <s v="MERCEDES-BENS/ ATEGO 2429"/>
        <s v="AGRALE MARRUÁ AM23 G2 - MILITAR&#10;"/>
        <s v="MITSUBISHI / L200 TRITON GL"/>
        <s v="MERCEDES-BENS / ATEGO 1419"/>
        <s v="IVECO / TECTOR 17-210"/>
        <s v="Volkswagen truck &amp; bus&#10;"/>
        <s v="HEDESA CPCD25"/>
        <s v="RENAULT/ MASTER GRAND FURGÃO 2.3 16V L2H2"/>
        <s v="FIAT / FIORINO"/>
        <s v="FORD/ TRANSIT FURGÃO L3H3 MT"/>
        <s v="TOYAMA &#10;"/>
        <s v="TOYAMA&#10;"/>
        <s v="MARCOPOLO/ ATTACK 9/ EXECUTIVO"/>
        <s v="SHINERAY / SHI 175s EFI"/>
        <s v="VOLKSWAGEN / ÔNIBUS  17.230/CARR. MASCARELLO GRAN VIA"/>
        <s v="VW /CHASSI"/>
        <s v="FIAT/ TITANO"/>
        <s v="FIAT / STRADA CS"/>
        <s v="CARRETAS RUSSO/P.C.S. DAMASCENO &amp; CIA LTDA / R/ RUSSO CR 1700 1E-CARGA"/>
        <s v="ARC / CR01"/>
        <s v="DIKKWELL / 3CX"/>
        <s v="FACCHINI / SEMIRREBOQUE"/>
        <s v="KOMATSU"/>
        <s v="LOVOL"/>
        <s v="CITROEN / AIRCROSS FEEL 7 LUGARES 1.0"/>
      </sharedItems>
    </cacheField>
    <cacheField name="CNPJ" numFmtId="0">
      <sharedItems>
        <s v="38.120.508/0001-04"/>
        <s v="51.552.005/0001-68"/>
        <s v="34.263.393/0001-48"/>
        <s v="16.701.716/0001-56"/>
        <s v="46.135.499/0001-45"/>
        <s v="11.726.521/0020-00"/>
        <s v="35.157.698/0001-38"/>
        <s v="x"/>
        <s v=" "/>
        <s v="31.306.830/0001-75"/>
        <s v="88.611.835/0018-77"/>
        <s v="03.470.727/0041-18"/>
        <s v="54.305.743/0011-70"/>
        <s v="23.821.956/0001-50"/>
        <s v="03.093.776/0018-30"/>
        <s v="10.346.806/0001-90"/>
        <s v="29.211.016/0002-06"/>
        <s v="29.211.016/0002-07"/>
        <s v="29.211.016/0002-08"/>
        <s v="52.500.287/0001-12"/>
        <s v=" 14.707.364/0001-10 "/>
        <s v="12.939.753/0001-46"/>
        <s v=" 54.305.743/0011-70 "/>
        <s v=" x "/>
        <s v="11.726.521/0001-47"/>
        <s v="07.886.644/0001-78"/>
        <s v="29.309.381/0001-77"/>
        <s v="03.093.776/0018-30 "/>
        <s v="03.093.776/0018-30 &#10;"/>
        <s v="08.206.867/0001-00&#10;"/>
        <s v="46.135.499/0001-45&#10;"/>
        <s v="46.135.499/0001-45 &#10;"/>
        <s v="11.726.521/0001-47 "/>
        <s v="88.610.324/0001-92&#10;"/>
        <s v="48.161.058/0001-43"/>
        <s v="00.913.443/0001-73"/>
        <s v="29.127.216/0001-02"/>
        <s v="50.325.167/0001-09"/>
        <s v="76.074.376/0001-02"/>
        <s v="17.119.079/0001-77"/>
        <s v="31.306.830/0001-75 "/>
        <s v="51.552.005/0001-68 "/>
        <s v="16.701.716/0001-56 "/>
        <s v="50.325.167/0001-09 "/>
        <s v="46.151.804/0001-92"/>
        <s v="57.212.891/0001-67 "/>
        <s v="29.127.216/0001-02 "/>
        <s v="46.872.557/0001-13&#10;"/>
        <s v="13.798.658/0001-32&#10;"/>
        <s v="13.798.658/0001-32 &#10;"/>
        <s v="29.034.608/0001-19 "/>
      </sharedItems>
    </cacheField>
    <cacheField name="EMPRESA" numFmtId="0">
      <sharedItems>
        <s v="G10 TRANSFORMADORA, COMERCIO E SERVICOS LTDA"/>
        <s v=" NOVO HORIZONTE COMERCIO E SERVICOS LTDA"/>
        <s v="DELTA COMERCIAL E SERVICOS LTDA"/>
        <s v="NOVO HORIZONTE COMERCIO E SERVIÇOS LTDA"/>
        <s v="FCA FIAT CHRYSLER AUTOMOVEIS BRASIL LTDA"/>
        <s v="FORZA DISTRIBUIDORA LTDA"/>
        <s v="TRANSRIO CAMINHOES, ONIBUS, MAQUINAS E MOTORES LTDA"/>
        <s v="MWD NEGOCIOS &amp; SOLUCOES EIRELI"/>
        <s v="x"/>
        <s v=" "/>
        <s v="ABOLICAO CAMINHOES E ONIBUS LTDA"/>
        <s v="MARCOPOLO SA"/>
        <s v="FORD MOTOR COMPANY BRASIL LTDA"/>
        <s v="HPE AUTOMOTORES DO BRASIL LTDA"/>
        <s v="DINAMICA "/>
        <s v="MANUPA"/>
        <s v="MOVIX"/>
        <s v="DNM - DISTRIBUIDORA NACIONAL DE MAQUINAS LTDA"/>
        <s v="CASA NASSER COMERCIO"/>
        <s v=" XCMG BRASIL INDUSTRIA LTDA"/>
        <s v="VALE CENTER MOTOS"/>
        <s v="HPE AUTOMOTORES"/>
        <s v="FCA Fiat Chrysler Automóveis Brasil Ltda"/>
        <s v=" x "/>
        <s v=" Ok Distribuidora de Veículos e Peças LTDA"/>
        <s v="Inova Agronegócios LTDA"/>
        <s v="MANUPA COMERCIO EXPORTACAO IMPORTACAO DE EQUIPAMENTOS E VEICULOS ADAPTADOS LTDA"/>
        <s v=" MANUPA COMERCIO EXPORTACAO IMPORTACAO DE EQUIPAMENTOS E VEICULOS ADAPTADOS LTDA&#10;"/>
        <s v="MANUPA &#10;"/>
        <s v="ECS COMERCIO DE VEICULOS"/>
        <s v="FORZA DISTRIBUIDORA LTDA&#10;"/>
        <s v="TRANSRIO CAMINHOES, ONIBUS, MAQUINAS E MOTORES LTDA &#10;"/>
        <s v="TRANSRIO CAMINHOES, ONIBUS, MAQUINAS E MOTORES LTDA&#10;"/>
        <s v="ECS COMERCIO DE VEICULOS E EQUIPAMENTOS LTDA"/>
        <s v="AGRALE"/>
        <s v="POTTENCIAL VEICULOS ESPECIAIS LTDA &#10;"/>
        <s v="TRANSRIO CAMINHOES"/>
        <s v="BAUMASTER IMPORTACAO E COMERCIO DE MAQUINAS LTDA&#10;"/>
        <s v="RENAULT DO BRASIL S.A"/>
        <s v="AF EMPREENDIMENTOS LTDA"/>
        <s v="X CAR VEICULOS LTDA FRACASSADO"/>
        <s v="FORD MOTOR COMPANY BRASIL LTDA FRACASSADO"/>
        <s v="AGROVET SUL SERVICOS E COMERCIO DE EQUIPAMENTOS LTDA &#10;"/>
        <s v="AGROVET SUL SERVICOS E COMERCIO DE EQUIPAMENTOS LTDA&#10;"/>
        <s v="J. MENEZES COSTA LTDA"/>
        <s v="NOVO HORIZONTE COMERCIO E SERVICOS LTDA FRACASSADO"/>
        <s v="L D UNIDADES MOVEIS &amp; REPRESENTACOES LTDA"/>
        <s v="LJX DO BRASIL LTDA FRACASADO"/>
        <s v="RIO VERMELHO COMERCIO DE MAQUINAS EQUIPAMENTOS E SERVICOS LTDA&#10;"/>
        <s v="LIDON COMERCIO E REPRESENTACAO COMERCIAL DE MAQUINAS LTDA&#10;"/>
        <s v="LIDON COMERCIO E REPRESENTACAO COMERCIAL DE MAQUINAS LTDA &#10;"/>
        <s v="SAINT-TROPEZ DISTRIBUIDORA DE VEICULOS LTDA"/>
      </sharedItems>
    </cacheField>
    <cacheField name="CONTATO " numFmtId="0">
      <sharedItems containsBlank="1">
        <s v=" "/>
        <s v="62 98538-1830"/>
        <s v="(62) 32286752"/>
        <s v="11 993795516"/>
        <s v="(62) 9 9967-4771"/>
        <s v="12 974072062 ou 12 988939333"/>
        <s v="(22) 998644296"/>
        <s v="21 3661-9999 // 21 993362877"/>
        <s v="(54) 2101 4147"/>
        <s v="(54) 2101 4148"/>
        <s v="(54) 2101 4149"/>
        <s v="(54) 2101 4150"/>
        <s v="(54) 2101 4151"/>
        <s v="(54) 2101 4152"/>
        <s v="(54) 2101 4153"/>
        <s v="(54) 2101 4154"/>
        <s v="11 41745713"/>
        <s v="(11) 3214-4550 /(11) 98167-5341"/>
        <s v="x"/>
        <s v=" (62) 99139-5151"/>
        <s v="(11) 2478-2818"/>
        <s v=" (54) 3342-9850"/>
        <s v=" (61) 99836-0434"/>
        <s v="(19) 3656-9400"/>
        <s v="(35) 2102-0500 – ramal 10617"/>
        <s v=" (66) 3566-2020 (66) 98452-6520"/>
        <s v="(11) 98167-5341 "/>
        <s v="(41) 99228 3904"/>
        <s v=" x "/>
        <s v="12 988939333"/>
        <s v=" 11 4723 1330"/>
        <s v="(62) 99885-3642"/>
        <m/>
        <s v="(62) 9 9145-5883"/>
        <s v="062 3952-1122"/>
      </sharedItems>
    </cacheField>
    <cacheField name="E-MAIL" numFmtId="0">
      <sharedItems containsBlank="1">
        <s v="g10transformadora@gmail.com"/>
        <s v=" "/>
        <s v="deltacomercial08@gmail.com"/>
        <s v="admnovohorizontecomercio@gmail.com nhcomercio.vendas02@gmail.com"/>
        <s v="graziela.souza@stellantis.com    //  rodrigo.magalhaes@stellantis.com"/>
        <s v="temporarioforza@gmail.com"/>
        <s v="marcus.turner@hotmail.com////Edson.aguiar@transrio.com.br"/>
        <s v="mwdlicitacao@gmail.com"/>
        <s v="catia.ferreira266@gmail.com"/>
        <s v="rodrigo.sartori@volare.com.br"/>
        <s v="dmassini@ford.com, bsanto66@ford.com, jcinotti@ford.com"/>
        <s v="governo@almeidaesilva.com.br"/>
        <s v="x"/>
        <s v="contato@comercialdinamica.com.br"/>
        <s v=" vg@manupa.com.br manupa@manupa.com.br"/>
        <s v=" licitacao@movix.ind.br"/>
        <s v=" DNMmaquinas@gmail.com"/>
        <s v=" licitacoes@somassey.com.br"/>
        <s v=": agnaldo.mendes@zocarrio.com.br&#10; licitacao@xcmgbrasil.com.br T"/>
        <s v="001440.titular@yamahaconcessionaria.com.br&#10; licitacaovalecentermotos@gmail.com"/>
        <s v="governo@almeidaesilva.com.br "/>
        <s v="antonio.menna@stellantis.com "/>
        <s v=" x "/>
        <s v="marcus.turner@transrio.com.br"/>
        <s v="não fornecido "/>
        <s v="inova.agronegocios01@gmail.com"/>
        <m/>
        <s v="licitacao@afempreendimentos.com"/>
      </sharedItems>
    </cacheField>
    <cacheField name="ATA ">
      <sharedItems containsBlank="1" containsMixedTypes="1" containsNumber="1" containsInteger="1">
        <s v="1316/2023"/>
        <s v="1311/2023"/>
        <n v="1006.0"/>
        <n v="1326.0"/>
        <n v="1323.0"/>
        <n v="1007.0"/>
        <n v="1325.0"/>
        <n v="1005.0"/>
        <s v="x"/>
        <s v=" "/>
        <n v="1322.0"/>
        <n v="1318.0"/>
        <n v="1008.0"/>
        <n v="1320.0"/>
        <n v="1324.0"/>
        <n v="1321.0"/>
        <n v="1319.0"/>
        <n v="1192.0"/>
        <s v=" 1192"/>
        <s v="1190/2024"/>
        <n v="1196.0"/>
        <n v="1197.0"/>
        <n v="1195.0"/>
        <n v="1194.0"/>
        <n v="1190.0"/>
        <n v="1193.0"/>
        <s v="01253/2024"/>
        <s v="01290/2024"/>
        <m/>
        <s v="01350/2024"/>
      </sharedItems>
    </cacheField>
    <cacheField name="VIGÊNCIA">
      <sharedItems containsDate="1" containsBlank="1" containsMixedTypes="1">
        <d v="2025-01-23T00:00:00Z"/>
        <d v="2025-02-08T00:00:00Z"/>
        <d v="2024-12-28T00:00:00Z"/>
        <d v="2025-02-28T00:00:00Z"/>
        <s v="x"/>
        <s v=" "/>
        <d v="2024-12-27T00:00:00Z"/>
        <s v=" 09/07/2025"/>
        <d v="2025-07-09T00:00:00Z"/>
        <d v="2025-06-26T00:00:00Z"/>
        <s v=" 26/06/2025"/>
        <d v="2025-07-02T00:00:00Z"/>
        <d v="2025-06-20T00:00:00Z"/>
        <s v="06/08/2024 a 05/08/2025"/>
        <s v="03/09/2024 a 02/09/2025"/>
        <m/>
        <s v="24/09/2024 a 23/09/2025"/>
        <d v="2025-11-14T00:00:00Z"/>
        <d v="2025-12-12T00:00:00Z"/>
        <d v="2025-12-16T00:00:00Z"/>
      </sharedItems>
    </cacheField>
    <cacheField name="OBSERVAÇÃO" numFmtId="0">
      <sharedItems containsBlank="1">
        <s v=" "/>
        <s v="QTD DISPONÍVEL ERRADA SILOMS"/>
        <s v="x"/>
        <s v="AGUARDANDO RECURSO"/>
        <s v=" NÃO POSSUI CONTRATO AINDA"/>
        <s v=" siloms está com número do item errado"/>
        <s v="DIVERGÊNCIA ITEM 19 NO SILOMS / COM 1 UNIDADE DISPONÍVEL"/>
        <s v="NÃO EMPENHAR MAIS"/>
        <s v="EMPENHADO"/>
        <s v="reservado conforme Ofício nº 4579/SPOG-20/9378"/>
        <s v="reservado conforme Ofício nº 4579/SPOG-20/9379"/>
        <s v="reservado conforme Ofício nº 4579/SPOG-20/9380"/>
        <s v="HOMOLOGADO DIA 26/08/24"/>
        <s v="Julgado e habilitado (aguardando decisão de recursos)"/>
        <s v="homologado"/>
        <m/>
        <s v="HOMOLOGADO "/>
        <s v="HOMOLOGADO VENCEDOR NOVO HORIZONTE ITEM REABERTO"/>
        <s v="Julgado e habilitado (aberto para recursos)"/>
        <s v="Aguardando julgamento"/>
        <s v="solicitação do GABAER em 02/12/2024 Maj Poliana"/>
        <s v="FRACASSADO"/>
        <s v="CONFORME OF N° 7202/SPOG-20/14784 DE 25/11/2024 DO COMPRE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rowGrandTotals="0" compact="0" compactData="0">
  <location ref="A1:E100" firstHeaderRow="0" firstDataRow="4" firstDataCol="0"/>
  <pivotFields>
    <pivotField name="PREGÃO" axis="axisRow" compact="0" outline="0" multipleItemSelectionAllowed="1" showAll="0" sortType="ascending" defaultSubtotal="0">
      <items>
        <item x="0"/>
        <item x="1"/>
        <item x="2"/>
        <item x="6"/>
        <item x="3"/>
        <item x="4"/>
        <item x="5"/>
        <item x="7"/>
      </items>
    </pivotField>
    <pivotField name="ITEM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name="VEÍCULO" axis="axisRow" compact="0" outline="0" multipleItemSelectionAllowed="1" showAll="0" sortType="ascending" defaultSubtotal="0">
      <items>
        <item x="49"/>
        <item x="2"/>
        <item x="50"/>
        <item x="32"/>
        <item x="73"/>
        <item x="61"/>
        <item x="3"/>
        <item x="4"/>
        <item x="5"/>
        <item x="69"/>
        <item x="6"/>
        <item x="52"/>
        <item x="7"/>
        <item x="46"/>
        <item x="70"/>
        <item x="8"/>
        <item x="0"/>
        <item x="33"/>
        <item x="58"/>
        <item x="11"/>
        <item x="35"/>
        <item x="75"/>
        <item x="36"/>
        <item x="12"/>
        <item x="74"/>
        <item x="13"/>
        <item x="63"/>
        <item x="14"/>
        <item x="48"/>
        <item x="15"/>
        <item x="47"/>
        <item x="16"/>
        <item x="72"/>
        <item x="17"/>
        <item x="18"/>
        <item x="1"/>
        <item x="71"/>
        <item x="62"/>
        <item x="59"/>
        <item x="19"/>
        <item x="60"/>
        <item x="20"/>
        <item x="9"/>
        <item x="34"/>
        <item x="56"/>
        <item x="55"/>
        <item x="10"/>
        <item x="57"/>
        <item x="39"/>
        <item x="40"/>
        <item x="41"/>
        <item x="45"/>
        <item x="44"/>
        <item x="21"/>
        <item x="42"/>
        <item x="65"/>
        <item x="37"/>
        <item x="43"/>
        <item x="68"/>
        <item x="27"/>
        <item x="54"/>
        <item x="28"/>
        <item x="29"/>
        <item x="30"/>
        <item x="31"/>
        <item x="67"/>
        <item x="38"/>
        <item x="53"/>
        <item x="22"/>
        <item x="76"/>
        <item x="23"/>
        <item x="64"/>
        <item x="24"/>
        <item x="66"/>
        <item x="25"/>
        <item x="51"/>
        <item x="26"/>
      </items>
    </pivotField>
    <pivotField name="NOMENCLATU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QTD 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TD EMPENH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QNT DISPONÍ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 VALOR UNITÁRI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  VALOR TOT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OM TERMO DE REFERÊ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MARCA/MODEL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NPJ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CONTA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E-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AT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IGÊNCIA" axis="axisRow" compact="0" outline="0" multipleItemSelectionAllowed="1" showAll="0" sortType="ascending">
      <items>
        <item x="15"/>
        <item x="6"/>
        <item x="2"/>
        <item x="0"/>
        <item x="1"/>
        <item x="3"/>
        <item x="12"/>
        <item x="9"/>
        <item x="11"/>
        <item x="8"/>
        <item x="17"/>
        <item x="18"/>
        <item x="19"/>
        <item x="5"/>
        <item x="7"/>
        <item x="10"/>
        <item x="14"/>
        <item x="13"/>
        <item x="16"/>
        <item x="4"/>
        <item t="default"/>
      </items>
    </pivotField>
    <pivotField name="OBSERV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2"/>
    <field x="1"/>
    <field x="0"/>
    <field x="16"/>
  </rowFields>
</pivotTableDefinition>
</file>

<file path=xl/tables/table1.xml><?xml version="1.0" encoding="utf-8"?>
<table xmlns="http://schemas.openxmlformats.org/spreadsheetml/2006/main" ref="A2:Q8" displayName="Table_1" name="Table_1" id="1">
  <tableColumns count="17">
    <tableColumn name="ITEM" id="1"/>
    <tableColumn name="VEÍCULO" id="2"/>
    <tableColumn name="NOMENCLATURA" id="3"/>
    <tableColumn name="QTD TR" id="4"/>
    <tableColumn name="QTD EMPENHADO" id="5"/>
    <tableColumn name="QTD DISPONÍVEL" id="6"/>
    <tableColumn name="VALOR UNITÁRIO" id="7"/>
    <tableColumn name="VALOR TOTAL" id="8"/>
    <tableColumn name="OM RECEBEDORA" id="9"/>
    <tableColumn name="MARCA/MODELO" id="10"/>
    <tableColumn name="CNPJ" id="11"/>
    <tableColumn name="EMPRESA" id="12"/>
    <tableColumn name="CONTATO" id="13"/>
    <tableColumn name="EMAIL" id="14"/>
    <tableColumn name="ATA " id="15"/>
    <tableColumn name="VIGÊNCIA" id="16"/>
    <tableColumn name="OBS " id="17"/>
  </tableColumns>
  <tableStyleInfo name="90103_2024-style" showColumnStripes="0" showFirstColumn="1" showLastColumn="1" showRowStripes="1"/>
</table>
</file>

<file path=xl/tables/table2.xml><?xml version="1.0" encoding="utf-8"?>
<table xmlns="http://schemas.openxmlformats.org/spreadsheetml/2006/main" ref="A23:Q114" displayName="Table_2" name="Table_2" id="2">
  <tableColumns count="17">
    <tableColumn name="ITEM" id="1"/>
    <tableColumn name="VEÍCULO" id="2"/>
    <tableColumn name="NOMENCLATURA" id="3"/>
    <tableColumn name="QTD TR" id="4"/>
    <tableColumn name="QNT EMPENHADO" id="5"/>
    <tableColumn name="QNT DISPONÍVEL" id="6"/>
    <tableColumn name="VALOR UNITÁRIO" id="7"/>
    <tableColumn name="VALOR TOTAL" id="8"/>
    <tableColumn name="OM RECEBEDORA" id="9"/>
    <tableColumn name="MARCA" id="10"/>
    <tableColumn name="CNPJ" id="11"/>
    <tableColumn name="EMPRESA" id="12"/>
    <tableColumn name="CONTATO" id="13"/>
    <tableColumn name="EMAIL" id="14"/>
    <tableColumn name="ATA " id="15"/>
    <tableColumn name="VIGÊNCIA" id="16"/>
    <tableColumn name="OBS " id="17"/>
  </tableColumns>
  <tableStyleInfo name="90060_2024-style" showColumnStripes="0" showFirstColumn="1" showLastColumn="1" showRowStripes="1"/>
</table>
</file>

<file path=xl/tables/table3.xml><?xml version="1.0" encoding="utf-8"?>
<table xmlns="http://schemas.openxmlformats.org/spreadsheetml/2006/main" ref="A2:Q4" displayName="Table_3" name="Table_3" id="3">
  <tableColumns count="17">
    <tableColumn name="ITEM" id="1"/>
    <tableColumn name="VEÍCULO" id="2"/>
    <tableColumn name="NOMENCLATURA" id="3"/>
    <tableColumn name="QTD TR" id="4"/>
    <tableColumn name="QTD EMPENHADO" id="5"/>
    <tableColumn name="QNT DISPONÍVEL" id="6"/>
    <tableColumn name="VALOR UNITÁRIO" id="7"/>
    <tableColumn name="VALOR TOTAL" id="8"/>
    <tableColumn name="OM RECEBEDORA" id="9"/>
    <tableColumn name="MARCA/MODELO" id="10"/>
    <tableColumn name="CNPJ" id="11"/>
    <tableColumn name="EMPRESA" id="12"/>
    <tableColumn name="CONTATO " id="13"/>
    <tableColumn name="E-MAIL" id="14"/>
    <tableColumn name="ATA " id="15"/>
    <tableColumn name="VIGÊNCIA" id="16"/>
    <tableColumn name="OBSERVAÇÃO" id="17"/>
  </tableColumns>
  <tableStyleInfo name="233_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ans1"/>
        <a:ea typeface="Liberation Sans1"/>
        <a:cs typeface="Liberation Sans1"/>
      </a:majorFont>
      <a:minorFont>
        <a:latin typeface="Liberation Sans1"/>
        <a:ea typeface="Liberation Sans1"/>
        <a:cs typeface="Liberation Sans1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about:blank" TargetMode="External"/><Relationship Id="rId107" Type="http://schemas.openxmlformats.org/officeDocument/2006/relationships/hyperlink" Target="mailto:DNMmaquinas@gmail.com" TargetMode="External"/><Relationship Id="rId106" Type="http://schemas.openxmlformats.org/officeDocument/2006/relationships/hyperlink" Target="mailto:licitacao@movix.ind.br" TargetMode="External"/><Relationship Id="rId105" Type="http://schemas.openxmlformats.org/officeDocument/2006/relationships/hyperlink" Target="mailto:licitacao@movix.ind.br" TargetMode="External"/><Relationship Id="rId104" Type="http://schemas.openxmlformats.org/officeDocument/2006/relationships/hyperlink" Target="mailto:licitacao@movix.ind.br" TargetMode="External"/><Relationship Id="rId109" Type="http://schemas.openxmlformats.org/officeDocument/2006/relationships/hyperlink" Target="mailto:DNMmaquinas@gmail.com" TargetMode="External"/><Relationship Id="rId108" Type="http://schemas.openxmlformats.org/officeDocument/2006/relationships/hyperlink" Target="mailto:DNMmaquinas@gmail.com" TargetMode="External"/><Relationship Id="rId48" Type="http://schemas.openxmlformats.org/officeDocument/2006/relationships/hyperlink" Target="mailto:rodrigo.sartori@volare.com.br" TargetMode="External"/><Relationship Id="rId47" Type="http://schemas.openxmlformats.org/officeDocument/2006/relationships/hyperlink" Target="mailto:rodrigo.sartori@volare.com.br" TargetMode="External"/><Relationship Id="rId49" Type="http://schemas.openxmlformats.org/officeDocument/2006/relationships/hyperlink" Target="mailto:rodrigo.sartori@volare.com.br" TargetMode="External"/><Relationship Id="rId103" Type="http://schemas.openxmlformats.org/officeDocument/2006/relationships/hyperlink" Target="mailto:licitacao@movix.ind.br" TargetMode="External"/><Relationship Id="rId102" Type="http://schemas.openxmlformats.org/officeDocument/2006/relationships/hyperlink" Target="mailto:licitacao@movix.ind.br" TargetMode="External"/><Relationship Id="rId101" Type="http://schemas.openxmlformats.org/officeDocument/2006/relationships/hyperlink" Target="mailto:vg@manupa.com.br" TargetMode="External"/><Relationship Id="rId100" Type="http://schemas.openxmlformats.org/officeDocument/2006/relationships/hyperlink" Target="mailto:dmassini@ford.com,%20bsanto66@ford.com,%20jcinotti@ford.com" TargetMode="External"/><Relationship Id="rId31" Type="http://schemas.openxmlformats.org/officeDocument/2006/relationships/hyperlink" Target="mailto:deltacomercial08@gmail.com" TargetMode="External"/><Relationship Id="rId30" Type="http://schemas.openxmlformats.org/officeDocument/2006/relationships/hyperlink" Target="mailto:catia.ferreira266@gmail.com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mailto:mwdlicitacao@gmail.com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mailto:temporarioforza@gmail.com" TargetMode="External"/><Relationship Id="rId23" Type="http://schemas.openxmlformats.org/officeDocument/2006/relationships/hyperlink" Target="about:blank" TargetMode="External"/><Relationship Id="rId129" Type="http://schemas.openxmlformats.org/officeDocument/2006/relationships/hyperlink" Target="mailto:marcus.turner@transrio.com.br" TargetMode="External"/><Relationship Id="rId128" Type="http://schemas.openxmlformats.org/officeDocument/2006/relationships/hyperlink" Target="mailto:marcus.turner@transrio.com.br" TargetMode="External"/><Relationship Id="rId127" Type="http://schemas.openxmlformats.org/officeDocument/2006/relationships/hyperlink" Target="mailto:vg@manupa.com.br" TargetMode="External"/><Relationship Id="rId126" Type="http://schemas.openxmlformats.org/officeDocument/2006/relationships/hyperlink" Target="mailto:vg@manupa.com.br" TargetMode="External"/><Relationship Id="rId26" Type="http://schemas.openxmlformats.org/officeDocument/2006/relationships/hyperlink" Target="mailto:temporarioforza@gmail.com" TargetMode="External"/><Relationship Id="rId121" Type="http://schemas.openxmlformats.org/officeDocument/2006/relationships/hyperlink" Target="mailto:vg@manupa.com.br" TargetMode="External"/><Relationship Id="rId25" Type="http://schemas.openxmlformats.org/officeDocument/2006/relationships/hyperlink" Target="mailto:temporarioforza@gmail.com" TargetMode="External"/><Relationship Id="rId120" Type="http://schemas.openxmlformats.org/officeDocument/2006/relationships/hyperlink" Target="mailto:vg@manupa.com.br" TargetMode="External"/><Relationship Id="rId28" Type="http://schemas.openxmlformats.org/officeDocument/2006/relationships/hyperlink" Target="mailto:temporarioforza@gmail.com" TargetMode="External"/><Relationship Id="rId27" Type="http://schemas.openxmlformats.org/officeDocument/2006/relationships/hyperlink" Target="mailto:temporarioforza@gmail.com" TargetMode="External"/><Relationship Id="rId125" Type="http://schemas.openxmlformats.org/officeDocument/2006/relationships/hyperlink" Target="mailto:vg@manupa.com.br" TargetMode="External"/><Relationship Id="rId29" Type="http://schemas.openxmlformats.org/officeDocument/2006/relationships/hyperlink" Target="about:blank" TargetMode="External"/><Relationship Id="rId124" Type="http://schemas.openxmlformats.org/officeDocument/2006/relationships/hyperlink" Target="mailto:vg@manupa.com.br" TargetMode="External"/><Relationship Id="rId123" Type="http://schemas.openxmlformats.org/officeDocument/2006/relationships/hyperlink" Target="mailto:vg@manupa.com.br" TargetMode="External"/><Relationship Id="rId122" Type="http://schemas.openxmlformats.org/officeDocument/2006/relationships/hyperlink" Target="mailto:vg@manupa.com.br" TargetMode="External"/><Relationship Id="rId95" Type="http://schemas.openxmlformats.org/officeDocument/2006/relationships/hyperlink" Target="mailto:dmassini@ford.com,%20bsanto66@ford.com,%20jcinotti@ford.com" TargetMode="External"/><Relationship Id="rId94" Type="http://schemas.openxmlformats.org/officeDocument/2006/relationships/hyperlink" Target="mailto:dmassini@ford.com,%20bsanto66@ford.com,%20jcinotti@ford.com" TargetMode="External"/><Relationship Id="rId97" Type="http://schemas.openxmlformats.org/officeDocument/2006/relationships/hyperlink" Target="mailto:dmassini@ford.com,%20bsanto66@ford.com,%20jcinotti@ford.com" TargetMode="External"/><Relationship Id="rId96" Type="http://schemas.openxmlformats.org/officeDocument/2006/relationships/hyperlink" Target="mailto:dmassini@ford.com,%20bsanto66@ford.com,%20jcinotti@ford.com" TargetMode="External"/><Relationship Id="rId11" Type="http://schemas.openxmlformats.org/officeDocument/2006/relationships/hyperlink" Target="about:blank" TargetMode="External"/><Relationship Id="rId99" Type="http://schemas.openxmlformats.org/officeDocument/2006/relationships/hyperlink" Target="mailto:dmassini@ford.com,%20bsanto66@ford.com,%20jcinotti@ford.com" TargetMode="External"/><Relationship Id="rId10" Type="http://schemas.openxmlformats.org/officeDocument/2006/relationships/hyperlink" Target="about:blank" TargetMode="External"/><Relationship Id="rId98" Type="http://schemas.openxmlformats.org/officeDocument/2006/relationships/hyperlink" Target="mailto:dmassini@ford.com,%20bsanto66@ford.com,%20jcinotti@ford.com" TargetMode="External"/><Relationship Id="rId13" Type="http://schemas.openxmlformats.org/officeDocument/2006/relationships/hyperlink" Target="mailto:temporarioforza@gmail.com" TargetMode="External"/><Relationship Id="rId12" Type="http://schemas.openxmlformats.org/officeDocument/2006/relationships/hyperlink" Target="about:blank" TargetMode="External"/><Relationship Id="rId91" Type="http://schemas.openxmlformats.org/officeDocument/2006/relationships/hyperlink" Target="mailto:governo@almeidaesilva.com.br" TargetMode="External"/><Relationship Id="rId90" Type="http://schemas.openxmlformats.org/officeDocument/2006/relationships/hyperlink" Target="mailto:governo@almeidaesilva.com.br" TargetMode="External"/><Relationship Id="rId93" Type="http://schemas.openxmlformats.org/officeDocument/2006/relationships/hyperlink" Target="mailto:dmassini@ford.com,%20bsanto66@ford.com,%20jcinotti@ford.com" TargetMode="External"/><Relationship Id="rId92" Type="http://schemas.openxmlformats.org/officeDocument/2006/relationships/hyperlink" Target="mailto:governo@almeidaesilva.com.br" TargetMode="External"/><Relationship Id="rId118" Type="http://schemas.openxmlformats.org/officeDocument/2006/relationships/hyperlink" Target="mailto:vg@manupa.com.br" TargetMode="External"/><Relationship Id="rId117" Type="http://schemas.openxmlformats.org/officeDocument/2006/relationships/hyperlink" Target="mailto:vg@manupa.com.br" TargetMode="External"/><Relationship Id="rId116" Type="http://schemas.openxmlformats.org/officeDocument/2006/relationships/hyperlink" Target="mailto:vg@manupa.com.br" TargetMode="External"/><Relationship Id="rId115" Type="http://schemas.openxmlformats.org/officeDocument/2006/relationships/hyperlink" Target="mailto:agnaldo.mendes@zocarrio.com.br" TargetMode="External"/><Relationship Id="rId119" Type="http://schemas.openxmlformats.org/officeDocument/2006/relationships/hyperlink" Target="mailto:vg@manupa.com.br" TargetMode="External"/><Relationship Id="rId15" Type="http://schemas.openxmlformats.org/officeDocument/2006/relationships/hyperlink" Target="mailto:temporarioforza@gmail.com" TargetMode="External"/><Relationship Id="rId110" Type="http://schemas.openxmlformats.org/officeDocument/2006/relationships/hyperlink" Target="mailto:licitacoes@somassey.com.br" TargetMode="External"/><Relationship Id="rId14" Type="http://schemas.openxmlformats.org/officeDocument/2006/relationships/hyperlink" Target="mailto:temporarioforza@gmail.com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14" Type="http://schemas.openxmlformats.org/officeDocument/2006/relationships/hyperlink" Target="mailto:agnaldo.mendes@zocarrio.com.br" TargetMode="External"/><Relationship Id="rId18" Type="http://schemas.openxmlformats.org/officeDocument/2006/relationships/hyperlink" Target="about:blank" TargetMode="External"/><Relationship Id="rId113" Type="http://schemas.openxmlformats.org/officeDocument/2006/relationships/hyperlink" Target="mailto:agnaldo.mendes@zocarrio.com.br" TargetMode="External"/><Relationship Id="rId112" Type="http://schemas.openxmlformats.org/officeDocument/2006/relationships/hyperlink" Target="mailto:agnaldo.mendes@zocarrio.com.br" TargetMode="External"/><Relationship Id="rId111" Type="http://schemas.openxmlformats.org/officeDocument/2006/relationships/hyperlink" Target="mailto:agnaldo.mendes@zocarrio.com.br" TargetMode="External"/><Relationship Id="rId84" Type="http://schemas.openxmlformats.org/officeDocument/2006/relationships/hyperlink" Target="mailto:governo@almeidaesilva.com.br" TargetMode="External"/><Relationship Id="rId83" Type="http://schemas.openxmlformats.org/officeDocument/2006/relationships/hyperlink" Target="mailto:governo@almeidaesilva.com.br" TargetMode="External"/><Relationship Id="rId86" Type="http://schemas.openxmlformats.org/officeDocument/2006/relationships/hyperlink" Target="mailto:governo@almeidaesilva.com.br" TargetMode="External"/><Relationship Id="rId85" Type="http://schemas.openxmlformats.org/officeDocument/2006/relationships/hyperlink" Target="mailto:governo@almeidaesilva.com.br" TargetMode="External"/><Relationship Id="rId88" Type="http://schemas.openxmlformats.org/officeDocument/2006/relationships/hyperlink" Target="mailto:governo@almeidaesilva.com.br" TargetMode="External"/><Relationship Id="rId150" Type="http://schemas.openxmlformats.org/officeDocument/2006/relationships/hyperlink" Target="mailto:inova.agronegocios01@gmail.com" TargetMode="External"/><Relationship Id="rId87" Type="http://schemas.openxmlformats.org/officeDocument/2006/relationships/hyperlink" Target="mailto:governo@almeidaesilva.com.br" TargetMode="External"/><Relationship Id="rId89" Type="http://schemas.openxmlformats.org/officeDocument/2006/relationships/hyperlink" Target="mailto:governo@almeidaesilva.com.br" TargetMode="External"/><Relationship Id="rId80" Type="http://schemas.openxmlformats.org/officeDocument/2006/relationships/hyperlink" Target="mailto:governo@almeidaesilva.com.br" TargetMode="External"/><Relationship Id="rId82" Type="http://schemas.openxmlformats.org/officeDocument/2006/relationships/hyperlink" Target="mailto:governo@almeidaesilva.com.br" TargetMode="External"/><Relationship Id="rId81" Type="http://schemas.openxmlformats.org/officeDocument/2006/relationships/hyperlink" Target="mailto:governo@almeidaesilva.com.br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g10transformadora@gmail.com" TargetMode="External"/><Relationship Id="rId3" Type="http://schemas.openxmlformats.org/officeDocument/2006/relationships/hyperlink" Target="mailto:deltacomercial08@gmail.com" TargetMode="External"/><Relationship Id="rId149" Type="http://schemas.openxmlformats.org/officeDocument/2006/relationships/hyperlink" Target="mailto:inova.agronegocios01@gmail.com" TargetMode="External"/><Relationship Id="rId4" Type="http://schemas.openxmlformats.org/officeDocument/2006/relationships/hyperlink" Target="mailto:deltacomercial08@gmail.com" TargetMode="External"/><Relationship Id="rId148" Type="http://schemas.openxmlformats.org/officeDocument/2006/relationships/hyperlink" Target="mailto:inova.agronegocios01@gmail.com" TargetMode="External"/><Relationship Id="rId9" Type="http://schemas.openxmlformats.org/officeDocument/2006/relationships/hyperlink" Target="about:blank" TargetMode="External"/><Relationship Id="rId143" Type="http://schemas.openxmlformats.org/officeDocument/2006/relationships/hyperlink" Target="mailto:inova.agronegocios01@gmail.com" TargetMode="External"/><Relationship Id="rId142" Type="http://schemas.openxmlformats.org/officeDocument/2006/relationships/hyperlink" Target="mailto:inova.agronegocios01@gmail.com" TargetMode="External"/><Relationship Id="rId141" Type="http://schemas.openxmlformats.org/officeDocument/2006/relationships/hyperlink" Target="mailto:inova.agronegocios01@gmail.com" TargetMode="External"/><Relationship Id="rId140" Type="http://schemas.openxmlformats.org/officeDocument/2006/relationships/hyperlink" Target="mailto:inova.agronegocios01@gmail.com" TargetMode="External"/><Relationship Id="rId5" Type="http://schemas.openxmlformats.org/officeDocument/2006/relationships/hyperlink" Target="about:blank" TargetMode="External"/><Relationship Id="rId147" Type="http://schemas.openxmlformats.org/officeDocument/2006/relationships/hyperlink" Target="mailto:inova.agronegocios01@gmail.com" TargetMode="External"/><Relationship Id="rId6" Type="http://schemas.openxmlformats.org/officeDocument/2006/relationships/hyperlink" Target="about:blank" TargetMode="External"/><Relationship Id="rId146" Type="http://schemas.openxmlformats.org/officeDocument/2006/relationships/hyperlink" Target="mailto:inova.agronegocios01@gmail.com" TargetMode="External"/><Relationship Id="rId7" Type="http://schemas.openxmlformats.org/officeDocument/2006/relationships/hyperlink" Target="about:blank" TargetMode="External"/><Relationship Id="rId145" Type="http://schemas.openxmlformats.org/officeDocument/2006/relationships/hyperlink" Target="mailto:inova.agronegocios01@gmail.com" TargetMode="External"/><Relationship Id="rId8" Type="http://schemas.openxmlformats.org/officeDocument/2006/relationships/hyperlink" Target="about:blank" TargetMode="External"/><Relationship Id="rId144" Type="http://schemas.openxmlformats.org/officeDocument/2006/relationships/hyperlink" Target="mailto:inova.agronegocios01@gmail.com" TargetMode="External"/><Relationship Id="rId73" Type="http://schemas.openxmlformats.org/officeDocument/2006/relationships/hyperlink" Target="mailto:dmassini@ford.com,%20bsanto66@ford.com,%20jcinotti@ford.com" TargetMode="External"/><Relationship Id="rId72" Type="http://schemas.openxmlformats.org/officeDocument/2006/relationships/hyperlink" Target="mailto:dmassini@ford.com,%20bsanto66@ford.com,%20jcinotti@ford.com" TargetMode="External"/><Relationship Id="rId75" Type="http://schemas.openxmlformats.org/officeDocument/2006/relationships/hyperlink" Target="mailto:dmassini@ford.com,%20bsanto66@ford.com,%20jcinotti@ford.com" TargetMode="External"/><Relationship Id="rId74" Type="http://schemas.openxmlformats.org/officeDocument/2006/relationships/hyperlink" Target="mailto:dmassini@ford.com,%20bsanto66@ford.com,%20jcinotti@ford.com" TargetMode="External"/><Relationship Id="rId77" Type="http://schemas.openxmlformats.org/officeDocument/2006/relationships/hyperlink" Target="mailto:governo@almeidaesilva.com.br" TargetMode="External"/><Relationship Id="rId76" Type="http://schemas.openxmlformats.org/officeDocument/2006/relationships/hyperlink" Target="mailto:dmassini@ford.com,%20bsanto66@ford.com,%20jcinotti@ford.com" TargetMode="External"/><Relationship Id="rId79" Type="http://schemas.openxmlformats.org/officeDocument/2006/relationships/hyperlink" Target="mailto:governo@almeidaesilva.com.br" TargetMode="External"/><Relationship Id="rId78" Type="http://schemas.openxmlformats.org/officeDocument/2006/relationships/hyperlink" Target="mailto:governo@almeidaesilva.com.br" TargetMode="External"/><Relationship Id="rId71" Type="http://schemas.openxmlformats.org/officeDocument/2006/relationships/hyperlink" Target="mailto:dmassini@ford.com,%20bsanto66@ford.com,%20jcinotti@ford.com" TargetMode="External"/><Relationship Id="rId70" Type="http://schemas.openxmlformats.org/officeDocument/2006/relationships/hyperlink" Target="mailto:dmassini@ford.com,%20bsanto66@ford.com,%20jcinotti@ford.com" TargetMode="External"/><Relationship Id="rId139" Type="http://schemas.openxmlformats.org/officeDocument/2006/relationships/hyperlink" Target="mailto:inova.agronegocios01@gmail.com" TargetMode="External"/><Relationship Id="rId138" Type="http://schemas.openxmlformats.org/officeDocument/2006/relationships/hyperlink" Target="mailto:inova.agronegocios01@gmail.com" TargetMode="External"/><Relationship Id="rId137" Type="http://schemas.openxmlformats.org/officeDocument/2006/relationships/hyperlink" Target="mailto:inova.agronegocios01@gmail.com" TargetMode="External"/><Relationship Id="rId132" Type="http://schemas.openxmlformats.org/officeDocument/2006/relationships/hyperlink" Target="mailto:marcus.turner@transrio.com.br" TargetMode="External"/><Relationship Id="rId131" Type="http://schemas.openxmlformats.org/officeDocument/2006/relationships/hyperlink" Target="mailto:marcus.turner@transrio.com.br" TargetMode="External"/><Relationship Id="rId130" Type="http://schemas.openxmlformats.org/officeDocument/2006/relationships/hyperlink" Target="mailto:marcus.turner@transrio.com.br" TargetMode="External"/><Relationship Id="rId136" Type="http://schemas.openxmlformats.org/officeDocument/2006/relationships/hyperlink" Target="mailto:marcus.turner@transrio.com.br" TargetMode="External"/><Relationship Id="rId135" Type="http://schemas.openxmlformats.org/officeDocument/2006/relationships/hyperlink" Target="mailto:marcus.turner@transrio.com.br" TargetMode="External"/><Relationship Id="rId134" Type="http://schemas.openxmlformats.org/officeDocument/2006/relationships/hyperlink" Target="mailto:marcus.turner@transrio.com.br" TargetMode="External"/><Relationship Id="rId133" Type="http://schemas.openxmlformats.org/officeDocument/2006/relationships/hyperlink" Target="mailto:marcus.turner@transrio.com.br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about:blank" TargetMode="External"/><Relationship Id="rId64" Type="http://schemas.openxmlformats.org/officeDocument/2006/relationships/hyperlink" Target="mailto:dmassini@ford.com,%20bsanto66@ford.com,%20jcinotti@ford.com" TargetMode="External"/><Relationship Id="rId63" Type="http://schemas.openxmlformats.org/officeDocument/2006/relationships/hyperlink" Target="about:blank" TargetMode="External"/><Relationship Id="rId66" Type="http://schemas.openxmlformats.org/officeDocument/2006/relationships/hyperlink" Target="mailto:dmassini@ford.com,%20bsanto66@ford.com,%20jcinotti@ford.com" TargetMode="External"/><Relationship Id="rId65" Type="http://schemas.openxmlformats.org/officeDocument/2006/relationships/hyperlink" Target="mailto:dmassini@ford.com,%20bsanto66@ford.com,%20jcinotti@ford.com" TargetMode="External"/><Relationship Id="rId68" Type="http://schemas.openxmlformats.org/officeDocument/2006/relationships/hyperlink" Target="mailto:dmassini@ford.com,%20bsanto66@ford.com,%20jcinotti@ford.com" TargetMode="External"/><Relationship Id="rId67" Type="http://schemas.openxmlformats.org/officeDocument/2006/relationships/hyperlink" Target="mailto:dmassini@ford.com,%20bsanto66@ford.com,%20jcinotti@ford.com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mailto:dmassini@ford.com,%20bsanto66@ford.com,%20jcinotti@ford.com" TargetMode="External"/><Relationship Id="rId51" Type="http://schemas.openxmlformats.org/officeDocument/2006/relationships/hyperlink" Target="mailto:rodrigo.sartori@volare.com.br" TargetMode="External"/><Relationship Id="rId50" Type="http://schemas.openxmlformats.org/officeDocument/2006/relationships/hyperlink" Target="mailto:rodrigo.sartori@volare.com.br" TargetMode="External"/><Relationship Id="rId53" Type="http://schemas.openxmlformats.org/officeDocument/2006/relationships/hyperlink" Target="mailto:rodrigo.sartori@volare.com.br" TargetMode="External"/><Relationship Id="rId52" Type="http://schemas.openxmlformats.org/officeDocument/2006/relationships/hyperlink" Target="mailto:rodrigo.sartori@volare.com.br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mailto:rodrigo.sartori@volare.com.br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about:blank" TargetMode="External"/><Relationship Id="rId154" Type="http://schemas.openxmlformats.org/officeDocument/2006/relationships/vmlDrawing" Target="../drawings/vmlDrawing1.vml"/><Relationship Id="rId58" Type="http://schemas.openxmlformats.org/officeDocument/2006/relationships/hyperlink" Target="about:blank" TargetMode="External"/><Relationship Id="rId153" Type="http://schemas.openxmlformats.org/officeDocument/2006/relationships/drawing" Target="../drawings/drawing1.xml"/><Relationship Id="rId152" Type="http://schemas.openxmlformats.org/officeDocument/2006/relationships/hyperlink" Target="mailto:inova.agronegocios01@gmail.com" TargetMode="External"/><Relationship Id="rId151" Type="http://schemas.openxmlformats.org/officeDocument/2006/relationships/hyperlink" Target="mailto:inova.agronegocios01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31" Type="http://schemas.openxmlformats.org/officeDocument/2006/relationships/vmlDrawing" Target="../drawings/vmlDrawing5.vml"/><Relationship Id="rId30" Type="http://schemas.openxmlformats.org/officeDocument/2006/relationships/drawing" Target="../drawings/drawing9.xml"/><Relationship Id="rId33" Type="http://schemas.openxmlformats.org/officeDocument/2006/relationships/table" Target="../tables/table2.xml"/><Relationship Id="rId20" Type="http://schemas.openxmlformats.org/officeDocument/2006/relationships/hyperlink" Target="mailto:vg@manupa.com.br" TargetMode="External"/><Relationship Id="rId22" Type="http://schemas.openxmlformats.org/officeDocument/2006/relationships/hyperlink" Target="mailto:vg@manupa.com.br" TargetMode="External"/><Relationship Id="rId21" Type="http://schemas.openxmlformats.org/officeDocument/2006/relationships/hyperlink" Target="mailto:vg@manupa.com.br" TargetMode="External"/><Relationship Id="rId24" Type="http://schemas.openxmlformats.org/officeDocument/2006/relationships/hyperlink" Target="mailto:vg@manupa.com.br" TargetMode="External"/><Relationship Id="rId23" Type="http://schemas.openxmlformats.org/officeDocument/2006/relationships/hyperlink" Target="mailto:vg@manupa.com.br" TargetMode="External"/><Relationship Id="rId26" Type="http://schemas.openxmlformats.org/officeDocument/2006/relationships/hyperlink" Target="mailto:vg@manupa.com.br" TargetMode="External"/><Relationship Id="rId25" Type="http://schemas.openxmlformats.org/officeDocument/2006/relationships/hyperlink" Target="mailto:vg@manupa.com.br" TargetMode="External"/><Relationship Id="rId28" Type="http://schemas.openxmlformats.org/officeDocument/2006/relationships/hyperlink" Target="mailto:vg@manupa.com.br" TargetMode="External"/><Relationship Id="rId27" Type="http://schemas.openxmlformats.org/officeDocument/2006/relationships/hyperlink" Target="mailto:vg@manupa.com.br" TargetMode="External"/><Relationship Id="rId29" Type="http://schemas.openxmlformats.org/officeDocument/2006/relationships/hyperlink" Target="mailto:vg@manupa.com.br" TargetMode="External"/><Relationship Id="rId11" Type="http://schemas.openxmlformats.org/officeDocument/2006/relationships/hyperlink" Target="mailto:DNMmaquinas@gmail.com" TargetMode="External"/><Relationship Id="rId10" Type="http://schemas.openxmlformats.org/officeDocument/2006/relationships/hyperlink" Target="mailto:DNMmaquinas@gmail.com" TargetMode="External"/><Relationship Id="rId13" Type="http://schemas.openxmlformats.org/officeDocument/2006/relationships/hyperlink" Target="mailto:agnaldo.mendes@zocarrio.com.br" TargetMode="External"/><Relationship Id="rId12" Type="http://schemas.openxmlformats.org/officeDocument/2006/relationships/hyperlink" Target="mailto:licitacoes@somassey.com.br" TargetMode="External"/><Relationship Id="rId15" Type="http://schemas.openxmlformats.org/officeDocument/2006/relationships/hyperlink" Target="mailto:agnaldo.mendes@zocarrio.com.br" TargetMode="External"/><Relationship Id="rId14" Type="http://schemas.openxmlformats.org/officeDocument/2006/relationships/hyperlink" Target="mailto:agnaldo.mendes@zocarrio.com.br" TargetMode="External"/><Relationship Id="rId17" Type="http://schemas.openxmlformats.org/officeDocument/2006/relationships/hyperlink" Target="mailto:agnaldo.mendes@zocarrio.com.br" TargetMode="External"/><Relationship Id="rId16" Type="http://schemas.openxmlformats.org/officeDocument/2006/relationships/hyperlink" Target="mailto:agnaldo.mendes@zocarrio.com.br" TargetMode="External"/><Relationship Id="rId19" Type="http://schemas.openxmlformats.org/officeDocument/2006/relationships/hyperlink" Target="mailto:vg@manupa.com.br" TargetMode="External"/><Relationship Id="rId18" Type="http://schemas.openxmlformats.org/officeDocument/2006/relationships/hyperlink" Target="mailto:vg@manupa.com.br" TargetMode="External"/><Relationship Id="rId1" Type="http://schemas.openxmlformats.org/officeDocument/2006/relationships/comments" Target="../comments5.xml"/><Relationship Id="rId2" Type="http://schemas.openxmlformats.org/officeDocument/2006/relationships/hyperlink" Target="mailto:contato@comercialdinamica.com.br" TargetMode="External"/><Relationship Id="rId3" Type="http://schemas.openxmlformats.org/officeDocument/2006/relationships/hyperlink" Target="mailto:vg@manupa.com.br" TargetMode="External"/><Relationship Id="rId4" Type="http://schemas.openxmlformats.org/officeDocument/2006/relationships/hyperlink" Target="mailto:licitacao@movix.ind.br" TargetMode="External"/><Relationship Id="rId9" Type="http://schemas.openxmlformats.org/officeDocument/2006/relationships/hyperlink" Target="mailto:DNMmaquinas@gmail.com" TargetMode="External"/><Relationship Id="rId5" Type="http://schemas.openxmlformats.org/officeDocument/2006/relationships/hyperlink" Target="mailto:licitacao@movix.ind.br" TargetMode="External"/><Relationship Id="rId6" Type="http://schemas.openxmlformats.org/officeDocument/2006/relationships/hyperlink" Target="mailto:licitacao@movix.ind.br" TargetMode="External"/><Relationship Id="rId7" Type="http://schemas.openxmlformats.org/officeDocument/2006/relationships/hyperlink" Target="mailto:licitacao@movix.ind.br" TargetMode="External"/><Relationship Id="rId8" Type="http://schemas.openxmlformats.org/officeDocument/2006/relationships/hyperlink" Target="mailto:licitacao@movix.ind.br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mailto:inova.agronegocios01@gmail.com" TargetMode="External"/><Relationship Id="rId3" Type="http://schemas.openxmlformats.org/officeDocument/2006/relationships/hyperlink" Target="mailto:inova.agronegocios01@gmail.com" TargetMode="Externa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7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g10transformadora@gmail.com" TargetMode="External"/><Relationship Id="rId2" Type="http://schemas.openxmlformats.org/officeDocument/2006/relationships/drawing" Target="../drawings/drawing13.xml"/><Relationship Id="rId4" Type="http://schemas.openxmlformats.org/officeDocument/2006/relationships/table" Target="../tables/table3.xm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mailto:rodrigo.sartori@volare.com.br" TargetMode="External"/><Relationship Id="rId41" Type="http://schemas.openxmlformats.org/officeDocument/2006/relationships/hyperlink" Target="mailto:rodrigo.sartori@volare.com.br" TargetMode="External"/><Relationship Id="rId44" Type="http://schemas.openxmlformats.org/officeDocument/2006/relationships/hyperlink" Target="mailto:rodrigo.sartori@volare.com.br" TargetMode="External"/><Relationship Id="rId43" Type="http://schemas.openxmlformats.org/officeDocument/2006/relationships/hyperlink" Target="mailto:rodrigo.sartori@volare.com.br" TargetMode="External"/><Relationship Id="rId46" Type="http://schemas.openxmlformats.org/officeDocument/2006/relationships/hyperlink" Target="mailto:rodrigo.sartori@volare.com.br" TargetMode="External"/><Relationship Id="rId45" Type="http://schemas.openxmlformats.org/officeDocument/2006/relationships/hyperlink" Target="mailto:rodrigo.sartori@volare.com.br" TargetMode="External"/><Relationship Id="rId48" Type="http://schemas.openxmlformats.org/officeDocument/2006/relationships/hyperlink" Target="mailto:rodrigo.sartori@volare.com.br" TargetMode="External"/><Relationship Id="rId47" Type="http://schemas.openxmlformats.org/officeDocument/2006/relationships/hyperlink" Target="mailto:rodrigo.sartori@volare.com.br" TargetMode="External"/><Relationship Id="rId49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mailto:temporarioforza@gmail.com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mailto:catia.ferreira266@gmail.com" TargetMode="External"/><Relationship Id="rId23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mailto:deltacomercial08@gmail.com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11" Type="http://schemas.openxmlformats.org/officeDocument/2006/relationships/hyperlink" Target="mailto:temporarioforza@gmail.com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mailto:temporarioforza@gmail.com" TargetMode="External"/><Relationship Id="rId12" Type="http://schemas.openxmlformats.org/officeDocument/2006/relationships/hyperlink" Target="mailto:temporarioforza@gmail.com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mailto:mwdlicitacao@gmail.com" TargetMode="External"/><Relationship Id="rId1" Type="http://schemas.openxmlformats.org/officeDocument/2006/relationships/hyperlink" Target="mailto:deltacomercial08@gmail.com" TargetMode="External"/><Relationship Id="rId2" Type="http://schemas.openxmlformats.org/officeDocument/2006/relationships/hyperlink" Target="mailto:deltacomercial08@gmail.com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60" Type="http://schemas.openxmlformats.org/officeDocument/2006/relationships/drawing" Target="../drawings/drawing14.xml"/><Relationship Id="rId51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mailto:governo@almeidaesilva.com.br" TargetMode="External"/><Relationship Id="rId58" Type="http://schemas.openxmlformats.org/officeDocument/2006/relationships/hyperlink" Target="mailto:dmassini@ford.com,%20bsanto66@ford.com,%20jcinotti@ford.com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5"/>
    <col customWidth="1" min="2" max="2" width="9.0"/>
    <col customWidth="1" min="3" max="3" width="13.0"/>
    <col customWidth="1" min="4" max="4" width="32.63"/>
    <col customWidth="1" min="5" max="5" width="11.13"/>
    <col customWidth="1" min="6" max="6" width="21.5"/>
    <col customWidth="1" min="7" max="7" width="21.0"/>
    <col customWidth="1" min="8" max="8" width="22.38"/>
    <col customWidth="1" min="9" max="9" width="19.38"/>
    <col customWidth="1" min="10" max="10" width="32.13"/>
    <col customWidth="1" min="11" max="11" width="20.88"/>
    <col customWidth="1" min="12" max="12" width="14.13"/>
    <col customWidth="1" min="13" max="13" width="30.38"/>
    <col customWidth="1" min="14" max="14" width="14.13"/>
    <col customWidth="1" min="15" max="15" width="25.63"/>
    <col customWidth="1" min="16" max="16" width="9.0"/>
    <col customWidth="1" min="17" max="17" width="14.88"/>
    <col customWidth="1" min="18" max="18" width="17.88"/>
    <col customWidth="1" min="19" max="26" width="9.0"/>
  </cols>
  <sheetData>
    <row r="1">
      <c r="A1" s="1" t="s">
        <v>1</v>
      </c>
      <c r="B1" s="3" t="s">
        <v>2</v>
      </c>
      <c r="C1" s="3" t="s">
        <v>3</v>
      </c>
      <c r="D1" s="5" t="s">
        <v>4</v>
      </c>
      <c r="E1" s="3" t="s">
        <v>5</v>
      </c>
      <c r="F1" s="5" t="s">
        <v>6</v>
      </c>
      <c r="G1" s="7" t="s">
        <v>7</v>
      </c>
      <c r="H1" s="8" t="s">
        <v>9</v>
      </c>
      <c r="I1" s="8" t="s">
        <v>10</v>
      </c>
      <c r="J1" s="5" t="s">
        <v>12</v>
      </c>
      <c r="K1" s="5" t="s">
        <v>14</v>
      </c>
      <c r="L1" s="5" t="s">
        <v>15</v>
      </c>
      <c r="M1" s="5" t="s">
        <v>16</v>
      </c>
      <c r="N1" s="5" t="s">
        <v>18</v>
      </c>
      <c r="O1" s="5" t="s">
        <v>19</v>
      </c>
      <c r="P1" s="5" t="s">
        <v>20</v>
      </c>
      <c r="Q1" s="18" t="s">
        <v>21</v>
      </c>
      <c r="R1" s="5" t="s">
        <v>22</v>
      </c>
    </row>
    <row r="2" hidden="1">
      <c r="A2" s="21" t="s">
        <v>23</v>
      </c>
      <c r="B2" s="23">
        <v>1.0</v>
      </c>
      <c r="C2" s="23" t="s">
        <v>24</v>
      </c>
      <c r="D2" s="23" t="s">
        <v>25</v>
      </c>
      <c r="E2" s="23">
        <v>17.0</v>
      </c>
      <c r="F2" s="23">
        <f>'233_2023'!E3</f>
        <v>13</v>
      </c>
      <c r="G2" s="26">
        <f>'233_2023'!F3</f>
        <v>4</v>
      </c>
      <c r="H2" s="28">
        <v>334800.0</v>
      </c>
      <c r="I2" s="28">
        <v>5691600.0</v>
      </c>
      <c r="J2" s="23" t="s">
        <v>31</v>
      </c>
      <c r="K2" s="23" t="s">
        <v>32</v>
      </c>
      <c r="L2" s="23" t="s">
        <v>33</v>
      </c>
      <c r="M2" s="23" t="s">
        <v>35</v>
      </c>
      <c r="N2" s="23" t="s">
        <v>31</v>
      </c>
      <c r="O2" s="34" t="s">
        <v>37</v>
      </c>
      <c r="P2" s="23" t="s">
        <v>51</v>
      </c>
      <c r="Q2" s="36">
        <v>45680.0</v>
      </c>
      <c r="R2" s="23" t="s">
        <v>31</v>
      </c>
    </row>
    <row r="3" hidden="1">
      <c r="A3" s="38" t="s">
        <v>23</v>
      </c>
      <c r="B3" s="39">
        <v>2.0</v>
      </c>
      <c r="C3" s="39" t="s">
        <v>55</v>
      </c>
      <c r="D3" s="39" t="s">
        <v>57</v>
      </c>
      <c r="E3" s="39">
        <v>13.0</v>
      </c>
      <c r="F3" s="39">
        <f>'233_2023'!E4</f>
        <v>2</v>
      </c>
      <c r="G3" s="45">
        <f>'233_2023'!F4</f>
        <v>11</v>
      </c>
      <c r="H3" s="46">
        <v>529000.0</v>
      </c>
      <c r="I3" s="46">
        <v>6877000.0</v>
      </c>
      <c r="J3" s="39" t="s">
        <v>31</v>
      </c>
      <c r="K3" s="39" t="s">
        <v>32</v>
      </c>
      <c r="L3" s="39" t="s">
        <v>70</v>
      </c>
      <c r="M3" s="39" t="s">
        <v>72</v>
      </c>
      <c r="N3" s="39" t="s">
        <v>31</v>
      </c>
      <c r="O3" s="39" t="s">
        <v>31</v>
      </c>
      <c r="P3" s="39" t="s">
        <v>77</v>
      </c>
      <c r="Q3" s="50">
        <v>45680.0</v>
      </c>
      <c r="R3" s="39" t="s">
        <v>79</v>
      </c>
    </row>
    <row r="4" hidden="1">
      <c r="A4" s="51" t="s">
        <v>43</v>
      </c>
      <c r="B4" s="44">
        <v>1.0</v>
      </c>
      <c r="C4" s="44" t="s">
        <v>42</v>
      </c>
      <c r="D4" s="44" t="s">
        <v>41</v>
      </c>
      <c r="E4" s="44">
        <v>1.0</v>
      </c>
      <c r="F4" s="44">
        <f>'247_2023'!E3</f>
        <v>1</v>
      </c>
      <c r="G4" s="56">
        <f>'247_2023'!F3</f>
        <v>0</v>
      </c>
      <c r="H4" s="28">
        <v>305000.0</v>
      </c>
      <c r="I4" s="28">
        <v>305000.0</v>
      </c>
      <c r="J4" s="44" t="s">
        <v>89</v>
      </c>
      <c r="K4" s="44" t="s">
        <v>90</v>
      </c>
      <c r="L4" s="44" t="s">
        <v>92</v>
      </c>
      <c r="M4" s="44" t="s">
        <v>93</v>
      </c>
      <c r="N4" s="44" t="s">
        <v>95</v>
      </c>
      <c r="O4" s="34" t="s">
        <v>98</v>
      </c>
      <c r="P4" s="44">
        <v>1006.0</v>
      </c>
      <c r="Q4" s="63">
        <v>45696.0</v>
      </c>
      <c r="R4" s="44" t="s">
        <v>31</v>
      </c>
    </row>
    <row r="5" hidden="1">
      <c r="A5" s="65" t="s">
        <v>43</v>
      </c>
      <c r="B5" s="59">
        <v>1.0</v>
      </c>
      <c r="C5" s="59" t="s">
        <v>42</v>
      </c>
      <c r="D5" s="59" t="s">
        <v>41</v>
      </c>
      <c r="E5" s="59">
        <v>1.0</v>
      </c>
      <c r="F5" s="59">
        <f>'247_2023'!E4</f>
        <v>1</v>
      </c>
      <c r="G5" s="67">
        <f>'247_2023'!F4</f>
        <v>0</v>
      </c>
      <c r="H5" s="46">
        <v>305000.0</v>
      </c>
      <c r="I5" s="46">
        <v>305000.0</v>
      </c>
      <c r="J5" s="59" t="s">
        <v>111</v>
      </c>
      <c r="K5" s="59" t="s">
        <v>90</v>
      </c>
      <c r="L5" s="59" t="s">
        <v>92</v>
      </c>
      <c r="M5" s="59" t="s">
        <v>93</v>
      </c>
      <c r="N5" s="59" t="s">
        <v>95</v>
      </c>
      <c r="O5" s="69" t="s">
        <v>98</v>
      </c>
      <c r="P5" s="59">
        <v>1006.0</v>
      </c>
      <c r="Q5" s="70">
        <v>45696.0</v>
      </c>
      <c r="R5" s="59" t="s">
        <v>31</v>
      </c>
    </row>
    <row r="6" hidden="1">
      <c r="A6" s="51" t="s">
        <v>43</v>
      </c>
      <c r="B6" s="44">
        <v>2.0</v>
      </c>
      <c r="C6" s="44" t="s">
        <v>53</v>
      </c>
      <c r="D6" s="44" t="s">
        <v>121</v>
      </c>
      <c r="E6" s="44">
        <v>1.0</v>
      </c>
      <c r="F6" s="44">
        <f>'247_2023'!E5</f>
        <v>1</v>
      </c>
      <c r="G6" s="56">
        <f>'247_2023'!F5</f>
        <v>0</v>
      </c>
      <c r="H6" s="28">
        <v>144000.0</v>
      </c>
      <c r="I6" s="28">
        <v>144000.0</v>
      </c>
      <c r="J6" s="44" t="s">
        <v>126</v>
      </c>
      <c r="K6" s="44" t="s">
        <v>127</v>
      </c>
      <c r="L6" s="44" t="s">
        <v>70</v>
      </c>
      <c r="M6" s="44" t="s">
        <v>129</v>
      </c>
      <c r="N6" s="44" t="s">
        <v>130</v>
      </c>
      <c r="O6" s="34" t="s">
        <v>132</v>
      </c>
      <c r="P6" s="44">
        <v>1326.0</v>
      </c>
      <c r="Q6" s="63">
        <v>45654.0</v>
      </c>
      <c r="R6" s="44" t="s">
        <v>31</v>
      </c>
    </row>
    <row r="7" hidden="1">
      <c r="A7" s="65" t="s">
        <v>43</v>
      </c>
      <c r="B7" s="59">
        <v>2.0</v>
      </c>
      <c r="C7" s="59" t="s">
        <v>53</v>
      </c>
      <c r="D7" s="59" t="s">
        <v>121</v>
      </c>
      <c r="E7" s="59">
        <v>1.0</v>
      </c>
      <c r="F7" s="59">
        <f>'247_2023'!E6</f>
        <v>1</v>
      </c>
      <c r="G7" s="67">
        <f>'247_2023'!F6</f>
        <v>0</v>
      </c>
      <c r="H7" s="46">
        <v>144000.0</v>
      </c>
      <c r="I7" s="46">
        <v>144000.0</v>
      </c>
      <c r="J7" s="59" t="s">
        <v>103</v>
      </c>
      <c r="K7" s="59" t="s">
        <v>127</v>
      </c>
      <c r="L7" s="59" t="s">
        <v>70</v>
      </c>
      <c r="M7" s="59" t="s">
        <v>129</v>
      </c>
      <c r="N7" s="59" t="s">
        <v>130</v>
      </c>
      <c r="O7" s="69" t="s">
        <v>132</v>
      </c>
      <c r="P7" s="59">
        <v>1326.0</v>
      </c>
      <c r="Q7" s="70">
        <v>45654.0</v>
      </c>
      <c r="R7" s="59" t="s">
        <v>31</v>
      </c>
    </row>
    <row r="8" hidden="1">
      <c r="A8" s="51" t="s">
        <v>43</v>
      </c>
      <c r="B8" s="44">
        <v>2.0</v>
      </c>
      <c r="C8" s="44" t="s">
        <v>53</v>
      </c>
      <c r="D8" s="44" t="s">
        <v>121</v>
      </c>
      <c r="E8" s="44">
        <v>1.0</v>
      </c>
      <c r="F8" s="44">
        <f>'247_2023'!E7</f>
        <v>1</v>
      </c>
      <c r="G8" s="56">
        <f>'247_2023'!F7</f>
        <v>0</v>
      </c>
      <c r="H8" s="28">
        <v>144000.0</v>
      </c>
      <c r="I8" s="28">
        <v>144000.0</v>
      </c>
      <c r="J8" s="44" t="s">
        <v>117</v>
      </c>
      <c r="K8" s="44" t="s">
        <v>127</v>
      </c>
      <c r="L8" s="44" t="s">
        <v>70</v>
      </c>
      <c r="M8" s="44" t="s">
        <v>129</v>
      </c>
      <c r="N8" s="44" t="s">
        <v>130</v>
      </c>
      <c r="O8" s="34" t="s">
        <v>132</v>
      </c>
      <c r="P8" s="44">
        <v>1326.0</v>
      </c>
      <c r="Q8" s="63">
        <v>45654.0</v>
      </c>
      <c r="R8" s="44" t="s">
        <v>31</v>
      </c>
    </row>
    <row r="9" hidden="1">
      <c r="A9" s="65" t="s">
        <v>43</v>
      </c>
      <c r="B9" s="59">
        <v>2.0</v>
      </c>
      <c r="C9" s="59" t="s">
        <v>53</v>
      </c>
      <c r="D9" s="59" t="s">
        <v>121</v>
      </c>
      <c r="E9" s="59">
        <v>3.0</v>
      </c>
      <c r="F9" s="59">
        <f>'247_2023'!E8</f>
        <v>2</v>
      </c>
      <c r="G9" s="67">
        <f>'247_2023'!F8</f>
        <v>1</v>
      </c>
      <c r="H9" s="46">
        <v>144000.0</v>
      </c>
      <c r="I9" s="46">
        <v>432000.0</v>
      </c>
      <c r="J9" s="59" t="s">
        <v>167</v>
      </c>
      <c r="K9" s="59" t="s">
        <v>127</v>
      </c>
      <c r="L9" s="59" t="s">
        <v>70</v>
      </c>
      <c r="M9" s="59" t="s">
        <v>129</v>
      </c>
      <c r="N9" s="59" t="s">
        <v>130</v>
      </c>
      <c r="O9" s="69" t="s">
        <v>132</v>
      </c>
      <c r="P9" s="59">
        <v>1326.0</v>
      </c>
      <c r="Q9" s="70">
        <v>45654.0</v>
      </c>
      <c r="R9" s="59" t="s">
        <v>31</v>
      </c>
    </row>
    <row r="10" hidden="1">
      <c r="A10" s="51" t="s">
        <v>43</v>
      </c>
      <c r="B10" s="44">
        <v>3.0</v>
      </c>
      <c r="C10" s="44" t="s">
        <v>56</v>
      </c>
      <c r="D10" s="44" t="s">
        <v>173</v>
      </c>
      <c r="E10" s="44">
        <v>1.0</v>
      </c>
      <c r="F10" s="44">
        <f>'247_2023'!E9</f>
        <v>1</v>
      </c>
      <c r="G10" s="56">
        <f>'247_2023'!F9</f>
        <v>0</v>
      </c>
      <c r="H10" s="28">
        <v>253684.0</v>
      </c>
      <c r="I10" s="28">
        <v>253684.0</v>
      </c>
      <c r="J10" s="44" t="s">
        <v>179</v>
      </c>
      <c r="K10" s="23" t="s">
        <v>182</v>
      </c>
      <c r="L10" s="44" t="s">
        <v>183</v>
      </c>
      <c r="M10" s="44" t="s">
        <v>184</v>
      </c>
      <c r="N10" s="44" t="s">
        <v>186</v>
      </c>
      <c r="O10" s="34" t="s">
        <v>187</v>
      </c>
      <c r="P10" s="44">
        <v>1323.0</v>
      </c>
      <c r="Q10" s="63">
        <v>45654.0</v>
      </c>
      <c r="R10" s="44" t="s">
        <v>31</v>
      </c>
    </row>
    <row r="11" hidden="1">
      <c r="A11" s="65" t="s">
        <v>43</v>
      </c>
      <c r="B11" s="59">
        <v>3.0</v>
      </c>
      <c r="C11" s="59" t="s">
        <v>56</v>
      </c>
      <c r="D11" s="59" t="s">
        <v>173</v>
      </c>
      <c r="E11" s="59">
        <v>1.0</v>
      </c>
      <c r="F11" s="59">
        <f>'247_2023'!E10</f>
        <v>1</v>
      </c>
      <c r="G11" s="67">
        <f>'247_2023'!F10</f>
        <v>0</v>
      </c>
      <c r="H11" s="46">
        <v>253684.0</v>
      </c>
      <c r="I11" s="46">
        <v>253684.0</v>
      </c>
      <c r="J11" s="59" t="s">
        <v>191</v>
      </c>
      <c r="K11" s="39" t="s">
        <v>182</v>
      </c>
      <c r="L11" s="59" t="s">
        <v>183</v>
      </c>
      <c r="M11" s="59" t="s">
        <v>184</v>
      </c>
      <c r="N11" s="59" t="s">
        <v>186</v>
      </c>
      <c r="O11" s="69" t="s">
        <v>187</v>
      </c>
      <c r="P11" s="59">
        <v>1323.0</v>
      </c>
      <c r="Q11" s="70">
        <v>45654.0</v>
      </c>
      <c r="R11" s="59" t="s">
        <v>31</v>
      </c>
    </row>
    <row r="12" hidden="1">
      <c r="A12" s="51" t="s">
        <v>43</v>
      </c>
      <c r="B12" s="44">
        <v>3.0</v>
      </c>
      <c r="C12" s="44" t="s">
        <v>56</v>
      </c>
      <c r="D12" s="44" t="s">
        <v>173</v>
      </c>
      <c r="E12" s="44">
        <v>1.0</v>
      </c>
      <c r="F12" s="44">
        <f>'247_2023'!E11</f>
        <v>1</v>
      </c>
      <c r="G12" s="56">
        <f>'247_2023'!F11</f>
        <v>0</v>
      </c>
      <c r="H12" s="28">
        <v>253684.0</v>
      </c>
      <c r="I12" s="28">
        <v>253684.0</v>
      </c>
      <c r="J12" s="44" t="s">
        <v>111</v>
      </c>
      <c r="K12" s="73" t="s">
        <v>182</v>
      </c>
      <c r="L12" s="44" t="s">
        <v>183</v>
      </c>
      <c r="M12" s="44" t="s">
        <v>184</v>
      </c>
      <c r="N12" s="44" t="s">
        <v>186</v>
      </c>
      <c r="O12" s="34" t="s">
        <v>187</v>
      </c>
      <c r="P12" s="44">
        <v>1323.0</v>
      </c>
      <c r="Q12" s="63">
        <v>45654.0</v>
      </c>
      <c r="R12" s="44" t="s">
        <v>31</v>
      </c>
    </row>
    <row r="13" hidden="1">
      <c r="A13" s="65" t="s">
        <v>43</v>
      </c>
      <c r="B13" s="59">
        <v>3.0</v>
      </c>
      <c r="C13" s="59" t="s">
        <v>56</v>
      </c>
      <c r="D13" s="59" t="s">
        <v>173</v>
      </c>
      <c r="E13" s="59">
        <v>1.0</v>
      </c>
      <c r="F13" s="59">
        <f>'247_2023'!E12</f>
        <v>1</v>
      </c>
      <c r="G13" s="67">
        <f>'247_2023'!F12</f>
        <v>0</v>
      </c>
      <c r="H13" s="46">
        <v>253684.0</v>
      </c>
      <c r="I13" s="46">
        <v>253684.0</v>
      </c>
      <c r="J13" s="59" t="s">
        <v>197</v>
      </c>
      <c r="K13" s="39" t="s">
        <v>182</v>
      </c>
      <c r="L13" s="59" t="s">
        <v>183</v>
      </c>
      <c r="M13" s="59" t="s">
        <v>184</v>
      </c>
      <c r="N13" s="59" t="s">
        <v>186</v>
      </c>
      <c r="O13" s="69" t="s">
        <v>187</v>
      </c>
      <c r="P13" s="59">
        <v>1323.0</v>
      </c>
      <c r="Q13" s="70">
        <v>45654.0</v>
      </c>
      <c r="R13" s="59" t="s">
        <v>31</v>
      </c>
    </row>
    <row r="14" hidden="1">
      <c r="A14" s="51" t="s">
        <v>43</v>
      </c>
      <c r="B14" s="44">
        <v>4.0</v>
      </c>
      <c r="C14" s="44" t="s">
        <v>59</v>
      </c>
      <c r="D14" s="44" t="s">
        <v>198</v>
      </c>
      <c r="E14" s="44">
        <v>1.0</v>
      </c>
      <c r="F14" s="44">
        <f>'247_2023'!E13</f>
        <v>1</v>
      </c>
      <c r="G14" s="56">
        <f>'247_2023'!F13</f>
        <v>0</v>
      </c>
      <c r="H14" s="28">
        <v>518980.0</v>
      </c>
      <c r="I14" s="28">
        <v>518980.0</v>
      </c>
      <c r="J14" s="44" t="s">
        <v>202</v>
      </c>
      <c r="K14" s="44" t="s">
        <v>203</v>
      </c>
      <c r="L14" s="44" t="s">
        <v>204</v>
      </c>
      <c r="M14" s="44" t="s">
        <v>62</v>
      </c>
      <c r="N14" s="44" t="s">
        <v>205</v>
      </c>
      <c r="O14" s="34" t="s">
        <v>206</v>
      </c>
      <c r="P14" s="44">
        <v>1007.0</v>
      </c>
      <c r="Q14" s="63">
        <v>45716.0</v>
      </c>
      <c r="R14" s="44" t="s">
        <v>31</v>
      </c>
    </row>
    <row r="15" hidden="1">
      <c r="A15" s="77" t="s">
        <v>43</v>
      </c>
      <c r="B15" s="59">
        <v>4.0</v>
      </c>
      <c r="C15" s="59" t="s">
        <v>59</v>
      </c>
      <c r="D15" s="59" t="s">
        <v>198</v>
      </c>
      <c r="E15" s="59">
        <v>1.0</v>
      </c>
      <c r="F15" s="59">
        <f>'247_2023'!E14</f>
        <v>1</v>
      </c>
      <c r="G15" s="67">
        <f>'247_2023'!F14</f>
        <v>0</v>
      </c>
      <c r="H15" s="46">
        <v>518980.0</v>
      </c>
      <c r="I15" s="46">
        <v>518980.0</v>
      </c>
      <c r="J15" s="59" t="s">
        <v>191</v>
      </c>
      <c r="K15" s="39" t="s">
        <v>203</v>
      </c>
      <c r="L15" s="59" t="s">
        <v>204</v>
      </c>
      <c r="M15" s="59" t="s">
        <v>62</v>
      </c>
      <c r="N15" s="59" t="s">
        <v>205</v>
      </c>
      <c r="O15" s="69" t="s">
        <v>206</v>
      </c>
      <c r="P15" s="59">
        <v>1007.0</v>
      </c>
      <c r="Q15" s="70">
        <v>45716.0</v>
      </c>
      <c r="R15" s="59" t="s">
        <v>31</v>
      </c>
    </row>
    <row r="16" hidden="1">
      <c r="A16" s="79" t="s">
        <v>43</v>
      </c>
      <c r="B16" s="44">
        <v>4.0</v>
      </c>
      <c r="C16" s="44" t="s">
        <v>59</v>
      </c>
      <c r="D16" s="44" t="s">
        <v>198</v>
      </c>
      <c r="E16" s="44">
        <v>1.0</v>
      </c>
      <c r="F16" s="44">
        <f>'247_2023'!E15</f>
        <v>1</v>
      </c>
      <c r="G16" s="56">
        <f>'247_2023'!F15</f>
        <v>0</v>
      </c>
      <c r="H16" s="28">
        <v>518980.0</v>
      </c>
      <c r="I16" s="28">
        <v>518980.0</v>
      </c>
      <c r="J16" s="44" t="s">
        <v>221</v>
      </c>
      <c r="K16" s="23" t="s">
        <v>203</v>
      </c>
      <c r="L16" s="44" t="s">
        <v>204</v>
      </c>
      <c r="M16" s="44" t="s">
        <v>62</v>
      </c>
      <c r="N16" s="44" t="s">
        <v>205</v>
      </c>
      <c r="O16" s="34" t="s">
        <v>206</v>
      </c>
      <c r="P16" s="44">
        <v>1007.0</v>
      </c>
      <c r="Q16" s="63">
        <v>45716.0</v>
      </c>
      <c r="R16" s="44" t="s">
        <v>31</v>
      </c>
    </row>
    <row r="17" hidden="1">
      <c r="A17" s="77" t="s">
        <v>43</v>
      </c>
      <c r="B17" s="59">
        <v>5.0</v>
      </c>
      <c r="C17" s="59" t="s">
        <v>64</v>
      </c>
      <c r="D17" s="59" t="s">
        <v>224</v>
      </c>
      <c r="E17" s="59">
        <v>3.0</v>
      </c>
      <c r="F17" s="52">
        <f>'247_2023'!E16</f>
        <v>2</v>
      </c>
      <c r="G17" s="67">
        <f>'247_2023'!F16</f>
        <v>1</v>
      </c>
      <c r="H17" s="46">
        <v>103229.0</v>
      </c>
      <c r="I17" s="46">
        <v>309687.0</v>
      </c>
      <c r="J17" s="59" t="s">
        <v>167</v>
      </c>
      <c r="K17" s="39" t="s">
        <v>225</v>
      </c>
      <c r="L17" s="59" t="s">
        <v>183</v>
      </c>
      <c r="M17" s="59" t="s">
        <v>184</v>
      </c>
      <c r="N17" s="59" t="s">
        <v>186</v>
      </c>
      <c r="O17" s="69" t="s">
        <v>187</v>
      </c>
      <c r="P17" s="59">
        <v>1323.0</v>
      </c>
      <c r="Q17" s="70">
        <v>45654.0</v>
      </c>
      <c r="R17" s="59" t="s">
        <v>31</v>
      </c>
    </row>
    <row r="18" hidden="1">
      <c r="A18" s="79" t="s">
        <v>43</v>
      </c>
      <c r="B18" s="44">
        <v>5.0</v>
      </c>
      <c r="C18" s="44" t="s">
        <v>64</v>
      </c>
      <c r="D18" s="44" t="s">
        <v>224</v>
      </c>
      <c r="E18" s="44">
        <v>1.0</v>
      </c>
      <c r="F18" s="44">
        <f>'247_2023'!E17</f>
        <v>1</v>
      </c>
      <c r="G18" s="56">
        <f>'247_2023'!F17</f>
        <v>0</v>
      </c>
      <c r="H18" s="28">
        <v>103229.0</v>
      </c>
      <c r="I18" s="28">
        <v>103229.0</v>
      </c>
      <c r="J18" s="44" t="s">
        <v>228</v>
      </c>
      <c r="K18" s="23" t="s">
        <v>225</v>
      </c>
      <c r="L18" s="44" t="s">
        <v>183</v>
      </c>
      <c r="M18" s="44" t="s">
        <v>184</v>
      </c>
      <c r="N18" s="44" t="s">
        <v>186</v>
      </c>
      <c r="O18" s="34" t="s">
        <v>187</v>
      </c>
      <c r="P18" s="44">
        <v>1323.0</v>
      </c>
      <c r="Q18" s="63">
        <v>45654.0</v>
      </c>
      <c r="R18" s="44" t="s">
        <v>31</v>
      </c>
    </row>
    <row r="19" hidden="1">
      <c r="A19" s="77" t="s">
        <v>43</v>
      </c>
      <c r="B19" s="59">
        <v>5.0</v>
      </c>
      <c r="C19" s="59" t="s">
        <v>64</v>
      </c>
      <c r="D19" s="59" t="s">
        <v>224</v>
      </c>
      <c r="E19" s="59">
        <v>1.0</v>
      </c>
      <c r="F19" s="59">
        <f>'247_2023'!E18</f>
        <v>1</v>
      </c>
      <c r="G19" s="67">
        <f>'247_2023'!F18</f>
        <v>0</v>
      </c>
      <c r="H19" s="46">
        <v>103229.0</v>
      </c>
      <c r="I19" s="46">
        <v>103229.0</v>
      </c>
      <c r="J19" s="59" t="s">
        <v>194</v>
      </c>
      <c r="K19" s="39" t="s">
        <v>225</v>
      </c>
      <c r="L19" s="59" t="s">
        <v>183</v>
      </c>
      <c r="M19" s="59" t="s">
        <v>184</v>
      </c>
      <c r="N19" s="59" t="s">
        <v>186</v>
      </c>
      <c r="O19" s="69" t="s">
        <v>187</v>
      </c>
      <c r="P19" s="59">
        <v>1323.0</v>
      </c>
      <c r="Q19" s="70">
        <v>45654.0</v>
      </c>
      <c r="R19" s="59" t="s">
        <v>31</v>
      </c>
    </row>
    <row r="20" hidden="1">
      <c r="A20" s="79" t="s">
        <v>43</v>
      </c>
      <c r="B20" s="44">
        <v>6.0</v>
      </c>
      <c r="C20" s="44" t="s">
        <v>73</v>
      </c>
      <c r="D20" s="44" t="s">
        <v>230</v>
      </c>
      <c r="E20" s="44">
        <f>'247_2023'!E19</f>
        <v>1</v>
      </c>
      <c r="F20" s="44">
        <f>'247_2023'!E19</f>
        <v>1</v>
      </c>
      <c r="G20" s="56">
        <f>'247_2023'!F19</f>
        <v>0</v>
      </c>
      <c r="H20" s="28">
        <v>595000.0</v>
      </c>
      <c r="I20" s="28">
        <v>595000.0</v>
      </c>
      <c r="J20" s="44" t="s">
        <v>233</v>
      </c>
      <c r="K20" s="23" t="s">
        <v>234</v>
      </c>
      <c r="L20" s="44" t="s">
        <v>235</v>
      </c>
      <c r="M20" s="44" t="s">
        <v>236</v>
      </c>
      <c r="N20" s="44" t="s">
        <v>237</v>
      </c>
      <c r="O20" s="34" t="s">
        <v>238</v>
      </c>
      <c r="P20" s="44">
        <v>1325.0</v>
      </c>
      <c r="Q20" s="63">
        <v>45696.0</v>
      </c>
      <c r="R20" s="44" t="s">
        <v>31</v>
      </c>
    </row>
    <row r="21" hidden="1">
      <c r="A21" s="77" t="s">
        <v>43</v>
      </c>
      <c r="B21" s="59">
        <v>7.0</v>
      </c>
      <c r="C21" s="59" t="s">
        <v>80</v>
      </c>
      <c r="D21" s="59" t="s">
        <v>239</v>
      </c>
      <c r="E21" s="59">
        <v>4.0</v>
      </c>
      <c r="F21" s="52">
        <f>'247_2023'!E20</f>
        <v>4</v>
      </c>
      <c r="G21" s="67">
        <f>'247_2023'!F20</f>
        <v>0</v>
      </c>
      <c r="H21" s="46">
        <v>13682.0</v>
      </c>
      <c r="I21" s="46">
        <v>54728.0</v>
      </c>
      <c r="J21" s="59" t="s">
        <v>167</v>
      </c>
      <c r="K21" s="59" t="s">
        <v>240</v>
      </c>
      <c r="L21" s="59" t="s">
        <v>241</v>
      </c>
      <c r="M21" s="59" t="s">
        <v>242</v>
      </c>
      <c r="N21" s="59" t="s">
        <v>243</v>
      </c>
      <c r="O21" s="69" t="s">
        <v>244</v>
      </c>
      <c r="P21" s="59">
        <v>1005.0</v>
      </c>
      <c r="Q21" s="70">
        <v>45696.0</v>
      </c>
      <c r="R21" s="59" t="s">
        <v>31</v>
      </c>
    </row>
    <row r="22" hidden="1">
      <c r="A22" s="79" t="s">
        <v>43</v>
      </c>
      <c r="B22" s="44">
        <v>8.0</v>
      </c>
      <c r="C22" s="44" t="s">
        <v>122</v>
      </c>
      <c r="D22" s="44" t="s">
        <v>245</v>
      </c>
      <c r="E22" s="44">
        <v>4.0</v>
      </c>
      <c r="F22" s="35">
        <f>'247_2023'!E21</f>
        <v>3</v>
      </c>
      <c r="G22" s="56">
        <f>'247_2023'!F21</f>
        <v>1</v>
      </c>
      <c r="H22" s="28">
        <v>790000.0</v>
      </c>
      <c r="I22" s="28">
        <v>3160000.0</v>
      </c>
      <c r="J22" s="44" t="s">
        <v>89</v>
      </c>
      <c r="K22" s="44" t="s">
        <v>248</v>
      </c>
      <c r="L22" s="44" t="s">
        <v>235</v>
      </c>
      <c r="M22" s="44" t="s">
        <v>236</v>
      </c>
      <c r="N22" s="44" t="s">
        <v>237</v>
      </c>
      <c r="O22" s="34" t="s">
        <v>238</v>
      </c>
      <c r="P22" s="44">
        <v>1325.0</v>
      </c>
      <c r="Q22" s="63">
        <v>45696.0</v>
      </c>
      <c r="R22" s="44" t="s">
        <v>31</v>
      </c>
    </row>
    <row r="23" hidden="1">
      <c r="A23" s="77" t="s">
        <v>43</v>
      </c>
      <c r="B23" s="59">
        <v>9.0</v>
      </c>
      <c r="C23" s="59" t="s">
        <v>128</v>
      </c>
      <c r="D23" s="59" t="s">
        <v>249</v>
      </c>
      <c r="E23" s="100">
        <v>1.0</v>
      </c>
      <c r="F23" s="101">
        <f>'247_2023'!E22</f>
        <v>1</v>
      </c>
      <c r="G23" s="102">
        <f>'247_2023'!F22</f>
        <v>0</v>
      </c>
      <c r="H23" s="46">
        <v>649900.0</v>
      </c>
      <c r="I23" s="46">
        <v>649900.0</v>
      </c>
      <c r="J23" s="59" t="s">
        <v>179</v>
      </c>
      <c r="K23" s="39" t="s">
        <v>250</v>
      </c>
      <c r="L23" s="59" t="s">
        <v>235</v>
      </c>
      <c r="M23" s="59" t="s">
        <v>236</v>
      </c>
      <c r="N23" s="59" t="s">
        <v>237</v>
      </c>
      <c r="O23" s="69" t="s">
        <v>238</v>
      </c>
      <c r="P23" s="59">
        <v>1325.0</v>
      </c>
      <c r="Q23" s="70">
        <v>45696.0</v>
      </c>
      <c r="R23" s="59" t="s">
        <v>31</v>
      </c>
    </row>
    <row r="24" hidden="1">
      <c r="A24" s="79" t="s">
        <v>43</v>
      </c>
      <c r="B24" s="44">
        <v>9.0</v>
      </c>
      <c r="C24" s="44" t="s">
        <v>128</v>
      </c>
      <c r="D24" s="44" t="s">
        <v>249</v>
      </c>
      <c r="E24" s="103">
        <v>1.0</v>
      </c>
      <c r="F24" s="104">
        <f>'247_2023'!E23</f>
        <v>0</v>
      </c>
      <c r="G24" s="105">
        <f>'247_2023'!F23</f>
        <v>1</v>
      </c>
      <c r="H24" s="28">
        <v>649900.0</v>
      </c>
      <c r="I24" s="28">
        <v>649900.0</v>
      </c>
      <c r="J24" s="44" t="s">
        <v>214</v>
      </c>
      <c r="K24" s="23" t="s">
        <v>250</v>
      </c>
      <c r="L24" s="44" t="s">
        <v>235</v>
      </c>
      <c r="M24" s="44" t="s">
        <v>236</v>
      </c>
      <c r="N24" s="44" t="s">
        <v>237</v>
      </c>
      <c r="O24" s="34" t="s">
        <v>238</v>
      </c>
      <c r="P24" s="44">
        <v>1325.0</v>
      </c>
      <c r="Q24" s="63">
        <v>45696.0</v>
      </c>
      <c r="R24" s="44" t="s">
        <v>31</v>
      </c>
    </row>
    <row r="25" hidden="1">
      <c r="A25" s="77" t="s">
        <v>43</v>
      </c>
      <c r="B25" s="59">
        <v>10.0</v>
      </c>
      <c r="C25" s="59" t="s">
        <v>83</v>
      </c>
      <c r="D25" s="59" t="s">
        <v>251</v>
      </c>
      <c r="E25" s="59">
        <v>1.0</v>
      </c>
      <c r="F25" s="101" t="str">
        <f>'247_2023'!E24</f>
        <v>x</v>
      </c>
      <c r="G25" s="102" t="str">
        <f>'247_2023'!F24</f>
        <v>x</v>
      </c>
      <c r="H25" s="46" t="s">
        <v>252</v>
      </c>
      <c r="I25" s="46" t="s">
        <v>253</v>
      </c>
      <c r="J25" s="59" t="s">
        <v>31</v>
      </c>
      <c r="K25" s="59" t="s">
        <v>48</v>
      </c>
      <c r="L25" s="59" t="s">
        <v>48</v>
      </c>
      <c r="M25" s="59" t="s">
        <v>48</v>
      </c>
      <c r="N25" s="59" t="s">
        <v>31</v>
      </c>
      <c r="O25" s="59" t="s">
        <v>31</v>
      </c>
      <c r="P25" s="59" t="s">
        <v>48</v>
      </c>
      <c r="Q25" s="70" t="s">
        <v>48</v>
      </c>
      <c r="R25" s="59" t="s">
        <v>48</v>
      </c>
    </row>
    <row r="26" hidden="1">
      <c r="A26" s="79" t="s">
        <v>43</v>
      </c>
      <c r="B26" s="44">
        <v>10.0</v>
      </c>
      <c r="C26" s="44" t="s">
        <v>83</v>
      </c>
      <c r="D26" s="44" t="s">
        <v>251</v>
      </c>
      <c r="E26" s="44">
        <v>1.0</v>
      </c>
      <c r="F26" s="104" t="str">
        <f>'247_2023'!E25</f>
        <v>x</v>
      </c>
      <c r="G26" s="105" t="str">
        <f>'247_2023'!F25</f>
        <v>x</v>
      </c>
      <c r="H26" s="28" t="s">
        <v>252</v>
      </c>
      <c r="I26" s="28" t="s">
        <v>253</v>
      </c>
      <c r="J26" s="44" t="s">
        <v>179</v>
      </c>
      <c r="K26" s="44" t="s">
        <v>48</v>
      </c>
      <c r="L26" s="44" t="s">
        <v>48</v>
      </c>
      <c r="M26" s="44" t="s">
        <v>48</v>
      </c>
      <c r="N26" s="44" t="s">
        <v>31</v>
      </c>
      <c r="O26" s="44" t="s">
        <v>31</v>
      </c>
      <c r="P26" s="44" t="s">
        <v>48</v>
      </c>
      <c r="Q26" s="63" t="s">
        <v>48</v>
      </c>
      <c r="R26" s="44" t="s">
        <v>48</v>
      </c>
    </row>
    <row r="27" hidden="1">
      <c r="A27" s="77" t="s">
        <v>43</v>
      </c>
      <c r="B27" s="59">
        <v>10.0</v>
      </c>
      <c r="C27" s="59" t="s">
        <v>83</v>
      </c>
      <c r="D27" s="59" t="s">
        <v>251</v>
      </c>
      <c r="E27" s="59">
        <v>4.0</v>
      </c>
      <c r="F27" s="101" t="str">
        <f>'247_2023'!E26</f>
        <v>x</v>
      </c>
      <c r="G27" s="102" t="str">
        <f>'247_2023'!F26</f>
        <v>x</v>
      </c>
      <c r="H27" s="46" t="s">
        <v>252</v>
      </c>
      <c r="I27" s="46" t="s">
        <v>253</v>
      </c>
      <c r="J27" s="59" t="s">
        <v>167</v>
      </c>
      <c r="K27" s="59" t="s">
        <v>48</v>
      </c>
      <c r="L27" s="59" t="s">
        <v>48</v>
      </c>
      <c r="M27" s="59" t="s">
        <v>48</v>
      </c>
      <c r="N27" s="59" t="s">
        <v>31</v>
      </c>
      <c r="O27" s="59" t="s">
        <v>31</v>
      </c>
      <c r="P27" s="59" t="s">
        <v>48</v>
      </c>
      <c r="Q27" s="70" t="s">
        <v>48</v>
      </c>
      <c r="R27" s="59" t="s">
        <v>48</v>
      </c>
    </row>
    <row r="28" hidden="1">
      <c r="A28" s="79" t="s">
        <v>43</v>
      </c>
      <c r="B28" s="44">
        <v>10.0</v>
      </c>
      <c r="C28" s="44" t="s">
        <v>83</v>
      </c>
      <c r="D28" s="44" t="s">
        <v>251</v>
      </c>
      <c r="E28" s="44">
        <v>1.0</v>
      </c>
      <c r="F28" s="104" t="str">
        <f>'247_2023'!E27</f>
        <v>x</v>
      </c>
      <c r="G28" s="105" t="str">
        <f>'247_2023'!F27</f>
        <v>x</v>
      </c>
      <c r="H28" s="28" t="s">
        <v>252</v>
      </c>
      <c r="I28" s="28" t="s">
        <v>253</v>
      </c>
      <c r="J28" s="44" t="s">
        <v>202</v>
      </c>
      <c r="K28" s="44" t="s">
        <v>48</v>
      </c>
      <c r="L28" s="44" t="s">
        <v>48</v>
      </c>
      <c r="M28" s="44" t="s">
        <v>48</v>
      </c>
      <c r="N28" s="44" t="s">
        <v>31</v>
      </c>
      <c r="O28" s="44" t="s">
        <v>31</v>
      </c>
      <c r="P28" s="44" t="s">
        <v>48</v>
      </c>
      <c r="Q28" s="63" t="s">
        <v>48</v>
      </c>
      <c r="R28" s="44" t="s">
        <v>48</v>
      </c>
    </row>
    <row r="29" hidden="1">
      <c r="A29" s="77" t="s">
        <v>43</v>
      </c>
      <c r="B29" s="59">
        <v>10.0</v>
      </c>
      <c r="C29" s="59" t="s">
        <v>83</v>
      </c>
      <c r="D29" s="59" t="s">
        <v>251</v>
      </c>
      <c r="E29" s="59">
        <v>1.0</v>
      </c>
      <c r="F29" s="101" t="str">
        <f>'247_2023'!E28</f>
        <v>x</v>
      </c>
      <c r="G29" s="102" t="str">
        <f>'247_2023'!F28</f>
        <v>x</v>
      </c>
      <c r="H29" s="46" t="s">
        <v>252</v>
      </c>
      <c r="I29" s="46" t="s">
        <v>253</v>
      </c>
      <c r="J29" s="59" t="s">
        <v>111</v>
      </c>
      <c r="K29" s="59" t="s">
        <v>48</v>
      </c>
      <c r="L29" s="59" t="s">
        <v>48</v>
      </c>
      <c r="M29" s="59" t="s">
        <v>48</v>
      </c>
      <c r="N29" s="59" t="s">
        <v>31</v>
      </c>
      <c r="O29" s="59" t="s">
        <v>31</v>
      </c>
      <c r="P29" s="59" t="s">
        <v>48</v>
      </c>
      <c r="Q29" s="70" t="s">
        <v>48</v>
      </c>
      <c r="R29" s="59" t="s">
        <v>48</v>
      </c>
    </row>
    <row r="30" hidden="1">
      <c r="A30" s="79" t="s">
        <v>43</v>
      </c>
      <c r="B30" s="44">
        <v>11.0</v>
      </c>
      <c r="C30" s="44" t="s">
        <v>94</v>
      </c>
      <c r="D30" s="44" t="s">
        <v>261</v>
      </c>
      <c r="E30" s="44">
        <v>1.0</v>
      </c>
      <c r="F30" s="104" t="str">
        <f>'247_2023'!E29</f>
        <v>x</v>
      </c>
      <c r="G30" s="105" t="str">
        <f>'247_2023'!F29</f>
        <v>x</v>
      </c>
      <c r="H30" s="28" t="s">
        <v>31</v>
      </c>
      <c r="I30" s="28" t="s">
        <v>253</v>
      </c>
      <c r="J30" s="108" t="s">
        <v>264</v>
      </c>
      <c r="K30" s="44" t="s">
        <v>48</v>
      </c>
      <c r="L30" s="44" t="s">
        <v>48</v>
      </c>
      <c r="M30" s="44" t="s">
        <v>48</v>
      </c>
      <c r="N30" s="44" t="s">
        <v>31</v>
      </c>
      <c r="O30" s="44" t="s">
        <v>31</v>
      </c>
      <c r="P30" s="44" t="s">
        <v>48</v>
      </c>
      <c r="Q30" s="63" t="s">
        <v>48</v>
      </c>
      <c r="R30" s="44" t="s">
        <v>48</v>
      </c>
    </row>
    <row r="31" hidden="1">
      <c r="A31" s="77" t="s">
        <v>43</v>
      </c>
      <c r="B31" s="59">
        <v>11.0</v>
      </c>
      <c r="C31" s="59" t="s">
        <v>94</v>
      </c>
      <c r="D31" s="59" t="s">
        <v>261</v>
      </c>
      <c r="E31" s="59">
        <v>4.0</v>
      </c>
      <c r="F31" s="101" t="str">
        <f>'247_2023'!E30</f>
        <v>x</v>
      </c>
      <c r="G31" s="102" t="str">
        <f>'247_2023'!F30</f>
        <v>x</v>
      </c>
      <c r="H31" s="46" t="s">
        <v>31</v>
      </c>
      <c r="I31" s="46" t="s">
        <v>253</v>
      </c>
      <c r="J31" s="59" t="s">
        <v>167</v>
      </c>
      <c r="K31" s="59" t="s">
        <v>48</v>
      </c>
      <c r="L31" s="59" t="s">
        <v>48</v>
      </c>
      <c r="M31" s="59" t="s">
        <v>48</v>
      </c>
      <c r="N31" s="59" t="s">
        <v>31</v>
      </c>
      <c r="O31" s="59" t="s">
        <v>31</v>
      </c>
      <c r="P31" s="59" t="s">
        <v>48</v>
      </c>
      <c r="Q31" s="70" t="s">
        <v>48</v>
      </c>
      <c r="R31" s="59" t="s">
        <v>48</v>
      </c>
    </row>
    <row r="32" hidden="1">
      <c r="A32" s="79" t="s">
        <v>43</v>
      </c>
      <c r="B32" s="44">
        <v>11.0</v>
      </c>
      <c r="C32" s="44" t="s">
        <v>94</v>
      </c>
      <c r="D32" s="44" t="s">
        <v>261</v>
      </c>
      <c r="E32" s="44">
        <v>1.0</v>
      </c>
      <c r="F32" s="104" t="str">
        <f>'247_2023'!E31</f>
        <v>x</v>
      </c>
      <c r="G32" s="105" t="str">
        <f>'247_2023'!F31</f>
        <v>x</v>
      </c>
      <c r="H32" s="28" t="s">
        <v>31</v>
      </c>
      <c r="I32" s="28" t="s">
        <v>253</v>
      </c>
      <c r="J32" s="44" t="s">
        <v>272</v>
      </c>
      <c r="K32" s="44" t="s">
        <v>48</v>
      </c>
      <c r="L32" s="44" t="s">
        <v>48</v>
      </c>
      <c r="M32" s="44" t="s">
        <v>48</v>
      </c>
      <c r="N32" s="44" t="s">
        <v>31</v>
      </c>
      <c r="O32" s="44" t="s">
        <v>31</v>
      </c>
      <c r="P32" s="44" t="s">
        <v>48</v>
      </c>
      <c r="Q32" s="63" t="s">
        <v>48</v>
      </c>
      <c r="R32" s="44" t="s">
        <v>48</v>
      </c>
    </row>
    <row r="33" hidden="1">
      <c r="A33" s="77" t="s">
        <v>43</v>
      </c>
      <c r="B33" s="59">
        <v>12.0</v>
      </c>
      <c r="C33" s="59" t="s">
        <v>99</v>
      </c>
      <c r="D33" s="59" t="s">
        <v>275</v>
      </c>
      <c r="E33" s="59">
        <v>1.0</v>
      </c>
      <c r="F33" s="101">
        <f>'247_2023'!E32</f>
        <v>0</v>
      </c>
      <c r="G33" s="102">
        <f>'247_2023'!F32</f>
        <v>1</v>
      </c>
      <c r="H33" s="46">
        <v>1189999.78</v>
      </c>
      <c r="I33" s="46">
        <v>1189999.78</v>
      </c>
      <c r="J33" s="59" t="s">
        <v>276</v>
      </c>
      <c r="K33" s="59" t="s">
        <v>277</v>
      </c>
      <c r="L33" s="59" t="s">
        <v>31</v>
      </c>
      <c r="M33" s="59" t="s">
        <v>31</v>
      </c>
      <c r="N33" s="59" t="s">
        <v>31</v>
      </c>
      <c r="O33" s="59" t="s">
        <v>31</v>
      </c>
      <c r="P33" s="59" t="s">
        <v>31</v>
      </c>
      <c r="Q33" s="70" t="s">
        <v>31</v>
      </c>
      <c r="R33" s="59" t="s">
        <v>31</v>
      </c>
    </row>
    <row r="34">
      <c r="A34" s="79" t="s">
        <v>43</v>
      </c>
      <c r="B34" s="44">
        <v>13.0</v>
      </c>
      <c r="C34" s="44" t="s">
        <v>101</v>
      </c>
      <c r="D34" s="44" t="s">
        <v>278</v>
      </c>
      <c r="E34" s="44">
        <v>13.0</v>
      </c>
      <c r="F34" s="104" t="str">
        <f>'247_2023'!E33</f>
        <v>x</v>
      </c>
      <c r="G34" s="105" t="str">
        <f>'247_2023'!F33</f>
        <v>x</v>
      </c>
      <c r="H34" s="28" t="s">
        <v>31</v>
      </c>
      <c r="I34" s="28" t="s">
        <v>253</v>
      </c>
      <c r="J34" s="108" t="s">
        <v>264</v>
      </c>
      <c r="K34" s="44" t="s">
        <v>48</v>
      </c>
      <c r="L34" s="44" t="s">
        <v>48</v>
      </c>
      <c r="M34" s="44" t="s">
        <v>48</v>
      </c>
      <c r="N34" s="44" t="s">
        <v>31</v>
      </c>
      <c r="O34" s="44" t="s">
        <v>31</v>
      </c>
      <c r="P34" s="44" t="s">
        <v>48</v>
      </c>
      <c r="Q34" s="63" t="s">
        <v>48</v>
      </c>
      <c r="R34" s="44" t="s">
        <v>48</v>
      </c>
    </row>
    <row r="35" hidden="1">
      <c r="A35" s="77" t="s">
        <v>43</v>
      </c>
      <c r="B35" s="59">
        <v>14.0</v>
      </c>
      <c r="C35" s="59" t="s">
        <v>104</v>
      </c>
      <c r="D35" s="59" t="s">
        <v>279</v>
      </c>
      <c r="E35" s="59">
        <v>1.0</v>
      </c>
      <c r="F35" s="101">
        <f>'247_2023'!E34</f>
        <v>1</v>
      </c>
      <c r="G35" s="102">
        <f>'247_2023'!F34</f>
        <v>0</v>
      </c>
      <c r="H35" s="46">
        <v>979980.0</v>
      </c>
      <c r="I35" s="46">
        <v>979980.0</v>
      </c>
      <c r="J35" s="59" t="s">
        <v>89</v>
      </c>
      <c r="K35" s="59" t="s">
        <v>280</v>
      </c>
      <c r="L35" s="59" t="s">
        <v>204</v>
      </c>
      <c r="M35" s="59" t="s">
        <v>62</v>
      </c>
      <c r="N35" s="59" t="s">
        <v>205</v>
      </c>
      <c r="O35" s="69" t="s">
        <v>206</v>
      </c>
      <c r="P35" s="59">
        <v>1007.0</v>
      </c>
      <c r="Q35" s="70">
        <v>45716.0</v>
      </c>
      <c r="R35" s="59" t="s">
        <v>31</v>
      </c>
    </row>
    <row r="36" hidden="1">
      <c r="A36" s="79" t="s">
        <v>43</v>
      </c>
      <c r="B36" s="44">
        <v>14.0</v>
      </c>
      <c r="C36" s="44" t="s">
        <v>104</v>
      </c>
      <c r="D36" s="44" t="s">
        <v>279</v>
      </c>
      <c r="E36" s="44">
        <v>1.0</v>
      </c>
      <c r="F36" s="35">
        <f>'247_2023'!E35</f>
        <v>1</v>
      </c>
      <c r="G36" s="56">
        <f>'247_2023'!F35</f>
        <v>0</v>
      </c>
      <c r="H36" s="28">
        <v>979980.0</v>
      </c>
      <c r="I36" s="28">
        <v>979980.0</v>
      </c>
      <c r="J36" s="44" t="s">
        <v>179</v>
      </c>
      <c r="K36" s="44" t="s">
        <v>280</v>
      </c>
      <c r="L36" s="44" t="s">
        <v>204</v>
      </c>
      <c r="M36" s="44" t="s">
        <v>62</v>
      </c>
      <c r="N36" s="44" t="s">
        <v>205</v>
      </c>
      <c r="O36" s="34" t="s">
        <v>206</v>
      </c>
      <c r="P36" s="44">
        <v>1007.0</v>
      </c>
      <c r="Q36" s="63">
        <v>45716.0</v>
      </c>
      <c r="R36" s="44" t="s">
        <v>31</v>
      </c>
    </row>
    <row r="37" hidden="1">
      <c r="A37" s="77" t="s">
        <v>43</v>
      </c>
      <c r="B37" s="59">
        <v>14.0</v>
      </c>
      <c r="C37" s="59" t="s">
        <v>104</v>
      </c>
      <c r="D37" s="59" t="s">
        <v>279</v>
      </c>
      <c r="E37" s="59">
        <v>1.0</v>
      </c>
      <c r="F37" s="52">
        <f>'247_2023'!E36</f>
        <v>1</v>
      </c>
      <c r="G37" s="67">
        <f>'247_2023'!F36</f>
        <v>0</v>
      </c>
      <c r="H37" s="46">
        <v>979980.0</v>
      </c>
      <c r="I37" s="46">
        <v>979980.0</v>
      </c>
      <c r="J37" s="59" t="s">
        <v>167</v>
      </c>
      <c r="K37" s="59" t="s">
        <v>280</v>
      </c>
      <c r="L37" s="59" t="s">
        <v>204</v>
      </c>
      <c r="M37" s="59" t="s">
        <v>62</v>
      </c>
      <c r="N37" s="59" t="s">
        <v>205</v>
      </c>
      <c r="O37" s="69" t="s">
        <v>206</v>
      </c>
      <c r="P37" s="59">
        <v>1007.0</v>
      </c>
      <c r="Q37" s="70">
        <v>45716.0</v>
      </c>
      <c r="R37" s="59" t="s">
        <v>31</v>
      </c>
    </row>
    <row r="38" hidden="1">
      <c r="A38" s="79" t="s">
        <v>43</v>
      </c>
      <c r="B38" s="44">
        <v>14.0</v>
      </c>
      <c r="C38" s="44" t="s">
        <v>104</v>
      </c>
      <c r="D38" s="44" t="s">
        <v>279</v>
      </c>
      <c r="E38" s="44">
        <v>1.0</v>
      </c>
      <c r="F38" s="35">
        <f>'247_2023'!E37</f>
        <v>1</v>
      </c>
      <c r="G38" s="56">
        <f>'247_2023'!F37</f>
        <v>0</v>
      </c>
      <c r="H38" s="28">
        <v>979980.0</v>
      </c>
      <c r="I38" s="28">
        <v>979980.0</v>
      </c>
      <c r="J38" s="44" t="s">
        <v>160</v>
      </c>
      <c r="K38" s="44" t="s">
        <v>280</v>
      </c>
      <c r="L38" s="44" t="s">
        <v>204</v>
      </c>
      <c r="M38" s="44" t="s">
        <v>62</v>
      </c>
      <c r="N38" s="44" t="s">
        <v>205</v>
      </c>
      <c r="O38" s="34" t="s">
        <v>206</v>
      </c>
      <c r="P38" s="44">
        <v>1007.0</v>
      </c>
      <c r="Q38" s="63">
        <v>45716.0</v>
      </c>
      <c r="R38" s="44" t="s">
        <v>31</v>
      </c>
    </row>
    <row r="39" hidden="1">
      <c r="A39" s="77" t="s">
        <v>43</v>
      </c>
      <c r="B39" s="59">
        <v>14.0</v>
      </c>
      <c r="C39" s="59" t="s">
        <v>104</v>
      </c>
      <c r="D39" s="59" t="s">
        <v>279</v>
      </c>
      <c r="E39" s="59">
        <v>1.0</v>
      </c>
      <c r="F39" s="52">
        <f>'247_2023'!E38</f>
        <v>1</v>
      </c>
      <c r="G39" s="67">
        <f>'247_2023'!F38</f>
        <v>0</v>
      </c>
      <c r="H39" s="46">
        <v>979980.0</v>
      </c>
      <c r="I39" s="46">
        <v>979980.0</v>
      </c>
      <c r="J39" s="59" t="s">
        <v>210</v>
      </c>
      <c r="K39" s="59" t="s">
        <v>280</v>
      </c>
      <c r="L39" s="59" t="s">
        <v>204</v>
      </c>
      <c r="M39" s="59" t="s">
        <v>62</v>
      </c>
      <c r="N39" s="59" t="s">
        <v>205</v>
      </c>
      <c r="O39" s="69" t="s">
        <v>206</v>
      </c>
      <c r="P39" s="59">
        <v>1007.0</v>
      </c>
      <c r="Q39" s="70">
        <v>45716.0</v>
      </c>
      <c r="R39" s="59" t="s">
        <v>31</v>
      </c>
    </row>
    <row r="40" hidden="1">
      <c r="A40" s="79" t="s">
        <v>43</v>
      </c>
      <c r="B40" s="44">
        <v>15.0</v>
      </c>
      <c r="C40" s="44" t="s">
        <v>107</v>
      </c>
      <c r="D40" s="44" t="s">
        <v>285</v>
      </c>
      <c r="E40" s="44">
        <v>1.0</v>
      </c>
      <c r="F40" s="44">
        <f>'247_2023'!E39</f>
        <v>1</v>
      </c>
      <c r="G40" s="56">
        <f>'247_2023'!F39</f>
        <v>0</v>
      </c>
      <c r="H40" s="28">
        <v>592400.0</v>
      </c>
      <c r="I40" s="28">
        <v>592400.0</v>
      </c>
      <c r="J40" s="44" t="s">
        <v>210</v>
      </c>
      <c r="K40" s="23" t="s">
        <v>292</v>
      </c>
      <c r="L40" s="44" t="s">
        <v>235</v>
      </c>
      <c r="M40" s="44" t="s">
        <v>236</v>
      </c>
      <c r="N40" s="44" t="s">
        <v>237</v>
      </c>
      <c r="O40" s="34" t="s">
        <v>238</v>
      </c>
      <c r="P40" s="44">
        <v>1325.0</v>
      </c>
      <c r="Q40" s="63">
        <v>45696.0</v>
      </c>
      <c r="R40" s="44" t="s">
        <v>31</v>
      </c>
    </row>
    <row r="41" hidden="1">
      <c r="A41" s="77" t="s">
        <v>43</v>
      </c>
      <c r="B41" s="59">
        <v>16.0</v>
      </c>
      <c r="C41" s="59" t="s">
        <v>109</v>
      </c>
      <c r="D41" s="59" t="s">
        <v>293</v>
      </c>
      <c r="E41" s="59">
        <v>1.0</v>
      </c>
      <c r="F41" s="59" t="str">
        <f>'247_2023'!E40</f>
        <v>X</v>
      </c>
      <c r="G41" s="67" t="str">
        <f>'247_2023'!F40</f>
        <v>X</v>
      </c>
      <c r="H41" s="46">
        <v>474000.0</v>
      </c>
      <c r="I41" s="46">
        <v>474000.0</v>
      </c>
      <c r="J41" s="59" t="s">
        <v>58</v>
      </c>
      <c r="K41" s="59" t="s">
        <v>31</v>
      </c>
      <c r="L41" s="59" t="s">
        <v>31</v>
      </c>
      <c r="M41" s="59" t="s">
        <v>31</v>
      </c>
      <c r="N41" s="59" t="s">
        <v>31</v>
      </c>
      <c r="O41" s="59" t="s">
        <v>31</v>
      </c>
      <c r="P41" s="59" t="s">
        <v>31</v>
      </c>
      <c r="Q41" s="70" t="s">
        <v>31</v>
      </c>
      <c r="R41" s="59" t="s">
        <v>296</v>
      </c>
    </row>
    <row r="42" hidden="1">
      <c r="A42" s="79" t="s">
        <v>43</v>
      </c>
      <c r="B42" s="44">
        <v>16.0</v>
      </c>
      <c r="C42" s="44" t="s">
        <v>109</v>
      </c>
      <c r="D42" s="44" t="s">
        <v>293</v>
      </c>
      <c r="E42" s="44">
        <v>1.0</v>
      </c>
      <c r="F42" s="44" t="str">
        <f>'247_2023'!E41</f>
        <v>X</v>
      </c>
      <c r="G42" s="56" t="str">
        <f>'247_2023'!F41</f>
        <v>X</v>
      </c>
      <c r="H42" s="28">
        <v>474000.0</v>
      </c>
      <c r="I42" s="28">
        <v>474000.0</v>
      </c>
      <c r="J42" s="44" t="s">
        <v>103</v>
      </c>
      <c r="K42" s="44" t="s">
        <v>31</v>
      </c>
      <c r="L42" s="44" t="s">
        <v>31</v>
      </c>
      <c r="M42" s="44" t="s">
        <v>31</v>
      </c>
      <c r="N42" s="44" t="s">
        <v>31</v>
      </c>
      <c r="O42" s="44" t="s">
        <v>31</v>
      </c>
      <c r="P42" s="44" t="s">
        <v>31</v>
      </c>
      <c r="Q42" s="63" t="s">
        <v>31</v>
      </c>
      <c r="R42" s="44" t="s">
        <v>296</v>
      </c>
    </row>
    <row r="43" hidden="1">
      <c r="A43" s="77" t="s">
        <v>43</v>
      </c>
      <c r="B43" s="59">
        <v>16.0</v>
      </c>
      <c r="C43" s="59" t="s">
        <v>109</v>
      </c>
      <c r="D43" s="59" t="s">
        <v>293</v>
      </c>
      <c r="E43" s="59">
        <v>1.0</v>
      </c>
      <c r="F43" s="59" t="str">
        <f>'247_2023'!E42</f>
        <v>X</v>
      </c>
      <c r="G43" s="67" t="str">
        <f>'247_2023'!F42</f>
        <v>X</v>
      </c>
      <c r="H43" s="46">
        <v>474000.0</v>
      </c>
      <c r="I43" s="46">
        <v>474000.0</v>
      </c>
      <c r="J43" s="59" t="s">
        <v>96</v>
      </c>
      <c r="K43" s="59" t="s">
        <v>31</v>
      </c>
      <c r="L43" s="59" t="s">
        <v>31</v>
      </c>
      <c r="M43" s="59" t="s">
        <v>31</v>
      </c>
      <c r="N43" s="59" t="s">
        <v>31</v>
      </c>
      <c r="O43" s="59" t="s">
        <v>31</v>
      </c>
      <c r="P43" s="59" t="s">
        <v>31</v>
      </c>
      <c r="Q43" s="70" t="s">
        <v>31</v>
      </c>
      <c r="R43" s="59" t="s">
        <v>296</v>
      </c>
    </row>
    <row r="44" hidden="1">
      <c r="A44" s="79" t="s">
        <v>43</v>
      </c>
      <c r="B44" s="44">
        <v>16.0</v>
      </c>
      <c r="C44" s="44" t="s">
        <v>109</v>
      </c>
      <c r="D44" s="44" t="s">
        <v>293</v>
      </c>
      <c r="E44" s="44">
        <v>1.0</v>
      </c>
      <c r="F44" s="44" t="str">
        <f>'247_2023'!E43</f>
        <v>X</v>
      </c>
      <c r="G44" s="56" t="str">
        <f>'247_2023'!F43</f>
        <v>X</v>
      </c>
      <c r="H44" s="28">
        <v>474000.0</v>
      </c>
      <c r="I44" s="28">
        <v>474000.0</v>
      </c>
      <c r="J44" s="44" t="s">
        <v>276</v>
      </c>
      <c r="K44" s="44" t="s">
        <v>31</v>
      </c>
      <c r="L44" s="44" t="s">
        <v>31</v>
      </c>
      <c r="M44" s="44" t="s">
        <v>31</v>
      </c>
      <c r="N44" s="44" t="s">
        <v>31</v>
      </c>
      <c r="O44" s="44" t="s">
        <v>31</v>
      </c>
      <c r="P44" s="44" t="s">
        <v>31</v>
      </c>
      <c r="Q44" s="63" t="s">
        <v>31</v>
      </c>
      <c r="R44" s="44" t="s">
        <v>296</v>
      </c>
    </row>
    <row r="45" hidden="1">
      <c r="A45" s="77" t="s">
        <v>43</v>
      </c>
      <c r="B45" s="59">
        <v>17.0</v>
      </c>
      <c r="C45" s="59" t="s">
        <v>110</v>
      </c>
      <c r="D45" s="59" t="s">
        <v>297</v>
      </c>
      <c r="E45" s="59">
        <v>1.0</v>
      </c>
      <c r="F45" s="59">
        <f>'247_2023'!E44</f>
        <v>0</v>
      </c>
      <c r="G45" s="67">
        <f>'247_2023'!F44</f>
        <v>1</v>
      </c>
      <c r="H45" s="46">
        <v>590000.0</v>
      </c>
      <c r="I45" s="46">
        <v>590000.0</v>
      </c>
      <c r="J45" s="59" t="s">
        <v>160</v>
      </c>
      <c r="K45" s="59" t="s">
        <v>298</v>
      </c>
      <c r="L45" s="59" t="s">
        <v>299</v>
      </c>
      <c r="M45" s="59" t="s">
        <v>300</v>
      </c>
      <c r="N45" s="59" t="s">
        <v>301</v>
      </c>
      <c r="O45" s="69" t="s">
        <v>302</v>
      </c>
      <c r="P45" s="59">
        <v>1322.0</v>
      </c>
      <c r="Q45" s="70">
        <v>45654.0</v>
      </c>
      <c r="R45" s="59" t="s">
        <v>303</v>
      </c>
    </row>
    <row r="46" hidden="1">
      <c r="A46" s="79" t="s">
        <v>43</v>
      </c>
      <c r="B46" s="44">
        <v>18.0</v>
      </c>
      <c r="C46" s="44" t="s">
        <v>116</v>
      </c>
      <c r="D46" s="44" t="s">
        <v>305</v>
      </c>
      <c r="E46" s="44">
        <v>1.0</v>
      </c>
      <c r="F46" s="44">
        <f>'247_2023'!E45</f>
        <v>0</v>
      </c>
      <c r="G46" s="56">
        <f>'247_2023'!F45</f>
        <v>1</v>
      </c>
      <c r="H46" s="28">
        <v>390000.0</v>
      </c>
      <c r="I46" s="28">
        <v>390000.0</v>
      </c>
      <c r="J46" s="44" t="s">
        <v>160</v>
      </c>
      <c r="K46" s="44" t="s">
        <v>306</v>
      </c>
      <c r="L46" s="44" t="s">
        <v>92</v>
      </c>
      <c r="M46" s="44" t="s">
        <v>93</v>
      </c>
      <c r="N46" s="44" t="s">
        <v>95</v>
      </c>
      <c r="O46" s="34" t="s">
        <v>98</v>
      </c>
      <c r="P46" s="44">
        <v>1006.0</v>
      </c>
      <c r="Q46" s="63">
        <v>45696.0</v>
      </c>
      <c r="R46" s="44" t="s">
        <v>309</v>
      </c>
    </row>
    <row r="47" hidden="1">
      <c r="A47" s="77" t="s">
        <v>43</v>
      </c>
      <c r="B47" s="59">
        <v>19.0</v>
      </c>
      <c r="C47" s="59" t="s">
        <v>120</v>
      </c>
      <c r="D47" s="59" t="s">
        <v>310</v>
      </c>
      <c r="E47" s="59">
        <v>3.0</v>
      </c>
      <c r="F47" s="59">
        <f>'247_2023'!E46</f>
        <v>3</v>
      </c>
      <c r="G47" s="67">
        <f>'247_2023'!F46</f>
        <v>0</v>
      </c>
      <c r="H47" s="46">
        <v>136701.0</v>
      </c>
      <c r="I47" s="46">
        <v>410103.0</v>
      </c>
      <c r="J47" s="59" t="s">
        <v>160</v>
      </c>
      <c r="K47" s="59" t="s">
        <v>316</v>
      </c>
      <c r="L47" s="59" t="s">
        <v>183</v>
      </c>
      <c r="M47" s="59" t="s">
        <v>184</v>
      </c>
      <c r="N47" s="59" t="s">
        <v>186</v>
      </c>
      <c r="O47" s="69" t="s">
        <v>187</v>
      </c>
      <c r="P47" s="59">
        <v>1318.0</v>
      </c>
      <c r="Q47" s="70">
        <v>45653.0</v>
      </c>
      <c r="R47" s="59" t="s">
        <v>317</v>
      </c>
    </row>
    <row r="48" hidden="1">
      <c r="A48" s="79" t="s">
        <v>43</v>
      </c>
      <c r="B48" s="44">
        <v>19.0</v>
      </c>
      <c r="C48" s="44" t="s">
        <v>120</v>
      </c>
      <c r="D48" s="44" t="s">
        <v>310</v>
      </c>
      <c r="E48" s="44">
        <v>3.0</v>
      </c>
      <c r="F48" s="44">
        <f>'247_2023'!E47</f>
        <v>3</v>
      </c>
      <c r="G48" s="56">
        <f>'247_2023'!F47</f>
        <v>0</v>
      </c>
      <c r="H48" s="28">
        <v>136701.0</v>
      </c>
      <c r="I48" s="28">
        <v>410103.0</v>
      </c>
      <c r="J48" s="44" t="s">
        <v>189</v>
      </c>
      <c r="K48" s="44" t="s">
        <v>316</v>
      </c>
      <c r="L48" s="44" t="s">
        <v>183</v>
      </c>
      <c r="M48" s="44" t="s">
        <v>184</v>
      </c>
      <c r="N48" s="44" t="s">
        <v>186</v>
      </c>
      <c r="O48" s="34" t="s">
        <v>187</v>
      </c>
      <c r="P48" s="44">
        <v>1318.0</v>
      </c>
      <c r="Q48" s="63">
        <v>45653.0</v>
      </c>
      <c r="R48" s="44" t="s">
        <v>31</v>
      </c>
    </row>
    <row r="49" hidden="1">
      <c r="A49" s="77" t="s">
        <v>43</v>
      </c>
      <c r="B49" s="59">
        <v>19.0</v>
      </c>
      <c r="C49" s="59" t="s">
        <v>120</v>
      </c>
      <c r="D49" s="59" t="s">
        <v>310</v>
      </c>
      <c r="E49" s="59">
        <v>1.0</v>
      </c>
      <c r="F49" s="59">
        <f>'247_2023'!E48</f>
        <v>1</v>
      </c>
      <c r="G49" s="67">
        <f>'247_2023'!F48</f>
        <v>0</v>
      </c>
      <c r="H49" s="46">
        <v>136701.0</v>
      </c>
      <c r="I49" s="46">
        <v>136701.0</v>
      </c>
      <c r="J49" s="59" t="s">
        <v>192</v>
      </c>
      <c r="K49" s="59" t="s">
        <v>316</v>
      </c>
      <c r="L49" s="59" t="s">
        <v>183</v>
      </c>
      <c r="M49" s="59" t="s">
        <v>184</v>
      </c>
      <c r="N49" s="59" t="s">
        <v>186</v>
      </c>
      <c r="O49" s="69" t="s">
        <v>187</v>
      </c>
      <c r="P49" s="59">
        <v>1318.0</v>
      </c>
      <c r="Q49" s="70">
        <v>45653.0</v>
      </c>
      <c r="R49" s="59" t="s">
        <v>31</v>
      </c>
    </row>
    <row r="50" hidden="1">
      <c r="A50" s="79" t="s">
        <v>43</v>
      </c>
      <c r="B50" s="44">
        <v>19.0</v>
      </c>
      <c r="C50" s="44" t="s">
        <v>120</v>
      </c>
      <c r="D50" s="44" t="s">
        <v>310</v>
      </c>
      <c r="E50" s="44">
        <v>1.0</v>
      </c>
      <c r="F50" s="44">
        <f>'247_2023'!E49</f>
        <v>1</v>
      </c>
      <c r="G50" s="56">
        <f>'247_2023'!F49</f>
        <v>0</v>
      </c>
      <c r="H50" s="28">
        <v>136701.0</v>
      </c>
      <c r="I50" s="28">
        <v>136701.0</v>
      </c>
      <c r="J50" s="44" t="s">
        <v>199</v>
      </c>
      <c r="K50" s="44" t="s">
        <v>316</v>
      </c>
      <c r="L50" s="44" t="s">
        <v>183</v>
      </c>
      <c r="M50" s="44" t="s">
        <v>184</v>
      </c>
      <c r="N50" s="44" t="s">
        <v>186</v>
      </c>
      <c r="O50" s="34" t="s">
        <v>187</v>
      </c>
      <c r="P50" s="44">
        <v>1318.0</v>
      </c>
      <c r="Q50" s="63">
        <v>45653.0</v>
      </c>
      <c r="R50" s="44" t="s">
        <v>31</v>
      </c>
    </row>
    <row r="51" hidden="1">
      <c r="A51" s="77" t="s">
        <v>43</v>
      </c>
      <c r="B51" s="59">
        <v>19.0</v>
      </c>
      <c r="C51" s="59" t="s">
        <v>120</v>
      </c>
      <c r="D51" s="59" t="s">
        <v>310</v>
      </c>
      <c r="E51" s="59">
        <v>1.0</v>
      </c>
      <c r="F51" s="59">
        <f>'247_2023'!E50</f>
        <v>1</v>
      </c>
      <c r="G51" s="67">
        <f>'247_2023'!F50</f>
        <v>0</v>
      </c>
      <c r="H51" s="46">
        <v>136701.0</v>
      </c>
      <c r="I51" s="46">
        <v>136701.0</v>
      </c>
      <c r="J51" s="59" t="s">
        <v>214</v>
      </c>
      <c r="K51" s="59" t="s">
        <v>316</v>
      </c>
      <c r="L51" s="59" t="s">
        <v>183</v>
      </c>
      <c r="M51" s="59" t="s">
        <v>184</v>
      </c>
      <c r="N51" s="59" t="s">
        <v>186</v>
      </c>
      <c r="O51" s="69" t="s">
        <v>187</v>
      </c>
      <c r="P51" s="59">
        <v>1318.0</v>
      </c>
      <c r="Q51" s="70">
        <v>45653.0</v>
      </c>
      <c r="R51" s="59" t="s">
        <v>31</v>
      </c>
    </row>
    <row r="52" hidden="1">
      <c r="A52" s="79" t="s">
        <v>43</v>
      </c>
      <c r="B52" s="44">
        <v>20.0</v>
      </c>
      <c r="C52" s="44" t="s">
        <v>144</v>
      </c>
      <c r="D52" s="44" t="s">
        <v>49</v>
      </c>
      <c r="E52" s="44">
        <v>2.0</v>
      </c>
      <c r="F52" s="35" t="str">
        <f>'247_2023'!E51</f>
        <v>X</v>
      </c>
      <c r="G52" s="56" t="str">
        <f>'247_2023'!F51</f>
        <v>X</v>
      </c>
      <c r="H52" s="28" t="s">
        <v>31</v>
      </c>
      <c r="I52" s="28" t="s">
        <v>253</v>
      </c>
      <c r="J52" s="108" t="s">
        <v>264</v>
      </c>
      <c r="K52" s="44" t="s">
        <v>48</v>
      </c>
      <c r="L52" s="44" t="s">
        <v>48</v>
      </c>
      <c r="M52" s="44" t="s">
        <v>48</v>
      </c>
      <c r="N52" s="44" t="s">
        <v>31</v>
      </c>
      <c r="O52" s="44" t="s">
        <v>31</v>
      </c>
      <c r="P52" s="44" t="s">
        <v>48</v>
      </c>
      <c r="Q52" s="63" t="s">
        <v>48</v>
      </c>
      <c r="R52" s="44" t="s">
        <v>31</v>
      </c>
    </row>
    <row r="53" hidden="1">
      <c r="A53" s="77" t="s">
        <v>43</v>
      </c>
      <c r="B53" s="59">
        <v>20.0</v>
      </c>
      <c r="C53" s="59" t="s">
        <v>144</v>
      </c>
      <c r="D53" s="59" t="s">
        <v>49</v>
      </c>
      <c r="E53" s="59">
        <v>3.0</v>
      </c>
      <c r="F53" s="52" t="str">
        <f>'247_2023'!E52</f>
        <v>X</v>
      </c>
      <c r="G53" s="67" t="str">
        <f>'247_2023'!F52</f>
        <v>X</v>
      </c>
      <c r="H53" s="46" t="s">
        <v>31</v>
      </c>
      <c r="I53" s="46" t="s">
        <v>253</v>
      </c>
      <c r="J53" s="59" t="s">
        <v>111</v>
      </c>
      <c r="K53" s="59" t="s">
        <v>48</v>
      </c>
      <c r="L53" s="59" t="s">
        <v>48</v>
      </c>
      <c r="M53" s="59" t="s">
        <v>48</v>
      </c>
      <c r="N53" s="59" t="s">
        <v>31</v>
      </c>
      <c r="O53" s="59" t="s">
        <v>31</v>
      </c>
      <c r="P53" s="59" t="s">
        <v>48</v>
      </c>
      <c r="Q53" s="70" t="s">
        <v>48</v>
      </c>
      <c r="R53" s="59" t="s">
        <v>31</v>
      </c>
    </row>
    <row r="54" hidden="1">
      <c r="A54" s="79" t="s">
        <v>43</v>
      </c>
      <c r="B54" s="44">
        <v>20.0</v>
      </c>
      <c r="C54" s="44" t="s">
        <v>144</v>
      </c>
      <c r="D54" s="44" t="s">
        <v>49</v>
      </c>
      <c r="E54" s="44">
        <v>4.0</v>
      </c>
      <c r="F54" s="35" t="str">
        <f>'247_2023'!E53</f>
        <v>X</v>
      </c>
      <c r="G54" s="56" t="str">
        <f>'247_2023'!F53</f>
        <v>X</v>
      </c>
      <c r="H54" s="28" t="s">
        <v>31</v>
      </c>
      <c r="I54" s="28" t="s">
        <v>253</v>
      </c>
      <c r="J54" s="44" t="s">
        <v>178</v>
      </c>
      <c r="K54" s="44" t="s">
        <v>48</v>
      </c>
      <c r="L54" s="44" t="s">
        <v>48</v>
      </c>
      <c r="M54" s="44" t="s">
        <v>48</v>
      </c>
      <c r="N54" s="44" t="s">
        <v>31</v>
      </c>
      <c r="O54" s="44" t="s">
        <v>31</v>
      </c>
      <c r="P54" s="44" t="s">
        <v>48</v>
      </c>
      <c r="Q54" s="63" t="s">
        <v>48</v>
      </c>
      <c r="R54" s="44" t="s">
        <v>31</v>
      </c>
    </row>
    <row r="55" hidden="1">
      <c r="A55" s="77" t="s">
        <v>43</v>
      </c>
      <c r="B55" s="59">
        <v>20.0</v>
      </c>
      <c r="C55" s="59" t="s">
        <v>144</v>
      </c>
      <c r="D55" s="59" t="s">
        <v>49</v>
      </c>
      <c r="E55" s="59">
        <v>5.0</v>
      </c>
      <c r="F55" s="52" t="str">
        <f>'247_2023'!E54</f>
        <v>X</v>
      </c>
      <c r="G55" s="67" t="str">
        <f>'247_2023'!F54</f>
        <v>X</v>
      </c>
      <c r="H55" s="46" t="s">
        <v>31</v>
      </c>
      <c r="I55" s="46" t="s">
        <v>253</v>
      </c>
      <c r="J55" s="59" t="s">
        <v>272</v>
      </c>
      <c r="K55" s="59" t="s">
        <v>48</v>
      </c>
      <c r="L55" s="59" t="s">
        <v>48</v>
      </c>
      <c r="M55" s="59" t="s">
        <v>48</v>
      </c>
      <c r="N55" s="59" t="s">
        <v>31</v>
      </c>
      <c r="O55" s="59" t="s">
        <v>31</v>
      </c>
      <c r="P55" s="59" t="s">
        <v>48</v>
      </c>
      <c r="Q55" s="70" t="s">
        <v>48</v>
      </c>
      <c r="R55" s="59" t="s">
        <v>31</v>
      </c>
    </row>
    <row r="56" hidden="1">
      <c r="A56" s="79" t="s">
        <v>43</v>
      </c>
      <c r="B56" s="44">
        <v>21.0</v>
      </c>
      <c r="C56" s="44" t="s">
        <v>166</v>
      </c>
      <c r="D56" s="44" t="s">
        <v>327</v>
      </c>
      <c r="E56" s="44">
        <v>1.0</v>
      </c>
      <c r="F56" s="44">
        <f>'247_2023'!E55</f>
        <v>1</v>
      </c>
      <c r="G56" s="56">
        <f>'247_2023'!F55</f>
        <v>0</v>
      </c>
      <c r="H56" s="28">
        <v>81572.0</v>
      </c>
      <c r="I56" s="28">
        <v>81572.0</v>
      </c>
      <c r="J56" s="44" t="s">
        <v>85</v>
      </c>
      <c r="K56" s="44" t="s">
        <v>330</v>
      </c>
      <c r="L56" s="44" t="s">
        <v>183</v>
      </c>
      <c r="M56" s="44" t="s">
        <v>184</v>
      </c>
      <c r="N56" s="44" t="s">
        <v>186</v>
      </c>
      <c r="O56" s="34" t="s">
        <v>187</v>
      </c>
      <c r="P56" s="44">
        <v>1008.0</v>
      </c>
      <c r="Q56" s="63">
        <v>45696.0</v>
      </c>
      <c r="R56" s="44" t="s">
        <v>31</v>
      </c>
    </row>
    <row r="57" hidden="1">
      <c r="A57" s="77" t="s">
        <v>43</v>
      </c>
      <c r="B57" s="59">
        <v>21.0</v>
      </c>
      <c r="C57" s="59" t="s">
        <v>166</v>
      </c>
      <c r="D57" s="59" t="s">
        <v>327</v>
      </c>
      <c r="E57" s="59">
        <v>1.0</v>
      </c>
      <c r="F57" s="59">
        <f>'247_2023'!E56</f>
        <v>1</v>
      </c>
      <c r="G57" s="67">
        <f>'247_2023'!F56</f>
        <v>0</v>
      </c>
      <c r="H57" s="46">
        <v>81572.0</v>
      </c>
      <c r="I57" s="46">
        <v>81572.0</v>
      </c>
      <c r="J57" s="59" t="s">
        <v>117</v>
      </c>
      <c r="K57" s="59" t="s">
        <v>330</v>
      </c>
      <c r="L57" s="59" t="s">
        <v>183</v>
      </c>
      <c r="M57" s="59" t="s">
        <v>184</v>
      </c>
      <c r="N57" s="59" t="s">
        <v>186</v>
      </c>
      <c r="O57" s="69" t="s">
        <v>187</v>
      </c>
      <c r="P57" s="59">
        <v>1008.0</v>
      </c>
      <c r="Q57" s="70">
        <v>45696.0</v>
      </c>
      <c r="R57" s="59" t="s">
        <v>31</v>
      </c>
    </row>
    <row r="58" hidden="1">
      <c r="A58" s="79" t="s">
        <v>43</v>
      </c>
      <c r="B58" s="44">
        <v>21.0</v>
      </c>
      <c r="C58" s="44" t="s">
        <v>166</v>
      </c>
      <c r="D58" s="44" t="s">
        <v>327</v>
      </c>
      <c r="E58" s="44">
        <v>1.0</v>
      </c>
      <c r="F58" s="44">
        <f>'247_2023'!E57</f>
        <v>1</v>
      </c>
      <c r="G58" s="56">
        <f>'247_2023'!F57</f>
        <v>0</v>
      </c>
      <c r="H58" s="28">
        <v>81572.0</v>
      </c>
      <c r="I58" s="28">
        <v>81572.0</v>
      </c>
      <c r="J58" s="44" t="s">
        <v>161</v>
      </c>
      <c r="K58" s="44" t="s">
        <v>330</v>
      </c>
      <c r="L58" s="44" t="s">
        <v>183</v>
      </c>
      <c r="M58" s="44" t="s">
        <v>184</v>
      </c>
      <c r="N58" s="44" t="s">
        <v>186</v>
      </c>
      <c r="O58" s="34" t="s">
        <v>187</v>
      </c>
      <c r="P58" s="44">
        <v>1008.0</v>
      </c>
      <c r="Q58" s="63">
        <v>45696.0</v>
      </c>
      <c r="R58" s="44" t="s">
        <v>31</v>
      </c>
    </row>
    <row r="59" hidden="1">
      <c r="A59" s="77" t="s">
        <v>43</v>
      </c>
      <c r="B59" s="59">
        <v>21.0</v>
      </c>
      <c r="C59" s="59" t="s">
        <v>166</v>
      </c>
      <c r="D59" s="59" t="s">
        <v>327</v>
      </c>
      <c r="E59" s="59">
        <v>2.0</v>
      </c>
      <c r="F59" s="52">
        <f>'247_2023'!E58</f>
        <v>2</v>
      </c>
      <c r="G59" s="67">
        <f>'247_2023'!F58</f>
        <v>0</v>
      </c>
      <c r="H59" s="46">
        <v>81572.0</v>
      </c>
      <c r="I59" s="46">
        <v>163144.0</v>
      </c>
      <c r="J59" s="59" t="s">
        <v>89</v>
      </c>
      <c r="K59" s="59" t="s">
        <v>330</v>
      </c>
      <c r="L59" s="59" t="s">
        <v>183</v>
      </c>
      <c r="M59" s="59" t="s">
        <v>184</v>
      </c>
      <c r="N59" s="59" t="s">
        <v>186</v>
      </c>
      <c r="O59" s="69" t="s">
        <v>187</v>
      </c>
      <c r="P59" s="59">
        <v>1008.0</v>
      </c>
      <c r="Q59" s="70">
        <v>45696.0</v>
      </c>
      <c r="R59" s="59" t="s">
        <v>31</v>
      </c>
    </row>
    <row r="60" hidden="1">
      <c r="A60" s="79" t="s">
        <v>43</v>
      </c>
      <c r="B60" s="44">
        <v>21.0</v>
      </c>
      <c r="C60" s="44" t="s">
        <v>166</v>
      </c>
      <c r="D60" s="44" t="s">
        <v>327</v>
      </c>
      <c r="E60" s="44">
        <v>9.0</v>
      </c>
      <c r="F60" s="35">
        <f>'247_2023'!E59</f>
        <v>9</v>
      </c>
      <c r="G60" s="56">
        <f>'247_2023'!F59</f>
        <v>0</v>
      </c>
      <c r="H60" s="28">
        <v>81572.0</v>
      </c>
      <c r="I60" s="28">
        <v>734148.0</v>
      </c>
      <c r="J60" s="44" t="s">
        <v>179</v>
      </c>
      <c r="K60" s="44" t="s">
        <v>330</v>
      </c>
      <c r="L60" s="44" t="s">
        <v>183</v>
      </c>
      <c r="M60" s="44" t="s">
        <v>184</v>
      </c>
      <c r="N60" s="44" t="s">
        <v>186</v>
      </c>
      <c r="O60" s="34" t="s">
        <v>187</v>
      </c>
      <c r="P60" s="44">
        <v>1008.0</v>
      </c>
      <c r="Q60" s="63">
        <v>45696.0</v>
      </c>
      <c r="R60" s="44" t="s">
        <v>31</v>
      </c>
    </row>
    <row r="61" hidden="1">
      <c r="A61" s="77" t="s">
        <v>43</v>
      </c>
      <c r="B61" s="59">
        <v>21.0</v>
      </c>
      <c r="C61" s="59" t="s">
        <v>166</v>
      </c>
      <c r="D61" s="59" t="s">
        <v>327</v>
      </c>
      <c r="E61" s="59">
        <v>2.0</v>
      </c>
      <c r="F61" s="52">
        <f>'247_2023'!E60</f>
        <v>2</v>
      </c>
      <c r="G61" s="67">
        <f>'247_2023'!F60</f>
        <v>0</v>
      </c>
      <c r="H61" s="46">
        <v>81572.0</v>
      </c>
      <c r="I61" s="46">
        <v>163144.0</v>
      </c>
      <c r="J61" s="59" t="s">
        <v>111</v>
      </c>
      <c r="K61" s="59" t="s">
        <v>330</v>
      </c>
      <c r="L61" s="59" t="s">
        <v>183</v>
      </c>
      <c r="M61" s="59" t="s">
        <v>184</v>
      </c>
      <c r="N61" s="59" t="s">
        <v>186</v>
      </c>
      <c r="O61" s="69" t="s">
        <v>187</v>
      </c>
      <c r="P61" s="59">
        <v>1008.0</v>
      </c>
      <c r="Q61" s="70">
        <v>45696.0</v>
      </c>
      <c r="R61" s="59" t="s">
        <v>31</v>
      </c>
    </row>
    <row r="62" hidden="1">
      <c r="A62" s="79" t="s">
        <v>43</v>
      </c>
      <c r="B62" s="44">
        <v>21.0</v>
      </c>
      <c r="C62" s="44" t="s">
        <v>166</v>
      </c>
      <c r="D62" s="44" t="s">
        <v>327</v>
      </c>
      <c r="E62" s="44">
        <v>1.0</v>
      </c>
      <c r="F62" s="44">
        <f>'247_2023'!E61</f>
        <v>1</v>
      </c>
      <c r="G62" s="56">
        <f>'247_2023'!F61</f>
        <v>0</v>
      </c>
      <c r="H62" s="28">
        <v>81572.0</v>
      </c>
      <c r="I62" s="28">
        <v>81572.0</v>
      </c>
      <c r="J62" s="44" t="s">
        <v>175</v>
      </c>
      <c r="K62" s="44" t="s">
        <v>330</v>
      </c>
      <c r="L62" s="44" t="s">
        <v>183</v>
      </c>
      <c r="M62" s="44" t="s">
        <v>184</v>
      </c>
      <c r="N62" s="44" t="s">
        <v>186</v>
      </c>
      <c r="O62" s="34" t="s">
        <v>187</v>
      </c>
      <c r="P62" s="44">
        <v>1008.0</v>
      </c>
      <c r="Q62" s="63">
        <v>45696.0</v>
      </c>
      <c r="R62" s="44" t="s">
        <v>31</v>
      </c>
    </row>
    <row r="63" hidden="1">
      <c r="A63" s="77" t="s">
        <v>43</v>
      </c>
      <c r="B63" s="59">
        <v>21.0</v>
      </c>
      <c r="C63" s="59" t="s">
        <v>166</v>
      </c>
      <c r="D63" s="59" t="s">
        <v>327</v>
      </c>
      <c r="E63" s="59">
        <v>1.0</v>
      </c>
      <c r="F63" s="59">
        <f>'247_2023'!E62</f>
        <v>1</v>
      </c>
      <c r="G63" s="67">
        <f>'247_2023'!F62</f>
        <v>0</v>
      </c>
      <c r="H63" s="46">
        <v>81572.0</v>
      </c>
      <c r="I63" s="46">
        <v>81572.0</v>
      </c>
      <c r="J63" s="59" t="s">
        <v>160</v>
      </c>
      <c r="K63" s="59" t="s">
        <v>330</v>
      </c>
      <c r="L63" s="59" t="s">
        <v>183</v>
      </c>
      <c r="M63" s="59" t="s">
        <v>184</v>
      </c>
      <c r="N63" s="59" t="s">
        <v>186</v>
      </c>
      <c r="O63" s="69" t="s">
        <v>187</v>
      </c>
      <c r="P63" s="59">
        <v>1008.0</v>
      </c>
      <c r="Q63" s="70">
        <v>45696.0</v>
      </c>
      <c r="R63" s="59" t="s">
        <v>31</v>
      </c>
    </row>
    <row r="64" hidden="1">
      <c r="A64" s="79" t="s">
        <v>43</v>
      </c>
      <c r="B64" s="44">
        <v>21.0</v>
      </c>
      <c r="C64" s="44" t="s">
        <v>166</v>
      </c>
      <c r="D64" s="44" t="s">
        <v>327</v>
      </c>
      <c r="E64" s="44">
        <v>1.0</v>
      </c>
      <c r="F64" s="44">
        <f>'247_2023'!E63</f>
        <v>1</v>
      </c>
      <c r="G64" s="56">
        <f>'247_2023'!F63</f>
        <v>0</v>
      </c>
      <c r="H64" s="28">
        <v>81572.0</v>
      </c>
      <c r="I64" s="28">
        <v>81572.0</v>
      </c>
      <c r="J64" s="44" t="s">
        <v>189</v>
      </c>
      <c r="K64" s="44" t="s">
        <v>330</v>
      </c>
      <c r="L64" s="44" t="s">
        <v>183</v>
      </c>
      <c r="M64" s="44" t="s">
        <v>184</v>
      </c>
      <c r="N64" s="44" t="s">
        <v>186</v>
      </c>
      <c r="O64" s="34" t="s">
        <v>187</v>
      </c>
      <c r="P64" s="44">
        <v>1008.0</v>
      </c>
      <c r="Q64" s="63">
        <v>45696.0</v>
      </c>
      <c r="R64" s="44" t="s">
        <v>31</v>
      </c>
    </row>
    <row r="65" hidden="1">
      <c r="A65" s="77" t="s">
        <v>43</v>
      </c>
      <c r="B65" s="59">
        <v>21.0</v>
      </c>
      <c r="C65" s="59" t="s">
        <v>166</v>
      </c>
      <c r="D65" s="59" t="s">
        <v>327</v>
      </c>
      <c r="E65" s="59">
        <v>1.0</v>
      </c>
      <c r="F65" s="59">
        <f>'247_2023'!E64</f>
        <v>1</v>
      </c>
      <c r="G65" s="67">
        <f>'247_2023'!F64</f>
        <v>0</v>
      </c>
      <c r="H65" s="46">
        <v>81572.0</v>
      </c>
      <c r="I65" s="46">
        <v>81572.0</v>
      </c>
      <c r="J65" s="59" t="s">
        <v>199</v>
      </c>
      <c r="K65" s="59" t="s">
        <v>330</v>
      </c>
      <c r="L65" s="59" t="s">
        <v>183</v>
      </c>
      <c r="M65" s="59" t="s">
        <v>184</v>
      </c>
      <c r="N65" s="59" t="s">
        <v>186</v>
      </c>
      <c r="O65" s="69" t="s">
        <v>187</v>
      </c>
      <c r="P65" s="59">
        <v>1008.0</v>
      </c>
      <c r="Q65" s="70">
        <v>45696.0</v>
      </c>
      <c r="R65" s="59" t="s">
        <v>31</v>
      </c>
    </row>
    <row r="66" hidden="1">
      <c r="A66" s="79" t="s">
        <v>43</v>
      </c>
      <c r="B66" s="44">
        <v>22.0</v>
      </c>
      <c r="C66" s="44" t="s">
        <v>169</v>
      </c>
      <c r="D66" s="44" t="s">
        <v>347</v>
      </c>
      <c r="E66" s="44">
        <v>5.0</v>
      </c>
      <c r="F66" s="35" t="str">
        <f>'247_2023'!E65</f>
        <v>X</v>
      </c>
      <c r="G66" s="56" t="str">
        <f>'247_2023'!F65</f>
        <v>X</v>
      </c>
      <c r="H66" s="28" t="s">
        <v>31</v>
      </c>
      <c r="I66" s="28" t="s">
        <v>253</v>
      </c>
      <c r="J66" s="108" t="s">
        <v>264</v>
      </c>
      <c r="K66" s="44" t="s">
        <v>48</v>
      </c>
      <c r="L66" s="44" t="s">
        <v>48</v>
      </c>
      <c r="M66" s="44" t="s">
        <v>48</v>
      </c>
      <c r="N66" s="44" t="s">
        <v>31</v>
      </c>
      <c r="O66" s="44" t="s">
        <v>31</v>
      </c>
      <c r="P66" s="44" t="s">
        <v>48</v>
      </c>
      <c r="Q66" s="63" t="s">
        <v>48</v>
      </c>
      <c r="R66" s="44" t="s">
        <v>48</v>
      </c>
    </row>
    <row r="67" hidden="1">
      <c r="A67" s="77" t="s">
        <v>43</v>
      </c>
      <c r="B67" s="59">
        <v>22.0</v>
      </c>
      <c r="C67" s="59" t="s">
        <v>169</v>
      </c>
      <c r="D67" s="59" t="s">
        <v>347</v>
      </c>
      <c r="E67" s="59">
        <v>1.0</v>
      </c>
      <c r="F67" s="52" t="str">
        <f>'247_2023'!E66</f>
        <v>X</v>
      </c>
      <c r="G67" s="67" t="str">
        <f>'247_2023'!F66</f>
        <v>X</v>
      </c>
      <c r="H67" s="46" t="s">
        <v>31</v>
      </c>
      <c r="I67" s="46" t="s">
        <v>253</v>
      </c>
      <c r="J67" s="59" t="s">
        <v>85</v>
      </c>
      <c r="K67" s="59" t="s">
        <v>48</v>
      </c>
      <c r="L67" s="59" t="s">
        <v>48</v>
      </c>
      <c r="M67" s="59" t="s">
        <v>48</v>
      </c>
      <c r="N67" s="59" t="s">
        <v>31</v>
      </c>
      <c r="O67" s="59" t="s">
        <v>31</v>
      </c>
      <c r="P67" s="59" t="s">
        <v>48</v>
      </c>
      <c r="Q67" s="70" t="s">
        <v>48</v>
      </c>
      <c r="R67" s="59" t="s">
        <v>48</v>
      </c>
    </row>
    <row r="68" hidden="1">
      <c r="A68" s="79" t="s">
        <v>43</v>
      </c>
      <c r="B68" s="44">
        <v>22.0</v>
      </c>
      <c r="C68" s="44" t="s">
        <v>169</v>
      </c>
      <c r="D68" s="44" t="s">
        <v>347</v>
      </c>
      <c r="E68" s="44">
        <v>1.0</v>
      </c>
      <c r="F68" s="35" t="str">
        <f>'247_2023'!E67</f>
        <v>X</v>
      </c>
      <c r="G68" s="56" t="str">
        <f>'247_2023'!F67</f>
        <v>X</v>
      </c>
      <c r="H68" s="28" t="s">
        <v>31</v>
      </c>
      <c r="I68" s="28" t="s">
        <v>253</v>
      </c>
      <c r="J68" s="44" t="s">
        <v>113</v>
      </c>
      <c r="K68" s="44" t="s">
        <v>48</v>
      </c>
      <c r="L68" s="44" t="s">
        <v>48</v>
      </c>
      <c r="M68" s="44" t="s">
        <v>48</v>
      </c>
      <c r="N68" s="44" t="s">
        <v>31</v>
      </c>
      <c r="O68" s="44" t="s">
        <v>31</v>
      </c>
      <c r="P68" s="44" t="s">
        <v>48</v>
      </c>
      <c r="Q68" s="63" t="s">
        <v>48</v>
      </c>
      <c r="R68" s="44" t="s">
        <v>48</v>
      </c>
    </row>
    <row r="69" hidden="1">
      <c r="A69" s="77" t="s">
        <v>43</v>
      </c>
      <c r="B69" s="59">
        <v>22.0</v>
      </c>
      <c r="C69" s="59" t="s">
        <v>169</v>
      </c>
      <c r="D69" s="59" t="s">
        <v>347</v>
      </c>
      <c r="E69" s="59">
        <v>1.0</v>
      </c>
      <c r="F69" s="52" t="str">
        <f>'247_2023'!E68</f>
        <v>X</v>
      </c>
      <c r="G69" s="67" t="str">
        <f>'247_2023'!F68</f>
        <v>X</v>
      </c>
      <c r="H69" s="46" t="s">
        <v>31</v>
      </c>
      <c r="I69" s="46" t="s">
        <v>253</v>
      </c>
      <c r="J69" s="59" t="s">
        <v>161</v>
      </c>
      <c r="K69" s="59" t="s">
        <v>48</v>
      </c>
      <c r="L69" s="59" t="s">
        <v>48</v>
      </c>
      <c r="M69" s="59" t="s">
        <v>48</v>
      </c>
      <c r="N69" s="59" t="s">
        <v>31</v>
      </c>
      <c r="O69" s="59" t="s">
        <v>31</v>
      </c>
      <c r="P69" s="59" t="s">
        <v>48</v>
      </c>
      <c r="Q69" s="70" t="s">
        <v>48</v>
      </c>
      <c r="R69" s="59" t="s">
        <v>48</v>
      </c>
    </row>
    <row r="70" hidden="1">
      <c r="A70" s="79" t="s">
        <v>43</v>
      </c>
      <c r="B70" s="44">
        <v>22.0</v>
      </c>
      <c r="C70" s="44" t="s">
        <v>169</v>
      </c>
      <c r="D70" s="44" t="s">
        <v>347</v>
      </c>
      <c r="E70" s="44">
        <v>5.0</v>
      </c>
      <c r="F70" s="35" t="str">
        <f>'247_2023'!E69</f>
        <v>X</v>
      </c>
      <c r="G70" s="56" t="str">
        <f>'247_2023'!F69</f>
        <v>X</v>
      </c>
      <c r="H70" s="28" t="s">
        <v>31</v>
      </c>
      <c r="I70" s="28" t="s">
        <v>253</v>
      </c>
      <c r="J70" s="44" t="s">
        <v>89</v>
      </c>
      <c r="K70" s="44" t="s">
        <v>48</v>
      </c>
      <c r="L70" s="44" t="s">
        <v>48</v>
      </c>
      <c r="M70" s="44" t="s">
        <v>48</v>
      </c>
      <c r="N70" s="44" t="s">
        <v>31</v>
      </c>
      <c r="O70" s="44" t="s">
        <v>31</v>
      </c>
      <c r="P70" s="44" t="s">
        <v>48</v>
      </c>
      <c r="Q70" s="63" t="s">
        <v>48</v>
      </c>
      <c r="R70" s="44" t="s">
        <v>48</v>
      </c>
    </row>
    <row r="71" hidden="1">
      <c r="A71" s="77" t="s">
        <v>43</v>
      </c>
      <c r="B71" s="59">
        <v>22.0</v>
      </c>
      <c r="C71" s="59" t="s">
        <v>169</v>
      </c>
      <c r="D71" s="59" t="s">
        <v>347</v>
      </c>
      <c r="E71" s="59">
        <v>2.0</v>
      </c>
      <c r="F71" s="52" t="str">
        <f>'247_2023'!E70</f>
        <v>X</v>
      </c>
      <c r="G71" s="67" t="str">
        <f>'247_2023'!F70</f>
        <v>X</v>
      </c>
      <c r="H71" s="46" t="s">
        <v>31</v>
      </c>
      <c r="I71" s="46" t="s">
        <v>253</v>
      </c>
      <c r="J71" s="59" t="s">
        <v>179</v>
      </c>
      <c r="K71" s="59" t="s">
        <v>48</v>
      </c>
      <c r="L71" s="59" t="s">
        <v>48</v>
      </c>
      <c r="M71" s="59" t="s">
        <v>48</v>
      </c>
      <c r="N71" s="59" t="s">
        <v>31</v>
      </c>
      <c r="O71" s="59" t="s">
        <v>31</v>
      </c>
      <c r="P71" s="59" t="s">
        <v>48</v>
      </c>
      <c r="Q71" s="70" t="s">
        <v>48</v>
      </c>
      <c r="R71" s="59" t="s">
        <v>48</v>
      </c>
    </row>
    <row r="72" hidden="1">
      <c r="A72" s="79" t="s">
        <v>43</v>
      </c>
      <c r="B72" s="44">
        <v>22.0</v>
      </c>
      <c r="C72" s="44" t="s">
        <v>169</v>
      </c>
      <c r="D72" s="44" t="s">
        <v>347</v>
      </c>
      <c r="E72" s="44">
        <v>3.0</v>
      </c>
      <c r="F72" s="35" t="str">
        <f>'247_2023'!E71</f>
        <v>X</v>
      </c>
      <c r="G72" s="56" t="str">
        <f>'247_2023'!F71</f>
        <v>X</v>
      </c>
      <c r="H72" s="28" t="s">
        <v>31</v>
      </c>
      <c r="I72" s="28" t="s">
        <v>253</v>
      </c>
      <c r="J72" s="44" t="s">
        <v>167</v>
      </c>
      <c r="K72" s="44" t="s">
        <v>48</v>
      </c>
      <c r="L72" s="44" t="s">
        <v>48</v>
      </c>
      <c r="M72" s="44" t="s">
        <v>48</v>
      </c>
      <c r="N72" s="44" t="s">
        <v>31</v>
      </c>
      <c r="O72" s="44" t="s">
        <v>31</v>
      </c>
      <c r="P72" s="44" t="s">
        <v>48</v>
      </c>
      <c r="Q72" s="63" t="s">
        <v>48</v>
      </c>
      <c r="R72" s="44" t="s">
        <v>48</v>
      </c>
    </row>
    <row r="73" hidden="1">
      <c r="A73" s="77" t="s">
        <v>43</v>
      </c>
      <c r="B73" s="59">
        <v>22.0</v>
      </c>
      <c r="C73" s="59" t="s">
        <v>169</v>
      </c>
      <c r="D73" s="59" t="s">
        <v>347</v>
      </c>
      <c r="E73" s="59">
        <v>3.0</v>
      </c>
      <c r="F73" s="52" t="str">
        <f>'247_2023'!E72</f>
        <v>X</v>
      </c>
      <c r="G73" s="67" t="str">
        <f>'247_2023'!F72</f>
        <v>X</v>
      </c>
      <c r="H73" s="46" t="s">
        <v>31</v>
      </c>
      <c r="I73" s="46" t="s">
        <v>253</v>
      </c>
      <c r="J73" s="59" t="s">
        <v>202</v>
      </c>
      <c r="K73" s="59" t="s">
        <v>48</v>
      </c>
      <c r="L73" s="59" t="s">
        <v>48</v>
      </c>
      <c r="M73" s="59" t="s">
        <v>48</v>
      </c>
      <c r="N73" s="59" t="s">
        <v>31</v>
      </c>
      <c r="O73" s="59" t="s">
        <v>31</v>
      </c>
      <c r="P73" s="59" t="s">
        <v>48</v>
      </c>
      <c r="Q73" s="70" t="s">
        <v>48</v>
      </c>
      <c r="R73" s="59" t="s">
        <v>48</v>
      </c>
    </row>
    <row r="74" hidden="1">
      <c r="A74" s="79" t="s">
        <v>43</v>
      </c>
      <c r="B74" s="44">
        <v>22.0</v>
      </c>
      <c r="C74" s="44" t="s">
        <v>169</v>
      </c>
      <c r="D74" s="44" t="s">
        <v>347</v>
      </c>
      <c r="E74" s="44">
        <v>1.0</v>
      </c>
      <c r="F74" s="35" t="str">
        <f>'247_2023'!E73</f>
        <v>X</v>
      </c>
      <c r="G74" s="56" t="str">
        <f>'247_2023'!F73</f>
        <v>X</v>
      </c>
      <c r="H74" s="28" t="s">
        <v>31</v>
      </c>
      <c r="I74" s="28" t="s">
        <v>253</v>
      </c>
      <c r="J74" s="44" t="s">
        <v>228</v>
      </c>
      <c r="K74" s="44" t="s">
        <v>48</v>
      </c>
      <c r="L74" s="44" t="s">
        <v>48</v>
      </c>
      <c r="M74" s="44" t="s">
        <v>48</v>
      </c>
      <c r="N74" s="44" t="s">
        <v>31</v>
      </c>
      <c r="O74" s="44" t="s">
        <v>31</v>
      </c>
      <c r="P74" s="44" t="s">
        <v>48</v>
      </c>
      <c r="Q74" s="63" t="s">
        <v>48</v>
      </c>
      <c r="R74" s="44" t="s">
        <v>48</v>
      </c>
    </row>
    <row r="75" hidden="1">
      <c r="A75" s="77" t="s">
        <v>43</v>
      </c>
      <c r="B75" s="59">
        <v>22.0</v>
      </c>
      <c r="C75" s="59" t="s">
        <v>169</v>
      </c>
      <c r="D75" s="59" t="s">
        <v>347</v>
      </c>
      <c r="E75" s="59">
        <v>1.0</v>
      </c>
      <c r="F75" s="52" t="str">
        <f>'247_2023'!E74</f>
        <v>X</v>
      </c>
      <c r="G75" s="67" t="str">
        <f>'247_2023'!F74</f>
        <v>X</v>
      </c>
      <c r="H75" s="46" t="s">
        <v>31</v>
      </c>
      <c r="I75" s="46" t="s">
        <v>253</v>
      </c>
      <c r="J75" s="59" t="s">
        <v>188</v>
      </c>
      <c r="K75" s="59" t="s">
        <v>48</v>
      </c>
      <c r="L75" s="59" t="s">
        <v>48</v>
      </c>
      <c r="M75" s="59" t="s">
        <v>48</v>
      </c>
      <c r="N75" s="59" t="s">
        <v>31</v>
      </c>
      <c r="O75" s="59" t="s">
        <v>31</v>
      </c>
      <c r="P75" s="59" t="s">
        <v>48</v>
      </c>
      <c r="Q75" s="70" t="s">
        <v>48</v>
      </c>
      <c r="R75" s="59" t="s">
        <v>48</v>
      </c>
    </row>
    <row r="76" hidden="1">
      <c r="A76" s="79" t="s">
        <v>43</v>
      </c>
      <c r="B76" s="44">
        <v>22.0</v>
      </c>
      <c r="C76" s="44" t="s">
        <v>169</v>
      </c>
      <c r="D76" s="44" t="s">
        <v>347</v>
      </c>
      <c r="E76" s="44">
        <v>1.0</v>
      </c>
      <c r="F76" s="35" t="str">
        <f>'247_2023'!E75</f>
        <v>X</v>
      </c>
      <c r="G76" s="56" t="str">
        <f>'247_2023'!F75</f>
        <v>X</v>
      </c>
      <c r="H76" s="28" t="s">
        <v>31</v>
      </c>
      <c r="I76" s="28" t="s">
        <v>253</v>
      </c>
      <c r="J76" s="44" t="s">
        <v>197</v>
      </c>
      <c r="K76" s="44" t="s">
        <v>48</v>
      </c>
      <c r="L76" s="44" t="s">
        <v>48</v>
      </c>
      <c r="M76" s="44" t="s">
        <v>48</v>
      </c>
      <c r="N76" s="44" t="s">
        <v>31</v>
      </c>
      <c r="O76" s="44" t="s">
        <v>31</v>
      </c>
      <c r="P76" s="44" t="s">
        <v>48</v>
      </c>
      <c r="Q76" s="63" t="s">
        <v>48</v>
      </c>
      <c r="R76" s="44" t="s">
        <v>48</v>
      </c>
    </row>
    <row r="77" hidden="1">
      <c r="A77" s="77" t="s">
        <v>43</v>
      </c>
      <c r="B77" s="59">
        <v>22.0</v>
      </c>
      <c r="C77" s="59" t="s">
        <v>169</v>
      </c>
      <c r="D77" s="59" t="s">
        <v>347</v>
      </c>
      <c r="E77" s="59">
        <v>1.0</v>
      </c>
      <c r="F77" s="52" t="str">
        <f>'247_2023'!E76</f>
        <v>X</v>
      </c>
      <c r="G77" s="67" t="str">
        <f>'247_2023'!F76</f>
        <v>X</v>
      </c>
      <c r="H77" s="46" t="s">
        <v>31</v>
      </c>
      <c r="I77" s="46" t="s">
        <v>253</v>
      </c>
      <c r="J77" s="59" t="s">
        <v>160</v>
      </c>
      <c r="K77" s="59" t="s">
        <v>48</v>
      </c>
      <c r="L77" s="59" t="s">
        <v>48</v>
      </c>
      <c r="M77" s="59" t="s">
        <v>48</v>
      </c>
      <c r="N77" s="59" t="s">
        <v>31</v>
      </c>
      <c r="O77" s="59" t="s">
        <v>31</v>
      </c>
      <c r="P77" s="59" t="s">
        <v>48</v>
      </c>
      <c r="Q77" s="70" t="s">
        <v>48</v>
      </c>
      <c r="R77" s="59" t="s">
        <v>48</v>
      </c>
    </row>
    <row r="78" hidden="1">
      <c r="A78" s="79" t="s">
        <v>43</v>
      </c>
      <c r="B78" s="44">
        <v>22.0</v>
      </c>
      <c r="C78" s="44" t="s">
        <v>169</v>
      </c>
      <c r="D78" s="44" t="s">
        <v>347</v>
      </c>
      <c r="E78" s="44">
        <v>1.0</v>
      </c>
      <c r="F78" s="35" t="str">
        <f>'247_2023'!E77</f>
        <v>X</v>
      </c>
      <c r="G78" s="56" t="str">
        <f>'247_2023'!F77</f>
        <v>X</v>
      </c>
      <c r="H78" s="28" t="s">
        <v>31</v>
      </c>
      <c r="I78" s="28" t="s">
        <v>253</v>
      </c>
      <c r="J78" s="44" t="s">
        <v>189</v>
      </c>
      <c r="K78" s="44" t="s">
        <v>48</v>
      </c>
      <c r="L78" s="44" t="s">
        <v>48</v>
      </c>
      <c r="M78" s="44" t="s">
        <v>48</v>
      </c>
      <c r="N78" s="44" t="s">
        <v>31</v>
      </c>
      <c r="O78" s="44" t="s">
        <v>31</v>
      </c>
      <c r="P78" s="44" t="s">
        <v>48</v>
      </c>
      <c r="Q78" s="63" t="s">
        <v>48</v>
      </c>
      <c r="R78" s="44" t="s">
        <v>48</v>
      </c>
    </row>
    <row r="79" hidden="1">
      <c r="A79" s="77" t="s">
        <v>43</v>
      </c>
      <c r="B79" s="59">
        <v>22.0</v>
      </c>
      <c r="C79" s="59" t="s">
        <v>169</v>
      </c>
      <c r="D79" s="59" t="s">
        <v>347</v>
      </c>
      <c r="E79" s="59">
        <v>1.0</v>
      </c>
      <c r="F79" s="52" t="str">
        <f>'247_2023'!E78</f>
        <v>X</v>
      </c>
      <c r="G79" s="67" t="str">
        <f>'247_2023'!F78</f>
        <v>X</v>
      </c>
      <c r="H79" s="46" t="s">
        <v>31</v>
      </c>
      <c r="I79" s="46" t="s">
        <v>253</v>
      </c>
      <c r="J79" s="59" t="s">
        <v>304</v>
      </c>
      <c r="K79" s="59" t="s">
        <v>48</v>
      </c>
      <c r="L79" s="59" t="s">
        <v>48</v>
      </c>
      <c r="M79" s="59" t="s">
        <v>48</v>
      </c>
      <c r="N79" s="59" t="s">
        <v>31</v>
      </c>
      <c r="O79" s="59" t="s">
        <v>31</v>
      </c>
      <c r="P79" s="59" t="s">
        <v>48</v>
      </c>
      <c r="Q79" s="70" t="s">
        <v>48</v>
      </c>
      <c r="R79" s="59" t="s">
        <v>48</v>
      </c>
    </row>
    <row r="80" hidden="1">
      <c r="A80" s="79" t="s">
        <v>43</v>
      </c>
      <c r="B80" s="44">
        <v>22.0</v>
      </c>
      <c r="C80" s="44" t="s">
        <v>169</v>
      </c>
      <c r="D80" s="44" t="s">
        <v>347</v>
      </c>
      <c r="E80" s="44">
        <v>1.0</v>
      </c>
      <c r="F80" s="35" t="str">
        <f>'247_2023'!E79</f>
        <v>X</v>
      </c>
      <c r="G80" s="56" t="str">
        <f>'247_2023'!F79</f>
        <v>X</v>
      </c>
      <c r="H80" s="28" t="s">
        <v>31</v>
      </c>
      <c r="I80" s="28" t="s">
        <v>253</v>
      </c>
      <c r="J80" s="44" t="s">
        <v>194</v>
      </c>
      <c r="K80" s="44" t="s">
        <v>48</v>
      </c>
      <c r="L80" s="44" t="s">
        <v>48</v>
      </c>
      <c r="M80" s="44" t="s">
        <v>48</v>
      </c>
      <c r="N80" s="44" t="s">
        <v>31</v>
      </c>
      <c r="O80" s="44" t="s">
        <v>31</v>
      </c>
      <c r="P80" s="44" t="s">
        <v>48</v>
      </c>
      <c r="Q80" s="63" t="s">
        <v>48</v>
      </c>
      <c r="R80" s="44" t="s">
        <v>48</v>
      </c>
    </row>
    <row r="81" hidden="1">
      <c r="A81" s="77" t="s">
        <v>43</v>
      </c>
      <c r="B81" s="59">
        <v>23.0</v>
      </c>
      <c r="C81" s="59" t="s">
        <v>172</v>
      </c>
      <c r="D81" s="59" t="s">
        <v>368</v>
      </c>
      <c r="E81" s="59">
        <v>3.0</v>
      </c>
      <c r="F81" s="52">
        <f>'247_2023'!E80</f>
        <v>3</v>
      </c>
      <c r="G81" s="67">
        <f>'247_2023'!F80</f>
        <v>0</v>
      </c>
      <c r="H81" s="46">
        <v>615000.0</v>
      </c>
      <c r="I81" s="46">
        <v>1845000.0</v>
      </c>
      <c r="J81" s="59" t="s">
        <v>126</v>
      </c>
      <c r="K81" s="59" t="s">
        <v>369</v>
      </c>
      <c r="L81" s="59" t="s">
        <v>370</v>
      </c>
      <c r="M81" s="59" t="s">
        <v>371</v>
      </c>
      <c r="N81" s="59" t="s">
        <v>372</v>
      </c>
      <c r="O81" s="69" t="s">
        <v>373</v>
      </c>
      <c r="P81" s="59">
        <v>1320.0</v>
      </c>
      <c r="Q81" s="70">
        <v>45653.0</v>
      </c>
      <c r="R81" s="59" t="s">
        <v>31</v>
      </c>
    </row>
    <row r="82" hidden="1">
      <c r="A82" s="79" t="s">
        <v>43</v>
      </c>
      <c r="B82" s="44">
        <v>23.0</v>
      </c>
      <c r="C82" s="44" t="s">
        <v>172</v>
      </c>
      <c r="D82" s="44" t="s">
        <v>368</v>
      </c>
      <c r="E82" s="44">
        <v>1.0</v>
      </c>
      <c r="F82" s="35">
        <f>'247_2023'!E81</f>
        <v>1</v>
      </c>
      <c r="G82" s="56">
        <f>'247_2023'!F81</f>
        <v>0</v>
      </c>
      <c r="H82" s="28">
        <v>615000.0</v>
      </c>
      <c r="I82" s="28">
        <v>615000.0</v>
      </c>
      <c r="J82" s="44" t="s">
        <v>89</v>
      </c>
      <c r="K82" s="44" t="s">
        <v>369</v>
      </c>
      <c r="L82" s="44" t="s">
        <v>370</v>
      </c>
      <c r="M82" s="44" t="s">
        <v>371</v>
      </c>
      <c r="N82" s="44" t="s">
        <v>375</v>
      </c>
      <c r="O82" s="34" t="s">
        <v>373</v>
      </c>
      <c r="P82" s="44">
        <v>1320.0</v>
      </c>
      <c r="Q82" s="63">
        <v>45653.0</v>
      </c>
      <c r="R82" s="44" t="s">
        <v>31</v>
      </c>
    </row>
    <row r="83" hidden="1">
      <c r="A83" s="77" t="s">
        <v>43</v>
      </c>
      <c r="B83" s="59">
        <v>23.0</v>
      </c>
      <c r="C83" s="59" t="s">
        <v>172</v>
      </c>
      <c r="D83" s="59" t="s">
        <v>368</v>
      </c>
      <c r="E83" s="59">
        <v>3.0</v>
      </c>
      <c r="F83" s="52">
        <f>'247_2023'!E82</f>
        <v>3</v>
      </c>
      <c r="G83" s="67">
        <f>'247_2023'!F82</f>
        <v>0</v>
      </c>
      <c r="H83" s="46">
        <v>615000.0</v>
      </c>
      <c r="I83" s="46">
        <v>1845000.0</v>
      </c>
      <c r="J83" s="59" t="s">
        <v>179</v>
      </c>
      <c r="K83" s="59" t="s">
        <v>369</v>
      </c>
      <c r="L83" s="59" t="s">
        <v>370</v>
      </c>
      <c r="M83" s="59" t="s">
        <v>371</v>
      </c>
      <c r="N83" s="59" t="s">
        <v>382</v>
      </c>
      <c r="O83" s="69" t="s">
        <v>373</v>
      </c>
      <c r="P83" s="59">
        <v>1320.0</v>
      </c>
      <c r="Q83" s="70">
        <v>45653.0</v>
      </c>
      <c r="R83" s="59" t="s">
        <v>31</v>
      </c>
    </row>
    <row r="84" hidden="1">
      <c r="A84" s="79" t="s">
        <v>43</v>
      </c>
      <c r="B84" s="44">
        <v>23.0</v>
      </c>
      <c r="C84" s="44" t="s">
        <v>172</v>
      </c>
      <c r="D84" s="44" t="s">
        <v>368</v>
      </c>
      <c r="E84" s="44">
        <v>1.0</v>
      </c>
      <c r="F84" s="35">
        <f>'247_2023'!E83</f>
        <v>1</v>
      </c>
      <c r="G84" s="56">
        <f>'247_2023'!F83</f>
        <v>0</v>
      </c>
      <c r="H84" s="28">
        <v>615000.0</v>
      </c>
      <c r="I84" s="28">
        <v>615000.0</v>
      </c>
      <c r="J84" s="44" t="s">
        <v>167</v>
      </c>
      <c r="K84" s="44" t="s">
        <v>369</v>
      </c>
      <c r="L84" s="44" t="s">
        <v>370</v>
      </c>
      <c r="M84" s="44" t="s">
        <v>371</v>
      </c>
      <c r="N84" s="44" t="s">
        <v>388</v>
      </c>
      <c r="O84" s="34" t="s">
        <v>373</v>
      </c>
      <c r="P84" s="44">
        <v>1320.0</v>
      </c>
      <c r="Q84" s="63">
        <v>45653.0</v>
      </c>
      <c r="R84" s="44" t="s">
        <v>31</v>
      </c>
    </row>
    <row r="85" hidden="1">
      <c r="A85" s="77" t="s">
        <v>43</v>
      </c>
      <c r="B85" s="59">
        <v>23.0</v>
      </c>
      <c r="C85" s="59" t="s">
        <v>172</v>
      </c>
      <c r="D85" s="59" t="s">
        <v>368</v>
      </c>
      <c r="E85" s="59">
        <v>1.0</v>
      </c>
      <c r="F85" s="52">
        <f>'247_2023'!E84</f>
        <v>1</v>
      </c>
      <c r="G85" s="67">
        <f>'247_2023'!F84</f>
        <v>0</v>
      </c>
      <c r="H85" s="46">
        <v>615000.0</v>
      </c>
      <c r="I85" s="46">
        <v>615000.0</v>
      </c>
      <c r="J85" s="59" t="s">
        <v>160</v>
      </c>
      <c r="K85" s="59" t="s">
        <v>369</v>
      </c>
      <c r="L85" s="59" t="s">
        <v>370</v>
      </c>
      <c r="M85" s="59" t="s">
        <v>371</v>
      </c>
      <c r="N85" s="59" t="s">
        <v>391</v>
      </c>
      <c r="O85" s="69" t="s">
        <v>373</v>
      </c>
      <c r="P85" s="59">
        <v>1320.0</v>
      </c>
      <c r="Q85" s="70">
        <v>45653.0</v>
      </c>
      <c r="R85" s="59" t="s">
        <v>31</v>
      </c>
    </row>
    <row r="86" hidden="1">
      <c r="A86" s="79" t="s">
        <v>43</v>
      </c>
      <c r="B86" s="44">
        <v>23.0</v>
      </c>
      <c r="C86" s="44" t="s">
        <v>172</v>
      </c>
      <c r="D86" s="44" t="s">
        <v>368</v>
      </c>
      <c r="E86" s="44">
        <v>1.0</v>
      </c>
      <c r="F86" s="35">
        <f>'247_2023'!E85</f>
        <v>1</v>
      </c>
      <c r="G86" s="56">
        <f>'247_2023'!F85</f>
        <v>0</v>
      </c>
      <c r="H86" s="28">
        <v>615000.0</v>
      </c>
      <c r="I86" s="28">
        <v>615000.0</v>
      </c>
      <c r="J86" s="44" t="s">
        <v>201</v>
      </c>
      <c r="K86" s="44" t="s">
        <v>369</v>
      </c>
      <c r="L86" s="44" t="s">
        <v>370</v>
      </c>
      <c r="M86" s="44" t="s">
        <v>371</v>
      </c>
      <c r="N86" s="44" t="s">
        <v>393</v>
      </c>
      <c r="O86" s="34" t="s">
        <v>373</v>
      </c>
      <c r="P86" s="44">
        <v>1320.0</v>
      </c>
      <c r="Q86" s="63">
        <v>45653.0</v>
      </c>
      <c r="R86" s="44" t="s">
        <v>31</v>
      </c>
    </row>
    <row r="87" hidden="1">
      <c r="A87" s="77" t="s">
        <v>43</v>
      </c>
      <c r="B87" s="59">
        <v>23.0</v>
      </c>
      <c r="C87" s="59" t="s">
        <v>172</v>
      </c>
      <c r="D87" s="59" t="s">
        <v>368</v>
      </c>
      <c r="E87" s="59">
        <v>1.0</v>
      </c>
      <c r="F87" s="52">
        <f>'247_2023'!E86</f>
        <v>1</v>
      </c>
      <c r="G87" s="67">
        <f>'247_2023'!F86</f>
        <v>0</v>
      </c>
      <c r="H87" s="46">
        <v>615000.0</v>
      </c>
      <c r="I87" s="46">
        <v>615000.0</v>
      </c>
      <c r="J87" s="59" t="s">
        <v>192</v>
      </c>
      <c r="K87" s="59" t="s">
        <v>369</v>
      </c>
      <c r="L87" s="59" t="s">
        <v>370</v>
      </c>
      <c r="M87" s="59" t="s">
        <v>371</v>
      </c>
      <c r="N87" s="59" t="s">
        <v>396</v>
      </c>
      <c r="O87" s="69" t="s">
        <v>373</v>
      </c>
      <c r="P87" s="59">
        <v>1320.0</v>
      </c>
      <c r="Q87" s="70">
        <v>45653.0</v>
      </c>
      <c r="R87" s="59" t="s">
        <v>31</v>
      </c>
    </row>
    <row r="88" hidden="1">
      <c r="A88" s="79" t="s">
        <v>43</v>
      </c>
      <c r="B88" s="44">
        <v>23.0</v>
      </c>
      <c r="C88" s="44" t="s">
        <v>172</v>
      </c>
      <c r="D88" s="44" t="s">
        <v>368</v>
      </c>
      <c r="E88" s="44">
        <v>1.0</v>
      </c>
      <c r="F88" s="35">
        <f>'247_2023'!E87</f>
        <v>1</v>
      </c>
      <c r="G88" s="56">
        <f>'247_2023'!F87</f>
        <v>0</v>
      </c>
      <c r="H88" s="28">
        <v>615000.0</v>
      </c>
      <c r="I88" s="28">
        <v>615000.0</v>
      </c>
      <c r="J88" s="44" t="s">
        <v>304</v>
      </c>
      <c r="K88" s="44" t="s">
        <v>369</v>
      </c>
      <c r="L88" s="44" t="s">
        <v>370</v>
      </c>
      <c r="M88" s="44" t="s">
        <v>371</v>
      </c>
      <c r="N88" s="44" t="s">
        <v>397</v>
      </c>
      <c r="O88" s="34" t="s">
        <v>373</v>
      </c>
      <c r="P88" s="44">
        <v>1320.0</v>
      </c>
      <c r="Q88" s="63">
        <v>45653.0</v>
      </c>
      <c r="R88" s="44" t="s">
        <v>31</v>
      </c>
    </row>
    <row r="89" hidden="1">
      <c r="A89" s="77" t="s">
        <v>43</v>
      </c>
      <c r="B89" s="59">
        <v>24.0</v>
      </c>
      <c r="C89" s="59" t="s">
        <v>177</v>
      </c>
      <c r="D89" s="59" t="s">
        <v>399</v>
      </c>
      <c r="E89" s="100">
        <v>2.0</v>
      </c>
      <c r="F89" s="101">
        <f>'247_2023'!E88</f>
        <v>2</v>
      </c>
      <c r="G89" s="102">
        <f>'247_2023'!F88</f>
        <v>0</v>
      </c>
      <c r="H89" s="46">
        <v>969000.0</v>
      </c>
      <c r="I89" s="46">
        <v>1938000.0</v>
      </c>
      <c r="J89" s="59" t="s">
        <v>126</v>
      </c>
      <c r="K89" s="59" t="s">
        <v>400</v>
      </c>
      <c r="L89" s="59" t="s">
        <v>235</v>
      </c>
      <c r="M89" s="59" t="s">
        <v>236</v>
      </c>
      <c r="N89" s="59" t="s">
        <v>237</v>
      </c>
      <c r="O89" s="69" t="s">
        <v>238</v>
      </c>
      <c r="P89" s="59">
        <v>1325.0</v>
      </c>
      <c r="Q89" s="70">
        <v>45696.0</v>
      </c>
      <c r="R89" s="59" t="s">
        <v>31</v>
      </c>
    </row>
    <row r="90" hidden="1">
      <c r="A90" s="79" t="s">
        <v>43</v>
      </c>
      <c r="B90" s="44">
        <v>24.0</v>
      </c>
      <c r="C90" s="44" t="s">
        <v>177</v>
      </c>
      <c r="D90" s="44" t="s">
        <v>399</v>
      </c>
      <c r="E90" s="103">
        <v>1.0</v>
      </c>
      <c r="F90" s="104">
        <f>'247_2023'!E89</f>
        <v>1</v>
      </c>
      <c r="G90" s="105">
        <f>'247_2023'!F89</f>
        <v>0</v>
      </c>
      <c r="H90" s="28">
        <v>969000.0</v>
      </c>
      <c r="I90" s="28">
        <v>969000.0</v>
      </c>
      <c r="J90" s="44" t="s">
        <v>286</v>
      </c>
      <c r="K90" s="44" t="s">
        <v>400</v>
      </c>
      <c r="L90" s="44" t="s">
        <v>235</v>
      </c>
      <c r="M90" s="44" t="s">
        <v>236</v>
      </c>
      <c r="N90" s="44" t="s">
        <v>237</v>
      </c>
      <c r="O90" s="34" t="s">
        <v>238</v>
      </c>
      <c r="P90" s="44">
        <v>1325.0</v>
      </c>
      <c r="Q90" s="63">
        <v>45696.0</v>
      </c>
      <c r="R90" s="44" t="s">
        <v>31</v>
      </c>
    </row>
    <row r="91" hidden="1">
      <c r="A91" s="77" t="s">
        <v>43</v>
      </c>
      <c r="B91" s="59">
        <v>24.0</v>
      </c>
      <c r="C91" s="59" t="s">
        <v>177</v>
      </c>
      <c r="D91" s="59" t="s">
        <v>399</v>
      </c>
      <c r="E91" s="160">
        <v>1.0</v>
      </c>
      <c r="F91" s="101">
        <f>'247_2023'!E90</f>
        <v>1</v>
      </c>
      <c r="G91" s="102">
        <f>'247_2023'!F90</f>
        <v>0</v>
      </c>
      <c r="H91" s="46">
        <v>969000.0</v>
      </c>
      <c r="I91" s="46">
        <v>969000.0</v>
      </c>
      <c r="J91" s="59" t="s">
        <v>142</v>
      </c>
      <c r="K91" s="59" t="s">
        <v>400</v>
      </c>
      <c r="L91" s="59" t="s">
        <v>235</v>
      </c>
      <c r="M91" s="59" t="s">
        <v>236</v>
      </c>
      <c r="N91" s="59" t="s">
        <v>237</v>
      </c>
      <c r="O91" s="69" t="s">
        <v>238</v>
      </c>
      <c r="P91" s="59">
        <v>1325.0</v>
      </c>
      <c r="Q91" s="70">
        <v>45696.0</v>
      </c>
      <c r="R91" s="59" t="s">
        <v>31</v>
      </c>
    </row>
    <row r="92" hidden="1">
      <c r="A92" s="79" t="s">
        <v>43</v>
      </c>
      <c r="B92" s="44">
        <v>24.0</v>
      </c>
      <c r="C92" s="44" t="s">
        <v>177</v>
      </c>
      <c r="D92" s="44" t="s">
        <v>399</v>
      </c>
      <c r="E92" s="161">
        <v>1.0</v>
      </c>
      <c r="F92" s="104">
        <f>'247_2023'!E91</f>
        <v>1</v>
      </c>
      <c r="G92" s="105">
        <f>'247_2023'!F91</f>
        <v>0</v>
      </c>
      <c r="H92" s="28">
        <v>969000.0</v>
      </c>
      <c r="I92" s="28">
        <v>969000.0</v>
      </c>
      <c r="J92" s="44" t="s">
        <v>89</v>
      </c>
      <c r="K92" s="44" t="s">
        <v>400</v>
      </c>
      <c r="L92" s="44" t="s">
        <v>235</v>
      </c>
      <c r="M92" s="44" t="s">
        <v>236</v>
      </c>
      <c r="N92" s="44" t="s">
        <v>237</v>
      </c>
      <c r="O92" s="34" t="s">
        <v>238</v>
      </c>
      <c r="P92" s="44">
        <v>1325.0</v>
      </c>
      <c r="Q92" s="63">
        <v>45696.0</v>
      </c>
      <c r="R92" s="44" t="s">
        <v>31</v>
      </c>
    </row>
    <row r="93" hidden="1">
      <c r="A93" s="77" t="s">
        <v>43</v>
      </c>
      <c r="B93" s="59">
        <v>24.0</v>
      </c>
      <c r="C93" s="59" t="s">
        <v>177</v>
      </c>
      <c r="D93" s="59" t="s">
        <v>399</v>
      </c>
      <c r="E93" s="100">
        <v>1.0</v>
      </c>
      <c r="F93" s="101">
        <f>'247_2023'!E92</f>
        <v>1</v>
      </c>
      <c r="G93" s="102">
        <f>'247_2023'!F92</f>
        <v>0</v>
      </c>
      <c r="H93" s="46">
        <v>969000.0</v>
      </c>
      <c r="I93" s="46">
        <v>969000.0</v>
      </c>
      <c r="J93" s="59" t="s">
        <v>179</v>
      </c>
      <c r="K93" s="59" t="s">
        <v>400</v>
      </c>
      <c r="L93" s="59" t="s">
        <v>235</v>
      </c>
      <c r="M93" s="59" t="s">
        <v>236</v>
      </c>
      <c r="N93" s="59" t="s">
        <v>237</v>
      </c>
      <c r="O93" s="69" t="s">
        <v>238</v>
      </c>
      <c r="P93" s="59">
        <v>1325.0</v>
      </c>
      <c r="Q93" s="70">
        <v>45696.0</v>
      </c>
      <c r="R93" s="59" t="s">
        <v>31</v>
      </c>
    </row>
    <row r="94" hidden="1">
      <c r="A94" s="79" t="s">
        <v>43</v>
      </c>
      <c r="B94" s="44">
        <v>24.0</v>
      </c>
      <c r="C94" s="44" t="s">
        <v>177</v>
      </c>
      <c r="D94" s="44" t="s">
        <v>399</v>
      </c>
      <c r="E94" s="103">
        <v>1.0</v>
      </c>
      <c r="F94" s="104">
        <f>'247_2023'!E93</f>
        <v>1</v>
      </c>
      <c r="G94" s="105">
        <f>'247_2023'!F93</f>
        <v>0</v>
      </c>
      <c r="H94" s="28">
        <v>969000.0</v>
      </c>
      <c r="I94" s="28">
        <v>969000.0</v>
      </c>
      <c r="J94" s="44" t="s">
        <v>175</v>
      </c>
      <c r="K94" s="44" t="s">
        <v>400</v>
      </c>
      <c r="L94" s="44" t="s">
        <v>235</v>
      </c>
      <c r="M94" s="44" t="s">
        <v>236</v>
      </c>
      <c r="N94" s="44" t="s">
        <v>237</v>
      </c>
      <c r="O94" s="34" t="s">
        <v>238</v>
      </c>
      <c r="P94" s="44">
        <v>1325.0</v>
      </c>
      <c r="Q94" s="63">
        <v>45696.0</v>
      </c>
      <c r="R94" s="44" t="s">
        <v>31</v>
      </c>
    </row>
    <row r="95" hidden="1">
      <c r="A95" s="77" t="s">
        <v>43</v>
      </c>
      <c r="B95" s="59">
        <v>24.0</v>
      </c>
      <c r="C95" s="59" t="s">
        <v>177</v>
      </c>
      <c r="D95" s="59" t="s">
        <v>399</v>
      </c>
      <c r="E95" s="160">
        <v>1.0</v>
      </c>
      <c r="F95" s="101">
        <f>'247_2023'!E94</f>
        <v>1</v>
      </c>
      <c r="G95" s="102">
        <f>'247_2023'!F94</f>
        <v>0</v>
      </c>
      <c r="H95" s="46">
        <v>969000.0</v>
      </c>
      <c r="I95" s="46">
        <v>969000.0</v>
      </c>
      <c r="J95" s="59" t="s">
        <v>192</v>
      </c>
      <c r="K95" s="59" t="s">
        <v>400</v>
      </c>
      <c r="L95" s="59" t="s">
        <v>235</v>
      </c>
      <c r="M95" s="59" t="s">
        <v>236</v>
      </c>
      <c r="N95" s="59" t="s">
        <v>237</v>
      </c>
      <c r="O95" s="69" t="s">
        <v>238</v>
      </c>
      <c r="P95" s="59">
        <v>1325.0</v>
      </c>
      <c r="Q95" s="70">
        <v>45696.0</v>
      </c>
      <c r="R95" s="59" t="s">
        <v>31</v>
      </c>
    </row>
    <row r="96" hidden="1">
      <c r="A96" s="79" t="s">
        <v>43</v>
      </c>
      <c r="B96" s="44">
        <v>24.0</v>
      </c>
      <c r="C96" s="44" t="s">
        <v>177</v>
      </c>
      <c r="D96" s="44" t="s">
        <v>399</v>
      </c>
      <c r="E96" s="103">
        <v>1.0</v>
      </c>
      <c r="F96" s="104">
        <f>'247_2023'!E95</f>
        <v>1</v>
      </c>
      <c r="G96" s="105">
        <f>'247_2023'!F95</f>
        <v>0</v>
      </c>
      <c r="H96" s="28">
        <v>969000.0</v>
      </c>
      <c r="I96" s="28">
        <v>969000.0</v>
      </c>
      <c r="J96" s="44" t="s">
        <v>214</v>
      </c>
      <c r="K96" s="44" t="s">
        <v>400</v>
      </c>
      <c r="L96" s="44" t="s">
        <v>235</v>
      </c>
      <c r="M96" s="44" t="s">
        <v>236</v>
      </c>
      <c r="N96" s="44" t="s">
        <v>237</v>
      </c>
      <c r="O96" s="34" t="s">
        <v>238</v>
      </c>
      <c r="P96" s="44">
        <v>1325.0</v>
      </c>
      <c r="Q96" s="63">
        <v>45696.0</v>
      </c>
      <c r="R96" s="44" t="s">
        <v>31</v>
      </c>
    </row>
    <row r="97" hidden="1">
      <c r="A97" s="77" t="s">
        <v>43</v>
      </c>
      <c r="B97" s="59">
        <v>24.0</v>
      </c>
      <c r="C97" s="59" t="s">
        <v>177</v>
      </c>
      <c r="D97" s="59" t="s">
        <v>399</v>
      </c>
      <c r="E97" s="167">
        <v>1.0</v>
      </c>
      <c r="F97" s="101">
        <f>'247_2023'!E96</f>
        <v>1</v>
      </c>
      <c r="G97" s="102">
        <f>'247_2023'!F96</f>
        <v>0</v>
      </c>
      <c r="H97" s="46">
        <v>969000.0</v>
      </c>
      <c r="I97" s="46">
        <v>969000.0</v>
      </c>
      <c r="J97" s="59" t="s">
        <v>233</v>
      </c>
      <c r="K97" s="59" t="s">
        <v>400</v>
      </c>
      <c r="L97" s="59" t="s">
        <v>235</v>
      </c>
      <c r="M97" s="59" t="s">
        <v>236</v>
      </c>
      <c r="N97" s="59" t="s">
        <v>237</v>
      </c>
      <c r="O97" s="69" t="s">
        <v>238</v>
      </c>
      <c r="P97" s="59">
        <v>1325.0</v>
      </c>
      <c r="Q97" s="70">
        <v>45696.0</v>
      </c>
      <c r="R97" s="59" t="s">
        <v>31</v>
      </c>
    </row>
    <row r="98" hidden="1">
      <c r="A98" s="79" t="s">
        <v>43</v>
      </c>
      <c r="B98" s="44">
        <v>25.0</v>
      </c>
      <c r="C98" s="44" t="s">
        <v>185</v>
      </c>
      <c r="D98" s="44" t="s">
        <v>273</v>
      </c>
      <c r="E98" s="44">
        <v>1.0</v>
      </c>
      <c r="F98" s="44" t="s">
        <v>48</v>
      </c>
      <c r="G98" s="56" t="s">
        <v>31</v>
      </c>
      <c r="H98" s="28" t="s">
        <v>31</v>
      </c>
      <c r="I98" s="28" t="s">
        <v>253</v>
      </c>
      <c r="J98" s="108" t="s">
        <v>264</v>
      </c>
      <c r="K98" s="44" t="s">
        <v>48</v>
      </c>
      <c r="L98" s="44" t="s">
        <v>48</v>
      </c>
      <c r="M98" s="44" t="s">
        <v>48</v>
      </c>
      <c r="N98" s="44" t="s">
        <v>31</v>
      </c>
      <c r="O98" s="44" t="s">
        <v>31</v>
      </c>
      <c r="P98" s="44" t="s">
        <v>48</v>
      </c>
      <c r="Q98" s="63" t="s">
        <v>48</v>
      </c>
      <c r="R98" s="44" t="s">
        <v>48</v>
      </c>
    </row>
    <row r="99" hidden="1">
      <c r="A99" s="77" t="s">
        <v>43</v>
      </c>
      <c r="B99" s="59">
        <v>26.0</v>
      </c>
      <c r="C99" s="59" t="s">
        <v>152</v>
      </c>
      <c r="D99" s="59" t="s">
        <v>419</v>
      </c>
      <c r="E99" s="59">
        <v>1.0</v>
      </c>
      <c r="F99" s="59">
        <f>'247_2023'!E98</f>
        <v>1</v>
      </c>
      <c r="G99" s="67">
        <f>'247_2023'!F98</f>
        <v>0</v>
      </c>
      <c r="H99" s="46">
        <v>255750.0</v>
      </c>
      <c r="I99" s="46">
        <v>255750.0</v>
      </c>
      <c r="J99" s="59" t="s">
        <v>58</v>
      </c>
      <c r="K99" s="59" t="s">
        <v>420</v>
      </c>
      <c r="L99" s="59" t="s">
        <v>421</v>
      </c>
      <c r="M99" s="59" t="s">
        <v>422</v>
      </c>
      <c r="N99" s="59" t="s">
        <v>423</v>
      </c>
      <c r="O99" s="69" t="s">
        <v>424</v>
      </c>
      <c r="P99" s="59">
        <v>1324.0</v>
      </c>
      <c r="Q99" s="70">
        <v>45654.0</v>
      </c>
      <c r="R99" s="59" t="s">
        <v>31</v>
      </c>
    </row>
    <row r="100" hidden="1">
      <c r="A100" s="79" t="s">
        <v>43</v>
      </c>
      <c r="B100" s="44">
        <v>26.0</v>
      </c>
      <c r="C100" s="44" t="s">
        <v>152</v>
      </c>
      <c r="D100" s="44" t="s">
        <v>419</v>
      </c>
      <c r="E100" s="44">
        <v>1.0</v>
      </c>
      <c r="F100" s="44">
        <f>'247_2023'!E99</f>
        <v>1</v>
      </c>
      <c r="G100" s="56">
        <f>'247_2023'!F99</f>
        <v>0</v>
      </c>
      <c r="H100" s="28">
        <v>255750.0</v>
      </c>
      <c r="I100" s="28">
        <v>255750.0</v>
      </c>
      <c r="J100" s="44" t="s">
        <v>232</v>
      </c>
      <c r="K100" s="44" t="s">
        <v>420</v>
      </c>
      <c r="L100" s="44" t="s">
        <v>421</v>
      </c>
      <c r="M100" s="44" t="s">
        <v>422</v>
      </c>
      <c r="N100" s="44" t="s">
        <v>423</v>
      </c>
      <c r="O100" s="34" t="s">
        <v>424</v>
      </c>
      <c r="P100" s="44">
        <v>1324.0</v>
      </c>
      <c r="Q100" s="63">
        <v>45654.0</v>
      </c>
      <c r="R100" s="44" t="s">
        <v>31</v>
      </c>
    </row>
    <row r="101" hidden="1">
      <c r="A101" s="77" t="s">
        <v>43</v>
      </c>
      <c r="B101" s="59">
        <v>26.0</v>
      </c>
      <c r="C101" s="59" t="s">
        <v>152</v>
      </c>
      <c r="D101" s="59" t="s">
        <v>419</v>
      </c>
      <c r="E101" s="59">
        <v>1.0</v>
      </c>
      <c r="F101" s="59">
        <f>'247_2023'!E100</f>
        <v>1</v>
      </c>
      <c r="G101" s="67">
        <f>'247_2023'!F100</f>
        <v>0</v>
      </c>
      <c r="H101" s="46">
        <v>255750.0</v>
      </c>
      <c r="I101" s="46">
        <v>255750.0</v>
      </c>
      <c r="J101" s="59" t="s">
        <v>113</v>
      </c>
      <c r="K101" s="59" t="s">
        <v>420</v>
      </c>
      <c r="L101" s="59" t="s">
        <v>421</v>
      </c>
      <c r="M101" s="59" t="s">
        <v>422</v>
      </c>
      <c r="N101" s="59" t="s">
        <v>423</v>
      </c>
      <c r="O101" s="69" t="s">
        <v>424</v>
      </c>
      <c r="P101" s="59">
        <v>1324.0</v>
      </c>
      <c r="Q101" s="70">
        <v>45654.0</v>
      </c>
      <c r="R101" s="59" t="s">
        <v>31</v>
      </c>
    </row>
    <row r="102" hidden="1">
      <c r="A102" s="79" t="s">
        <v>43</v>
      </c>
      <c r="B102" s="44">
        <v>26.0</v>
      </c>
      <c r="C102" s="44" t="s">
        <v>152</v>
      </c>
      <c r="D102" s="44" t="s">
        <v>419</v>
      </c>
      <c r="E102" s="44">
        <v>1.0</v>
      </c>
      <c r="F102" s="44">
        <f>'247_2023'!E101</f>
        <v>1</v>
      </c>
      <c r="G102" s="56">
        <f>'247_2023'!F101</f>
        <v>0</v>
      </c>
      <c r="H102" s="28">
        <v>255750.0</v>
      </c>
      <c r="I102" s="28">
        <v>255750.0</v>
      </c>
      <c r="J102" s="44" t="s">
        <v>134</v>
      </c>
      <c r="K102" s="44" t="s">
        <v>420</v>
      </c>
      <c r="L102" s="44" t="s">
        <v>421</v>
      </c>
      <c r="M102" s="44" t="s">
        <v>422</v>
      </c>
      <c r="N102" s="44" t="s">
        <v>423</v>
      </c>
      <c r="O102" s="34" t="s">
        <v>424</v>
      </c>
      <c r="P102" s="44">
        <v>1324.0</v>
      </c>
      <c r="Q102" s="63">
        <v>45654.0</v>
      </c>
      <c r="R102" s="44" t="s">
        <v>31</v>
      </c>
    </row>
    <row r="103" hidden="1">
      <c r="A103" s="77" t="s">
        <v>43</v>
      </c>
      <c r="B103" s="59">
        <v>26.0</v>
      </c>
      <c r="C103" s="59" t="s">
        <v>152</v>
      </c>
      <c r="D103" s="59" t="s">
        <v>419</v>
      </c>
      <c r="E103" s="59">
        <v>1.0</v>
      </c>
      <c r="F103" s="59">
        <f>'247_2023'!E102</f>
        <v>1</v>
      </c>
      <c r="G103" s="67">
        <f>'247_2023'!F102</f>
        <v>0</v>
      </c>
      <c r="H103" s="46">
        <v>255750.0</v>
      </c>
      <c r="I103" s="46">
        <v>255750.0</v>
      </c>
      <c r="J103" s="59" t="s">
        <v>142</v>
      </c>
      <c r="K103" s="59" t="s">
        <v>420</v>
      </c>
      <c r="L103" s="59" t="s">
        <v>421</v>
      </c>
      <c r="M103" s="59" t="s">
        <v>422</v>
      </c>
      <c r="N103" s="59" t="s">
        <v>423</v>
      </c>
      <c r="O103" s="69" t="s">
        <v>424</v>
      </c>
      <c r="P103" s="59">
        <v>1324.0</v>
      </c>
      <c r="Q103" s="70">
        <v>45654.0</v>
      </c>
      <c r="R103" s="59" t="s">
        <v>31</v>
      </c>
    </row>
    <row r="104" hidden="1">
      <c r="A104" s="79" t="s">
        <v>43</v>
      </c>
      <c r="B104" s="44">
        <v>26.0</v>
      </c>
      <c r="C104" s="44" t="s">
        <v>152</v>
      </c>
      <c r="D104" s="44" t="s">
        <v>419</v>
      </c>
      <c r="E104" s="44">
        <v>1.0</v>
      </c>
      <c r="F104" s="35">
        <f>'247_2023'!E103</f>
        <v>1</v>
      </c>
      <c r="G104" s="56">
        <f>'247_2023'!F103</f>
        <v>0</v>
      </c>
      <c r="H104" s="28">
        <v>255750.0</v>
      </c>
      <c r="I104" s="28">
        <v>255750.0</v>
      </c>
      <c r="J104" s="44" t="s">
        <v>179</v>
      </c>
      <c r="K104" s="44" t="s">
        <v>420</v>
      </c>
      <c r="L104" s="44" t="s">
        <v>421</v>
      </c>
      <c r="M104" s="44" t="s">
        <v>422</v>
      </c>
      <c r="N104" s="44" t="s">
        <v>423</v>
      </c>
      <c r="O104" s="34" t="s">
        <v>424</v>
      </c>
      <c r="P104" s="44">
        <v>1324.0</v>
      </c>
      <c r="Q104" s="63">
        <v>45654.0</v>
      </c>
      <c r="R104" s="44" t="s">
        <v>31</v>
      </c>
    </row>
    <row r="105" hidden="1">
      <c r="A105" s="77" t="s">
        <v>43</v>
      </c>
      <c r="B105" s="59">
        <v>26.0</v>
      </c>
      <c r="C105" s="59" t="s">
        <v>152</v>
      </c>
      <c r="D105" s="59" t="s">
        <v>419</v>
      </c>
      <c r="E105" s="59">
        <v>8.0</v>
      </c>
      <c r="F105" s="52">
        <f>'247_2023'!E104</f>
        <v>8</v>
      </c>
      <c r="G105" s="67">
        <f>'247_2023'!F104</f>
        <v>0</v>
      </c>
      <c r="H105" s="46">
        <v>255750.0</v>
      </c>
      <c r="I105" s="46">
        <v>2046000.0</v>
      </c>
      <c r="J105" s="59" t="s">
        <v>167</v>
      </c>
      <c r="K105" s="59" t="s">
        <v>420</v>
      </c>
      <c r="L105" s="59" t="s">
        <v>421</v>
      </c>
      <c r="M105" s="59" t="s">
        <v>422</v>
      </c>
      <c r="N105" s="59" t="s">
        <v>423</v>
      </c>
      <c r="O105" s="69" t="s">
        <v>424</v>
      </c>
      <c r="P105" s="59">
        <v>1324.0</v>
      </c>
      <c r="Q105" s="70">
        <v>45654.0</v>
      </c>
      <c r="R105" s="59" t="s">
        <v>31</v>
      </c>
    </row>
    <row r="106" hidden="1">
      <c r="A106" s="79" t="s">
        <v>43</v>
      </c>
      <c r="B106" s="44">
        <v>26.0</v>
      </c>
      <c r="C106" s="44" t="s">
        <v>152</v>
      </c>
      <c r="D106" s="44" t="s">
        <v>419</v>
      </c>
      <c r="E106" s="44">
        <v>4.0</v>
      </c>
      <c r="F106" s="35">
        <f>'247_2023'!E105</f>
        <v>4</v>
      </c>
      <c r="G106" s="56">
        <f>'247_2023'!F105</f>
        <v>0</v>
      </c>
      <c r="H106" s="28">
        <v>255750.0</v>
      </c>
      <c r="I106" s="28">
        <v>1023000.0</v>
      </c>
      <c r="J106" s="44" t="s">
        <v>202</v>
      </c>
      <c r="K106" s="44" t="s">
        <v>420</v>
      </c>
      <c r="L106" s="44" t="s">
        <v>421</v>
      </c>
      <c r="M106" s="44" t="s">
        <v>422</v>
      </c>
      <c r="N106" s="44" t="s">
        <v>423</v>
      </c>
      <c r="O106" s="34" t="s">
        <v>424</v>
      </c>
      <c r="P106" s="44">
        <v>1324.0</v>
      </c>
      <c r="Q106" s="63">
        <v>45654.0</v>
      </c>
      <c r="R106" s="44" t="s">
        <v>31</v>
      </c>
    </row>
    <row r="107" hidden="1">
      <c r="A107" s="77" t="s">
        <v>43</v>
      </c>
      <c r="B107" s="59">
        <v>26.0</v>
      </c>
      <c r="C107" s="59" t="s">
        <v>152</v>
      </c>
      <c r="D107" s="59" t="s">
        <v>419</v>
      </c>
      <c r="E107" s="59">
        <v>1.0</v>
      </c>
      <c r="F107" s="59">
        <f>'247_2023'!E106</f>
        <v>1</v>
      </c>
      <c r="G107" s="67">
        <f>'247_2023'!F106</f>
        <v>0</v>
      </c>
      <c r="H107" s="46">
        <v>255750.0</v>
      </c>
      <c r="I107" s="46">
        <v>255750.0</v>
      </c>
      <c r="J107" s="59" t="s">
        <v>188</v>
      </c>
      <c r="K107" s="59" t="s">
        <v>420</v>
      </c>
      <c r="L107" s="59" t="s">
        <v>421</v>
      </c>
      <c r="M107" s="59" t="s">
        <v>422</v>
      </c>
      <c r="N107" s="59" t="s">
        <v>423</v>
      </c>
      <c r="O107" s="69" t="s">
        <v>424</v>
      </c>
      <c r="P107" s="59">
        <v>1324.0</v>
      </c>
      <c r="Q107" s="70">
        <v>45654.0</v>
      </c>
      <c r="R107" s="59" t="s">
        <v>31</v>
      </c>
    </row>
    <row r="108" hidden="1">
      <c r="A108" s="79" t="s">
        <v>43</v>
      </c>
      <c r="B108" s="44">
        <v>26.0</v>
      </c>
      <c r="C108" s="44" t="s">
        <v>152</v>
      </c>
      <c r="D108" s="44" t="s">
        <v>419</v>
      </c>
      <c r="E108" s="44">
        <v>1.0</v>
      </c>
      <c r="F108" s="44">
        <f>'247_2023'!E107</f>
        <v>1</v>
      </c>
      <c r="G108" s="56">
        <f>'247_2023'!F107</f>
        <v>0</v>
      </c>
      <c r="H108" s="28">
        <v>255750.0</v>
      </c>
      <c r="I108" s="28">
        <v>255750.0</v>
      </c>
      <c r="J108" s="44" t="s">
        <v>197</v>
      </c>
      <c r="K108" s="44" t="s">
        <v>420</v>
      </c>
      <c r="L108" s="44" t="s">
        <v>421</v>
      </c>
      <c r="M108" s="44" t="s">
        <v>422</v>
      </c>
      <c r="N108" s="44" t="s">
        <v>423</v>
      </c>
      <c r="O108" s="34" t="s">
        <v>424</v>
      </c>
      <c r="P108" s="44">
        <v>1324.0</v>
      </c>
      <c r="Q108" s="63">
        <v>45654.0</v>
      </c>
      <c r="R108" s="44" t="s">
        <v>31</v>
      </c>
    </row>
    <row r="109" hidden="1">
      <c r="A109" s="77" t="s">
        <v>43</v>
      </c>
      <c r="B109" s="59">
        <v>26.0</v>
      </c>
      <c r="C109" s="59" t="s">
        <v>152</v>
      </c>
      <c r="D109" s="59" t="s">
        <v>419</v>
      </c>
      <c r="E109" s="59">
        <v>1.0</v>
      </c>
      <c r="F109" s="59">
        <f>'247_2023'!E108</f>
        <v>1</v>
      </c>
      <c r="G109" s="67">
        <f>'247_2023'!F108</f>
        <v>0</v>
      </c>
      <c r="H109" s="46">
        <v>255750.0</v>
      </c>
      <c r="I109" s="46">
        <v>255750.0</v>
      </c>
      <c r="J109" s="59" t="s">
        <v>196</v>
      </c>
      <c r="K109" s="59" t="s">
        <v>420</v>
      </c>
      <c r="L109" s="59" t="s">
        <v>421</v>
      </c>
      <c r="M109" s="59" t="s">
        <v>422</v>
      </c>
      <c r="N109" s="59" t="s">
        <v>423</v>
      </c>
      <c r="O109" s="69" t="s">
        <v>424</v>
      </c>
      <c r="P109" s="59">
        <v>1324.0</v>
      </c>
      <c r="Q109" s="70">
        <v>45654.0</v>
      </c>
      <c r="R109" s="59" t="s">
        <v>31</v>
      </c>
    </row>
    <row r="110" hidden="1">
      <c r="A110" s="79" t="s">
        <v>43</v>
      </c>
      <c r="B110" s="44">
        <v>26.0</v>
      </c>
      <c r="C110" s="44" t="s">
        <v>152</v>
      </c>
      <c r="D110" s="44" t="s">
        <v>419</v>
      </c>
      <c r="E110" s="44">
        <v>1.0</v>
      </c>
      <c r="F110" s="44">
        <f>'247_2023'!E109</f>
        <v>1</v>
      </c>
      <c r="G110" s="56">
        <f>'247_2023'!F109</f>
        <v>0</v>
      </c>
      <c r="H110" s="28">
        <v>255750.0</v>
      </c>
      <c r="I110" s="28">
        <v>255750.0</v>
      </c>
      <c r="J110" s="44" t="s">
        <v>178</v>
      </c>
      <c r="K110" s="44" t="s">
        <v>420</v>
      </c>
      <c r="L110" s="44" t="s">
        <v>421</v>
      </c>
      <c r="M110" s="44" t="s">
        <v>422</v>
      </c>
      <c r="N110" s="44" t="s">
        <v>423</v>
      </c>
      <c r="O110" s="34" t="s">
        <v>424</v>
      </c>
      <c r="P110" s="44">
        <v>1324.0</v>
      </c>
      <c r="Q110" s="63">
        <v>45654.0</v>
      </c>
      <c r="R110" s="44" t="s">
        <v>31</v>
      </c>
    </row>
    <row r="111" hidden="1">
      <c r="A111" s="77" t="s">
        <v>43</v>
      </c>
      <c r="B111" s="59">
        <v>26.0</v>
      </c>
      <c r="C111" s="59" t="s">
        <v>152</v>
      </c>
      <c r="D111" s="59" t="s">
        <v>419</v>
      </c>
      <c r="E111" s="59">
        <v>1.0</v>
      </c>
      <c r="F111" s="59">
        <f>'247_2023'!E110</f>
        <v>1</v>
      </c>
      <c r="G111" s="67">
        <f>'247_2023'!F110</f>
        <v>0</v>
      </c>
      <c r="H111" s="46">
        <v>255750.0</v>
      </c>
      <c r="I111" s="46">
        <v>255750.0</v>
      </c>
      <c r="J111" s="59" t="s">
        <v>199</v>
      </c>
      <c r="K111" s="59" t="s">
        <v>420</v>
      </c>
      <c r="L111" s="59" t="s">
        <v>421</v>
      </c>
      <c r="M111" s="59" t="s">
        <v>422</v>
      </c>
      <c r="N111" s="59" t="s">
        <v>423</v>
      </c>
      <c r="O111" s="69" t="s">
        <v>424</v>
      </c>
      <c r="P111" s="59">
        <v>1324.0</v>
      </c>
      <c r="Q111" s="70">
        <v>45654.0</v>
      </c>
      <c r="R111" s="59" t="s">
        <v>31</v>
      </c>
    </row>
    <row r="112" hidden="1">
      <c r="A112" s="79" t="s">
        <v>43</v>
      </c>
      <c r="B112" s="44">
        <v>27.0</v>
      </c>
      <c r="C112" s="44" t="s">
        <v>156</v>
      </c>
      <c r="D112" s="44" t="s">
        <v>284</v>
      </c>
      <c r="E112" s="44">
        <v>1.0</v>
      </c>
      <c r="F112" s="44">
        <f>'247_2023'!E111</f>
        <v>1</v>
      </c>
      <c r="G112" s="56">
        <f>'247_2023'!F111</f>
        <v>0</v>
      </c>
      <c r="H112" s="28">
        <v>253627.0</v>
      </c>
      <c r="I112" s="28">
        <v>253627.0</v>
      </c>
      <c r="J112" s="44" t="s">
        <v>232</v>
      </c>
      <c r="K112" s="44" t="s">
        <v>458</v>
      </c>
      <c r="L112" s="44" t="s">
        <v>451</v>
      </c>
      <c r="M112" s="44" t="s">
        <v>452</v>
      </c>
      <c r="N112" s="44" t="s">
        <v>460</v>
      </c>
      <c r="O112" s="34" t="s">
        <v>291</v>
      </c>
      <c r="P112" s="44">
        <v>1321.0</v>
      </c>
      <c r="Q112" s="63">
        <v>45654.0</v>
      </c>
      <c r="R112" s="44" t="s">
        <v>31</v>
      </c>
    </row>
    <row r="113" hidden="1">
      <c r="A113" s="77" t="s">
        <v>43</v>
      </c>
      <c r="B113" s="59">
        <v>27.0</v>
      </c>
      <c r="C113" s="59" t="s">
        <v>156</v>
      </c>
      <c r="D113" s="59" t="s">
        <v>284</v>
      </c>
      <c r="E113" s="59">
        <v>1.0</v>
      </c>
      <c r="F113" s="59">
        <f>'247_2023'!E112</f>
        <v>1</v>
      </c>
      <c r="G113" s="67">
        <f>'247_2023'!F112</f>
        <v>0</v>
      </c>
      <c r="H113" s="46">
        <v>253627.0</v>
      </c>
      <c r="I113" s="46">
        <v>253627.0</v>
      </c>
      <c r="J113" s="59" t="s">
        <v>134</v>
      </c>
      <c r="K113" s="59" t="s">
        <v>458</v>
      </c>
      <c r="L113" s="59" t="s">
        <v>451</v>
      </c>
      <c r="M113" s="59" t="s">
        <v>452</v>
      </c>
      <c r="N113" s="59" t="s">
        <v>460</v>
      </c>
      <c r="O113" s="69" t="s">
        <v>291</v>
      </c>
      <c r="P113" s="59">
        <v>1321.0</v>
      </c>
      <c r="Q113" s="70">
        <v>45654.0</v>
      </c>
      <c r="R113" s="59" t="s">
        <v>31</v>
      </c>
    </row>
    <row r="114" hidden="1">
      <c r="A114" s="79" t="s">
        <v>43</v>
      </c>
      <c r="B114" s="44">
        <v>27.0</v>
      </c>
      <c r="C114" s="44" t="s">
        <v>156</v>
      </c>
      <c r="D114" s="44" t="s">
        <v>284</v>
      </c>
      <c r="E114" s="44">
        <v>1.0</v>
      </c>
      <c r="F114" s="44">
        <f>'247_2023'!E113</f>
        <v>1</v>
      </c>
      <c r="G114" s="56">
        <f>'247_2023'!F113</f>
        <v>0</v>
      </c>
      <c r="H114" s="28">
        <v>253627.0</v>
      </c>
      <c r="I114" s="28">
        <v>253627.0</v>
      </c>
      <c r="J114" s="44" t="s">
        <v>286</v>
      </c>
      <c r="K114" s="44" t="s">
        <v>458</v>
      </c>
      <c r="L114" s="44" t="s">
        <v>451</v>
      </c>
      <c r="M114" s="44" t="s">
        <v>452</v>
      </c>
      <c r="N114" s="44" t="s">
        <v>460</v>
      </c>
      <c r="O114" s="34" t="s">
        <v>291</v>
      </c>
      <c r="P114" s="44">
        <v>1321.0</v>
      </c>
      <c r="Q114" s="63">
        <v>45654.0</v>
      </c>
      <c r="R114" s="44" t="s">
        <v>31</v>
      </c>
    </row>
    <row r="115" hidden="1">
      <c r="A115" s="77" t="s">
        <v>43</v>
      </c>
      <c r="B115" s="59">
        <v>27.0</v>
      </c>
      <c r="C115" s="59" t="s">
        <v>156</v>
      </c>
      <c r="D115" s="59" t="s">
        <v>284</v>
      </c>
      <c r="E115" s="59">
        <v>1.0</v>
      </c>
      <c r="F115" s="59">
        <f>'247_2023'!E114</f>
        <v>1</v>
      </c>
      <c r="G115" s="67">
        <f>'247_2023'!F114</f>
        <v>0</v>
      </c>
      <c r="H115" s="46">
        <v>253627.0</v>
      </c>
      <c r="I115" s="46">
        <v>253627.0</v>
      </c>
      <c r="J115" s="59" t="s">
        <v>142</v>
      </c>
      <c r="K115" s="59" t="s">
        <v>458</v>
      </c>
      <c r="L115" s="59" t="s">
        <v>451</v>
      </c>
      <c r="M115" s="59" t="s">
        <v>452</v>
      </c>
      <c r="N115" s="59" t="s">
        <v>460</v>
      </c>
      <c r="O115" s="69" t="s">
        <v>291</v>
      </c>
      <c r="P115" s="59">
        <v>1321.0</v>
      </c>
      <c r="Q115" s="70">
        <v>45654.0</v>
      </c>
      <c r="R115" s="59" t="s">
        <v>31</v>
      </c>
    </row>
    <row r="116" hidden="1">
      <c r="A116" s="79" t="s">
        <v>43</v>
      </c>
      <c r="B116" s="44">
        <v>27.0</v>
      </c>
      <c r="C116" s="44" t="s">
        <v>156</v>
      </c>
      <c r="D116" s="44" t="s">
        <v>284</v>
      </c>
      <c r="E116" s="44">
        <v>1.0</v>
      </c>
      <c r="F116" s="35">
        <f>'247_2023'!E115</f>
        <v>1</v>
      </c>
      <c r="G116" s="56">
        <f>'247_2023'!F115</f>
        <v>0</v>
      </c>
      <c r="H116" s="28">
        <v>253627.0</v>
      </c>
      <c r="I116" s="28">
        <v>253627.0</v>
      </c>
      <c r="J116" s="44" t="s">
        <v>202</v>
      </c>
      <c r="K116" s="44" t="s">
        <v>458</v>
      </c>
      <c r="L116" s="44" t="s">
        <v>451</v>
      </c>
      <c r="M116" s="44" t="s">
        <v>452</v>
      </c>
      <c r="N116" s="44" t="s">
        <v>460</v>
      </c>
      <c r="O116" s="34" t="s">
        <v>291</v>
      </c>
      <c r="P116" s="44">
        <v>1321.0</v>
      </c>
      <c r="Q116" s="63">
        <v>45654.0</v>
      </c>
      <c r="R116" s="44" t="s">
        <v>31</v>
      </c>
    </row>
    <row r="117" hidden="1">
      <c r="A117" s="77" t="s">
        <v>43</v>
      </c>
      <c r="B117" s="59">
        <v>27.0</v>
      </c>
      <c r="C117" s="59" t="s">
        <v>156</v>
      </c>
      <c r="D117" s="59" t="s">
        <v>284</v>
      </c>
      <c r="E117" s="59">
        <v>1.0</v>
      </c>
      <c r="F117" s="59">
        <f>'247_2023'!E116</f>
        <v>1</v>
      </c>
      <c r="G117" s="67">
        <f>'247_2023'!F116</f>
        <v>0</v>
      </c>
      <c r="H117" s="46">
        <v>253627.0</v>
      </c>
      <c r="I117" s="46">
        <v>253627.0</v>
      </c>
      <c r="J117" s="59" t="s">
        <v>196</v>
      </c>
      <c r="K117" s="59" t="s">
        <v>458</v>
      </c>
      <c r="L117" s="59" t="s">
        <v>451</v>
      </c>
      <c r="M117" s="59" t="s">
        <v>452</v>
      </c>
      <c r="N117" s="59" t="s">
        <v>460</v>
      </c>
      <c r="O117" s="69" t="s">
        <v>291</v>
      </c>
      <c r="P117" s="59">
        <v>1321.0</v>
      </c>
      <c r="Q117" s="70">
        <v>45654.0</v>
      </c>
      <c r="R117" s="59" t="s">
        <v>31</v>
      </c>
    </row>
    <row r="118" hidden="1">
      <c r="A118" s="79" t="s">
        <v>43</v>
      </c>
      <c r="B118" s="44">
        <v>28.0</v>
      </c>
      <c r="C118" s="44" t="s">
        <v>157</v>
      </c>
      <c r="D118" s="44" t="s">
        <v>479</v>
      </c>
      <c r="E118" s="103">
        <v>1.0</v>
      </c>
      <c r="F118" s="198">
        <f>'247_2023'!E117</f>
        <v>0</v>
      </c>
      <c r="G118" s="105">
        <f>'247_2023'!F117</f>
        <v>1</v>
      </c>
      <c r="H118" s="28">
        <v>268000.0</v>
      </c>
      <c r="I118" s="28">
        <v>268000.0</v>
      </c>
      <c r="J118" s="44" t="s">
        <v>134</v>
      </c>
      <c r="K118" s="44" t="s">
        <v>458</v>
      </c>
      <c r="L118" s="44" t="s">
        <v>451</v>
      </c>
      <c r="M118" s="44" t="s">
        <v>452</v>
      </c>
      <c r="N118" s="44" t="s">
        <v>460</v>
      </c>
      <c r="O118" s="34" t="s">
        <v>291</v>
      </c>
      <c r="P118" s="44">
        <v>1321.0</v>
      </c>
      <c r="Q118" s="63">
        <v>45654.0</v>
      </c>
      <c r="R118" s="44" t="s">
        <v>31</v>
      </c>
    </row>
    <row r="119" hidden="1">
      <c r="A119" s="77" t="s">
        <v>43</v>
      </c>
      <c r="B119" s="59">
        <v>28.0</v>
      </c>
      <c r="C119" s="59" t="s">
        <v>157</v>
      </c>
      <c r="D119" s="59" t="s">
        <v>479</v>
      </c>
      <c r="E119" s="160">
        <v>1.0</v>
      </c>
      <c r="F119" s="167">
        <f>'247_2023'!E118</f>
        <v>0</v>
      </c>
      <c r="G119" s="102">
        <f>'247_2023'!F118</f>
        <v>1</v>
      </c>
      <c r="H119" s="46">
        <v>268000.0</v>
      </c>
      <c r="I119" s="46">
        <v>268000.0</v>
      </c>
      <c r="J119" s="59" t="s">
        <v>160</v>
      </c>
      <c r="K119" s="59" t="s">
        <v>458</v>
      </c>
      <c r="L119" s="59" t="s">
        <v>451</v>
      </c>
      <c r="M119" s="59" t="s">
        <v>452</v>
      </c>
      <c r="N119" s="59" t="s">
        <v>460</v>
      </c>
      <c r="O119" s="69" t="s">
        <v>291</v>
      </c>
      <c r="P119" s="59">
        <v>1321.0</v>
      </c>
      <c r="Q119" s="70">
        <v>45654.0</v>
      </c>
      <c r="R119" s="59" t="s">
        <v>31</v>
      </c>
    </row>
    <row r="120" hidden="1">
      <c r="A120" s="79" t="s">
        <v>43</v>
      </c>
      <c r="B120" s="44">
        <v>28.0</v>
      </c>
      <c r="C120" s="44" t="s">
        <v>157</v>
      </c>
      <c r="D120" s="44" t="s">
        <v>479</v>
      </c>
      <c r="E120" s="103">
        <v>1.0</v>
      </c>
      <c r="F120" s="198">
        <f>'247_2023'!E119</f>
        <v>0</v>
      </c>
      <c r="G120" s="105">
        <f>'247_2023'!F119</f>
        <v>1</v>
      </c>
      <c r="H120" s="28">
        <v>268000.0</v>
      </c>
      <c r="I120" s="28">
        <v>268000.0</v>
      </c>
      <c r="J120" s="44" t="s">
        <v>196</v>
      </c>
      <c r="K120" s="44" t="s">
        <v>458</v>
      </c>
      <c r="L120" s="44" t="s">
        <v>451</v>
      </c>
      <c r="M120" s="44" t="s">
        <v>452</v>
      </c>
      <c r="N120" s="44" t="s">
        <v>460</v>
      </c>
      <c r="O120" s="34" t="s">
        <v>291</v>
      </c>
      <c r="P120" s="44">
        <v>1321.0</v>
      </c>
      <c r="Q120" s="63">
        <v>45654.0</v>
      </c>
      <c r="R120" s="44" t="s">
        <v>31</v>
      </c>
    </row>
    <row r="121" hidden="1">
      <c r="A121" s="77" t="s">
        <v>43</v>
      </c>
      <c r="B121" s="59">
        <v>28.0</v>
      </c>
      <c r="C121" s="59" t="s">
        <v>157</v>
      </c>
      <c r="D121" s="59" t="s">
        <v>479</v>
      </c>
      <c r="E121" s="160">
        <v>1.0</v>
      </c>
      <c r="F121" s="167">
        <f>'247_2023'!E120</f>
        <v>1</v>
      </c>
      <c r="G121" s="102">
        <f>'247_2023'!F120</f>
        <v>0</v>
      </c>
      <c r="H121" s="46">
        <v>268000.0</v>
      </c>
      <c r="I121" s="46">
        <v>268000.0</v>
      </c>
      <c r="J121" s="59" t="s">
        <v>178</v>
      </c>
      <c r="K121" s="59" t="s">
        <v>458</v>
      </c>
      <c r="L121" s="59" t="s">
        <v>451</v>
      </c>
      <c r="M121" s="59" t="s">
        <v>452</v>
      </c>
      <c r="N121" s="59" t="s">
        <v>460</v>
      </c>
      <c r="O121" s="69" t="s">
        <v>291</v>
      </c>
      <c r="P121" s="59">
        <v>1321.0</v>
      </c>
      <c r="Q121" s="70">
        <v>45654.0</v>
      </c>
      <c r="R121" s="59" t="s">
        <v>31</v>
      </c>
    </row>
    <row r="122" hidden="1">
      <c r="A122" s="79" t="s">
        <v>43</v>
      </c>
      <c r="B122" s="44">
        <v>28.0</v>
      </c>
      <c r="C122" s="44" t="s">
        <v>157</v>
      </c>
      <c r="D122" s="44" t="s">
        <v>479</v>
      </c>
      <c r="E122" s="103">
        <v>1.0</v>
      </c>
      <c r="F122" s="198">
        <f>'247_2023'!E121</f>
        <v>0</v>
      </c>
      <c r="G122" s="105">
        <f>'247_2023'!F121</f>
        <v>1</v>
      </c>
      <c r="H122" s="28">
        <v>268000.0</v>
      </c>
      <c r="I122" s="28">
        <v>268000.0</v>
      </c>
      <c r="J122" s="44" t="s">
        <v>192</v>
      </c>
      <c r="K122" s="44" t="s">
        <v>458</v>
      </c>
      <c r="L122" s="44" t="s">
        <v>451</v>
      </c>
      <c r="M122" s="44" t="s">
        <v>452</v>
      </c>
      <c r="N122" s="44" t="s">
        <v>460</v>
      </c>
      <c r="O122" s="34" t="s">
        <v>291</v>
      </c>
      <c r="P122" s="44">
        <v>1321.0</v>
      </c>
      <c r="Q122" s="63">
        <v>45654.0</v>
      </c>
      <c r="R122" s="44" t="s">
        <v>31</v>
      </c>
    </row>
    <row r="123" hidden="1">
      <c r="A123" s="77" t="s">
        <v>43</v>
      </c>
      <c r="B123" s="59">
        <v>28.0</v>
      </c>
      <c r="C123" s="59" t="s">
        <v>157</v>
      </c>
      <c r="D123" s="59" t="s">
        <v>479</v>
      </c>
      <c r="E123" s="160">
        <v>1.0</v>
      </c>
      <c r="F123" s="167">
        <f>'247_2023'!E122</f>
        <v>0</v>
      </c>
      <c r="G123" s="102">
        <f>'247_2023'!F122</f>
        <v>1</v>
      </c>
      <c r="H123" s="46">
        <v>268000.0</v>
      </c>
      <c r="I123" s="46">
        <v>268000.0</v>
      </c>
      <c r="J123" s="59" t="s">
        <v>304</v>
      </c>
      <c r="K123" s="59" t="s">
        <v>458</v>
      </c>
      <c r="L123" s="59" t="s">
        <v>451</v>
      </c>
      <c r="M123" s="59" t="s">
        <v>452</v>
      </c>
      <c r="N123" s="59" t="s">
        <v>460</v>
      </c>
      <c r="O123" s="69" t="s">
        <v>291</v>
      </c>
      <c r="P123" s="59">
        <v>1321.0</v>
      </c>
      <c r="Q123" s="70">
        <v>45654.0</v>
      </c>
      <c r="R123" s="59" t="s">
        <v>31</v>
      </c>
    </row>
    <row r="124" hidden="1">
      <c r="A124" s="79" t="s">
        <v>43</v>
      </c>
      <c r="B124" s="44">
        <v>28.0</v>
      </c>
      <c r="C124" s="44" t="s">
        <v>157</v>
      </c>
      <c r="D124" s="44" t="s">
        <v>479</v>
      </c>
      <c r="E124" s="103">
        <v>1.0</v>
      </c>
      <c r="F124" s="198">
        <f>'247_2023'!E123</f>
        <v>0</v>
      </c>
      <c r="G124" s="105">
        <f>'247_2023'!F123</f>
        <v>1</v>
      </c>
      <c r="H124" s="28">
        <v>268000.0</v>
      </c>
      <c r="I124" s="28">
        <v>268000.0</v>
      </c>
      <c r="J124" s="44" t="s">
        <v>272</v>
      </c>
      <c r="K124" s="44" t="s">
        <v>458</v>
      </c>
      <c r="L124" s="44" t="s">
        <v>451</v>
      </c>
      <c r="M124" s="44" t="s">
        <v>452</v>
      </c>
      <c r="N124" s="44" t="s">
        <v>460</v>
      </c>
      <c r="O124" s="34" t="s">
        <v>291</v>
      </c>
      <c r="P124" s="44">
        <v>1321.0</v>
      </c>
      <c r="Q124" s="63">
        <v>45654.0</v>
      </c>
      <c r="R124" s="44" t="s">
        <v>31</v>
      </c>
    </row>
    <row r="125" hidden="1">
      <c r="A125" s="77" t="s">
        <v>43</v>
      </c>
      <c r="B125" s="59">
        <v>28.0</v>
      </c>
      <c r="C125" s="59" t="s">
        <v>157</v>
      </c>
      <c r="D125" s="59" t="s">
        <v>479</v>
      </c>
      <c r="E125" s="160">
        <v>1.0</v>
      </c>
      <c r="F125" s="167">
        <f>'247_2023'!E124</f>
        <v>0</v>
      </c>
      <c r="G125" s="102">
        <f>'247_2023'!F124</f>
        <v>1</v>
      </c>
      <c r="H125" s="46">
        <v>268000.0</v>
      </c>
      <c r="I125" s="46">
        <v>268000.0</v>
      </c>
      <c r="J125" s="59" t="s">
        <v>199</v>
      </c>
      <c r="K125" s="59" t="s">
        <v>458</v>
      </c>
      <c r="L125" s="59" t="s">
        <v>451</v>
      </c>
      <c r="M125" s="59" t="s">
        <v>452</v>
      </c>
      <c r="N125" s="59" t="s">
        <v>460</v>
      </c>
      <c r="O125" s="69" t="s">
        <v>291</v>
      </c>
      <c r="P125" s="59">
        <v>1321.0</v>
      </c>
      <c r="Q125" s="70">
        <v>45654.0</v>
      </c>
      <c r="R125" s="59" t="s">
        <v>31</v>
      </c>
    </row>
    <row r="126" hidden="1">
      <c r="A126" s="79" t="s">
        <v>43</v>
      </c>
      <c r="B126" s="44">
        <v>28.0</v>
      </c>
      <c r="C126" s="44" t="s">
        <v>157</v>
      </c>
      <c r="D126" s="44" t="s">
        <v>479</v>
      </c>
      <c r="E126" s="103">
        <v>1.0</v>
      </c>
      <c r="F126" s="198">
        <f>'247_2023'!E125</f>
        <v>0</v>
      </c>
      <c r="G126" s="105">
        <f>'247_2023'!F125</f>
        <v>1</v>
      </c>
      <c r="H126" s="28">
        <v>268000.0</v>
      </c>
      <c r="I126" s="28">
        <v>268000.0</v>
      </c>
      <c r="J126" s="44" t="s">
        <v>210</v>
      </c>
      <c r="K126" s="44" t="s">
        <v>458</v>
      </c>
      <c r="L126" s="44" t="s">
        <v>451</v>
      </c>
      <c r="M126" s="44" t="s">
        <v>452</v>
      </c>
      <c r="N126" s="44" t="s">
        <v>460</v>
      </c>
      <c r="O126" s="34" t="s">
        <v>291</v>
      </c>
      <c r="P126" s="44">
        <v>1321.0</v>
      </c>
      <c r="Q126" s="63">
        <v>45654.0</v>
      </c>
      <c r="R126" s="44" t="s">
        <v>31</v>
      </c>
    </row>
    <row r="127" hidden="1">
      <c r="A127" s="77" t="s">
        <v>43</v>
      </c>
      <c r="B127" s="59">
        <v>28.0</v>
      </c>
      <c r="C127" s="59" t="s">
        <v>157</v>
      </c>
      <c r="D127" s="59" t="s">
        <v>479</v>
      </c>
      <c r="E127" s="160">
        <v>3.0</v>
      </c>
      <c r="F127" s="167">
        <f>'247_2023'!E126</f>
        <v>2</v>
      </c>
      <c r="G127" s="102">
        <f>'247_2023'!F126</f>
        <v>1</v>
      </c>
      <c r="H127" s="46">
        <v>268000.0</v>
      </c>
      <c r="I127" s="46">
        <v>804000.0</v>
      </c>
      <c r="J127" s="59" t="s">
        <v>214</v>
      </c>
      <c r="K127" s="59" t="s">
        <v>458</v>
      </c>
      <c r="L127" s="59" t="s">
        <v>451</v>
      </c>
      <c r="M127" s="59" t="s">
        <v>452</v>
      </c>
      <c r="N127" s="59" t="s">
        <v>460</v>
      </c>
      <c r="O127" s="69" t="s">
        <v>291</v>
      </c>
      <c r="P127" s="59">
        <v>1321.0</v>
      </c>
      <c r="Q127" s="70">
        <v>45654.0</v>
      </c>
      <c r="R127" s="59" t="s">
        <v>31</v>
      </c>
    </row>
    <row r="128" hidden="1">
      <c r="A128" s="79" t="s">
        <v>43</v>
      </c>
      <c r="B128" s="44">
        <v>29.0</v>
      </c>
      <c r="C128" s="44" t="s">
        <v>158</v>
      </c>
      <c r="D128" s="44" t="s">
        <v>488</v>
      </c>
      <c r="E128" s="44">
        <v>3.0</v>
      </c>
      <c r="F128" s="35">
        <f>'247_2023'!E127</f>
        <v>3</v>
      </c>
      <c r="G128" s="56">
        <f>'247_2023'!F127</f>
        <v>0</v>
      </c>
      <c r="H128" s="28">
        <v>295200.0</v>
      </c>
      <c r="I128" s="28">
        <v>885600.0</v>
      </c>
      <c r="J128" s="44" t="s">
        <v>126</v>
      </c>
      <c r="K128" s="44" t="s">
        <v>492</v>
      </c>
      <c r="L128" s="44" t="s">
        <v>421</v>
      </c>
      <c r="M128" s="44" t="s">
        <v>422</v>
      </c>
      <c r="N128" s="44" t="s">
        <v>423</v>
      </c>
      <c r="O128" s="34" t="s">
        <v>424</v>
      </c>
      <c r="P128" s="44">
        <v>1319.0</v>
      </c>
      <c r="Q128" s="63">
        <v>45653.0</v>
      </c>
      <c r="R128" s="44" t="s">
        <v>31</v>
      </c>
    </row>
    <row r="129" hidden="1">
      <c r="A129" s="77" t="s">
        <v>43</v>
      </c>
      <c r="B129" s="59">
        <v>29.0</v>
      </c>
      <c r="C129" s="59" t="s">
        <v>158</v>
      </c>
      <c r="D129" s="59" t="s">
        <v>488</v>
      </c>
      <c r="E129" s="59">
        <v>1.0</v>
      </c>
      <c r="F129" s="52">
        <f>'247_2023'!E128</f>
        <v>1</v>
      </c>
      <c r="G129" s="67">
        <f>'247_2023'!F128</f>
        <v>0</v>
      </c>
      <c r="H129" s="46">
        <v>295200.0</v>
      </c>
      <c r="I129" s="46">
        <v>295200.0</v>
      </c>
      <c r="J129" s="59" t="s">
        <v>96</v>
      </c>
      <c r="K129" s="59" t="s">
        <v>492</v>
      </c>
      <c r="L129" s="59" t="s">
        <v>421</v>
      </c>
      <c r="M129" s="59" t="s">
        <v>422</v>
      </c>
      <c r="N129" s="59" t="s">
        <v>423</v>
      </c>
      <c r="O129" s="69" t="s">
        <v>424</v>
      </c>
      <c r="P129" s="59">
        <v>1319.0</v>
      </c>
      <c r="Q129" s="70">
        <v>45653.0</v>
      </c>
      <c r="R129" s="59" t="s">
        <v>31</v>
      </c>
    </row>
    <row r="130" hidden="1">
      <c r="A130" s="79" t="s">
        <v>43</v>
      </c>
      <c r="B130" s="44">
        <v>29.0</v>
      </c>
      <c r="C130" s="44" t="s">
        <v>158</v>
      </c>
      <c r="D130" s="44" t="s">
        <v>488</v>
      </c>
      <c r="E130" s="44">
        <v>1.0</v>
      </c>
      <c r="F130" s="35">
        <f>'247_2023'!E129</f>
        <v>1</v>
      </c>
      <c r="G130" s="56">
        <f>'247_2023'!F129</f>
        <v>0</v>
      </c>
      <c r="H130" s="28">
        <v>295200.0</v>
      </c>
      <c r="I130" s="28">
        <v>295200.0</v>
      </c>
      <c r="J130" s="44" t="s">
        <v>286</v>
      </c>
      <c r="K130" s="44" t="s">
        <v>492</v>
      </c>
      <c r="L130" s="44" t="s">
        <v>421</v>
      </c>
      <c r="M130" s="44" t="s">
        <v>422</v>
      </c>
      <c r="N130" s="44" t="s">
        <v>423</v>
      </c>
      <c r="O130" s="34" t="s">
        <v>424</v>
      </c>
      <c r="P130" s="44">
        <v>1319.0</v>
      </c>
      <c r="Q130" s="63">
        <v>45653.0</v>
      </c>
      <c r="R130" s="44" t="s">
        <v>31</v>
      </c>
    </row>
    <row r="131" hidden="1">
      <c r="A131" s="77" t="s">
        <v>43</v>
      </c>
      <c r="B131" s="59">
        <v>29.0</v>
      </c>
      <c r="C131" s="59" t="s">
        <v>158</v>
      </c>
      <c r="D131" s="59" t="s">
        <v>488</v>
      </c>
      <c r="E131" s="59">
        <v>4.0</v>
      </c>
      <c r="F131" s="52">
        <f>'247_2023'!E130</f>
        <v>4</v>
      </c>
      <c r="G131" s="67">
        <f>'247_2023'!F130</f>
        <v>0</v>
      </c>
      <c r="H131" s="46">
        <v>295200.0</v>
      </c>
      <c r="I131" s="46">
        <v>1180800.0</v>
      </c>
      <c r="J131" s="59" t="s">
        <v>89</v>
      </c>
      <c r="K131" s="59" t="s">
        <v>492</v>
      </c>
      <c r="L131" s="59" t="s">
        <v>421</v>
      </c>
      <c r="M131" s="59" t="s">
        <v>422</v>
      </c>
      <c r="N131" s="59" t="s">
        <v>423</v>
      </c>
      <c r="O131" s="69" t="s">
        <v>424</v>
      </c>
      <c r="P131" s="59">
        <v>1319.0</v>
      </c>
      <c r="Q131" s="70">
        <v>45653.0</v>
      </c>
      <c r="R131" s="59" t="s">
        <v>31</v>
      </c>
    </row>
    <row r="132" hidden="1">
      <c r="A132" s="79" t="s">
        <v>43</v>
      </c>
      <c r="B132" s="44">
        <v>29.0</v>
      </c>
      <c r="C132" s="44" t="s">
        <v>158</v>
      </c>
      <c r="D132" s="44" t="s">
        <v>488</v>
      </c>
      <c r="E132" s="44">
        <v>1.0</v>
      </c>
      <c r="F132" s="35">
        <f>'247_2023'!E131</f>
        <v>1</v>
      </c>
      <c r="G132" s="56">
        <f>'247_2023'!F131</f>
        <v>0</v>
      </c>
      <c r="H132" s="28">
        <v>295200.0</v>
      </c>
      <c r="I132" s="28">
        <v>295200.0</v>
      </c>
      <c r="J132" s="44" t="s">
        <v>179</v>
      </c>
      <c r="K132" s="44" t="s">
        <v>492</v>
      </c>
      <c r="L132" s="44" t="s">
        <v>421</v>
      </c>
      <c r="M132" s="44" t="s">
        <v>422</v>
      </c>
      <c r="N132" s="44" t="s">
        <v>423</v>
      </c>
      <c r="O132" s="34" t="s">
        <v>424</v>
      </c>
      <c r="P132" s="44">
        <v>1319.0</v>
      </c>
      <c r="Q132" s="63">
        <v>45653.0</v>
      </c>
      <c r="R132" s="44" t="s">
        <v>31</v>
      </c>
    </row>
    <row r="133" hidden="1">
      <c r="A133" s="77" t="s">
        <v>43</v>
      </c>
      <c r="B133" s="59">
        <v>29.0</v>
      </c>
      <c r="C133" s="59" t="s">
        <v>158</v>
      </c>
      <c r="D133" s="59" t="s">
        <v>488</v>
      </c>
      <c r="E133" s="59">
        <v>3.0</v>
      </c>
      <c r="F133" s="52">
        <f>'247_2023'!E132</f>
        <v>3</v>
      </c>
      <c r="G133" s="67">
        <f>'247_2023'!F132</f>
        <v>0</v>
      </c>
      <c r="H133" s="46">
        <v>295200.0</v>
      </c>
      <c r="I133" s="46">
        <v>885600.0</v>
      </c>
      <c r="J133" s="59" t="s">
        <v>202</v>
      </c>
      <c r="K133" s="59" t="s">
        <v>492</v>
      </c>
      <c r="L133" s="59" t="s">
        <v>421</v>
      </c>
      <c r="M133" s="59" t="s">
        <v>422</v>
      </c>
      <c r="N133" s="59" t="s">
        <v>423</v>
      </c>
      <c r="O133" s="69" t="s">
        <v>424</v>
      </c>
      <c r="P133" s="59">
        <v>1319.0</v>
      </c>
      <c r="Q133" s="70">
        <v>45653.0</v>
      </c>
      <c r="R133" s="59" t="s">
        <v>31</v>
      </c>
    </row>
    <row r="134" hidden="1">
      <c r="A134" s="79" t="s">
        <v>43</v>
      </c>
      <c r="B134" s="44">
        <v>29.0</v>
      </c>
      <c r="C134" s="44" t="s">
        <v>158</v>
      </c>
      <c r="D134" s="44" t="s">
        <v>488</v>
      </c>
      <c r="E134" s="44">
        <v>2.0</v>
      </c>
      <c r="F134" s="35">
        <f>'247_2023'!E133</f>
        <v>2</v>
      </c>
      <c r="G134" s="56">
        <f>'247_2023'!F133</f>
        <v>0</v>
      </c>
      <c r="H134" s="28">
        <v>295200.0</v>
      </c>
      <c r="I134" s="28">
        <v>590400.0</v>
      </c>
      <c r="J134" s="44" t="s">
        <v>191</v>
      </c>
      <c r="K134" s="44" t="s">
        <v>492</v>
      </c>
      <c r="L134" s="44" t="s">
        <v>421</v>
      </c>
      <c r="M134" s="44" t="s">
        <v>422</v>
      </c>
      <c r="N134" s="44" t="s">
        <v>423</v>
      </c>
      <c r="O134" s="34" t="s">
        <v>424</v>
      </c>
      <c r="P134" s="44">
        <v>1319.0</v>
      </c>
      <c r="Q134" s="63">
        <v>45653.0</v>
      </c>
      <c r="R134" s="44" t="s">
        <v>31</v>
      </c>
    </row>
    <row r="135" hidden="1">
      <c r="A135" s="77" t="s">
        <v>43</v>
      </c>
      <c r="B135" s="59">
        <v>29.0</v>
      </c>
      <c r="C135" s="59" t="s">
        <v>158</v>
      </c>
      <c r="D135" s="59" t="s">
        <v>488</v>
      </c>
      <c r="E135" s="59">
        <v>1.0</v>
      </c>
      <c r="F135" s="52">
        <f>'247_2023'!E134</f>
        <v>1</v>
      </c>
      <c r="G135" s="67">
        <f>'247_2023'!F134</f>
        <v>0</v>
      </c>
      <c r="H135" s="46">
        <v>295200.0</v>
      </c>
      <c r="I135" s="46">
        <v>295200.0</v>
      </c>
      <c r="J135" s="59" t="s">
        <v>201</v>
      </c>
      <c r="K135" s="59" t="s">
        <v>492</v>
      </c>
      <c r="L135" s="59" t="s">
        <v>421</v>
      </c>
      <c r="M135" s="59" t="s">
        <v>422</v>
      </c>
      <c r="N135" s="59" t="s">
        <v>423</v>
      </c>
      <c r="O135" s="69" t="s">
        <v>424</v>
      </c>
      <c r="P135" s="59">
        <v>1319.0</v>
      </c>
      <c r="Q135" s="70">
        <v>45653.0</v>
      </c>
      <c r="R135" s="59" t="s">
        <v>31</v>
      </c>
    </row>
    <row r="136" hidden="1">
      <c r="A136" s="79" t="s">
        <v>43</v>
      </c>
      <c r="B136" s="44">
        <v>30.0</v>
      </c>
      <c r="C136" s="44" t="s">
        <v>159</v>
      </c>
      <c r="D136" s="44" t="s">
        <v>500</v>
      </c>
      <c r="E136" s="44">
        <v>1.0</v>
      </c>
      <c r="F136" s="44" t="s">
        <v>48</v>
      </c>
      <c r="G136" s="56" t="s">
        <v>31</v>
      </c>
      <c r="H136" s="28" t="s">
        <v>31</v>
      </c>
      <c r="I136" s="28" t="s">
        <v>253</v>
      </c>
      <c r="J136" s="108" t="s">
        <v>264</v>
      </c>
      <c r="K136" s="44" t="s">
        <v>48</v>
      </c>
      <c r="L136" s="44" t="s">
        <v>48</v>
      </c>
      <c r="M136" s="44" t="s">
        <v>48</v>
      </c>
      <c r="N136" s="44" t="s">
        <v>31</v>
      </c>
      <c r="O136" s="44" t="s">
        <v>31</v>
      </c>
      <c r="P136" s="44" t="s">
        <v>48</v>
      </c>
      <c r="Q136" s="63" t="s">
        <v>48</v>
      </c>
      <c r="R136" s="44" t="s">
        <v>48</v>
      </c>
    </row>
    <row r="137" hidden="1">
      <c r="A137" s="77" t="s">
        <v>43</v>
      </c>
      <c r="B137" s="59">
        <v>30.0</v>
      </c>
      <c r="C137" s="59" t="s">
        <v>159</v>
      </c>
      <c r="D137" s="59" t="s">
        <v>500</v>
      </c>
      <c r="E137" s="59">
        <v>1.0</v>
      </c>
      <c r="F137" s="59" t="s">
        <v>48</v>
      </c>
      <c r="G137" s="67" t="s">
        <v>31</v>
      </c>
      <c r="H137" s="46" t="s">
        <v>31</v>
      </c>
      <c r="I137" s="46" t="s">
        <v>253</v>
      </c>
      <c r="J137" s="59" t="s">
        <v>58</v>
      </c>
      <c r="K137" s="59" t="s">
        <v>48</v>
      </c>
      <c r="L137" s="59" t="s">
        <v>48</v>
      </c>
      <c r="M137" s="59" t="s">
        <v>48</v>
      </c>
      <c r="N137" s="59" t="s">
        <v>31</v>
      </c>
      <c r="O137" s="59" t="s">
        <v>31</v>
      </c>
      <c r="P137" s="59" t="s">
        <v>48</v>
      </c>
      <c r="Q137" s="70" t="s">
        <v>48</v>
      </c>
      <c r="R137" s="59" t="s">
        <v>48</v>
      </c>
    </row>
    <row r="138" hidden="1">
      <c r="A138" s="79" t="s">
        <v>43</v>
      </c>
      <c r="B138" s="44">
        <v>30.0</v>
      </c>
      <c r="C138" s="44" t="s">
        <v>159</v>
      </c>
      <c r="D138" s="44" t="s">
        <v>500</v>
      </c>
      <c r="E138" s="44">
        <v>1.0</v>
      </c>
      <c r="F138" s="44" t="s">
        <v>48</v>
      </c>
      <c r="G138" s="56" t="s">
        <v>31</v>
      </c>
      <c r="H138" s="28" t="s">
        <v>31</v>
      </c>
      <c r="I138" s="28" t="s">
        <v>253</v>
      </c>
      <c r="J138" s="44" t="s">
        <v>85</v>
      </c>
      <c r="K138" s="44" t="s">
        <v>48</v>
      </c>
      <c r="L138" s="44" t="s">
        <v>48</v>
      </c>
      <c r="M138" s="44" t="s">
        <v>48</v>
      </c>
      <c r="N138" s="44" t="s">
        <v>31</v>
      </c>
      <c r="O138" s="44" t="s">
        <v>31</v>
      </c>
      <c r="P138" s="44" t="s">
        <v>48</v>
      </c>
      <c r="Q138" s="63" t="s">
        <v>48</v>
      </c>
      <c r="R138" s="44" t="s">
        <v>48</v>
      </c>
    </row>
    <row r="139" hidden="1">
      <c r="A139" s="77" t="s">
        <v>43</v>
      </c>
      <c r="B139" s="59">
        <v>30.0</v>
      </c>
      <c r="C139" s="59" t="s">
        <v>159</v>
      </c>
      <c r="D139" s="59" t="s">
        <v>500</v>
      </c>
      <c r="E139" s="59">
        <v>1.0</v>
      </c>
      <c r="F139" s="59" t="s">
        <v>48</v>
      </c>
      <c r="G139" s="67" t="s">
        <v>31</v>
      </c>
      <c r="H139" s="46" t="s">
        <v>31</v>
      </c>
      <c r="I139" s="46" t="s">
        <v>253</v>
      </c>
      <c r="J139" s="59" t="s">
        <v>232</v>
      </c>
      <c r="K139" s="59" t="s">
        <v>48</v>
      </c>
      <c r="L139" s="59" t="s">
        <v>48</v>
      </c>
      <c r="M139" s="59" t="s">
        <v>48</v>
      </c>
      <c r="N139" s="59" t="s">
        <v>31</v>
      </c>
      <c r="O139" s="59" t="s">
        <v>31</v>
      </c>
      <c r="P139" s="59" t="s">
        <v>48</v>
      </c>
      <c r="Q139" s="70" t="s">
        <v>48</v>
      </c>
      <c r="R139" s="59" t="s">
        <v>48</v>
      </c>
    </row>
    <row r="140" hidden="1">
      <c r="A140" s="79" t="s">
        <v>43</v>
      </c>
      <c r="B140" s="44">
        <v>30.0</v>
      </c>
      <c r="C140" s="44" t="s">
        <v>159</v>
      </c>
      <c r="D140" s="44" t="s">
        <v>500</v>
      </c>
      <c r="E140" s="44">
        <v>1.0</v>
      </c>
      <c r="F140" s="44" t="s">
        <v>48</v>
      </c>
      <c r="G140" s="56" t="s">
        <v>31</v>
      </c>
      <c r="H140" s="28" t="s">
        <v>31</v>
      </c>
      <c r="I140" s="28" t="s">
        <v>253</v>
      </c>
      <c r="J140" s="44" t="s">
        <v>103</v>
      </c>
      <c r="K140" s="44" t="s">
        <v>48</v>
      </c>
      <c r="L140" s="44" t="s">
        <v>48</v>
      </c>
      <c r="M140" s="44" t="s">
        <v>48</v>
      </c>
      <c r="N140" s="44" t="s">
        <v>31</v>
      </c>
      <c r="O140" s="44" t="s">
        <v>31</v>
      </c>
      <c r="P140" s="44" t="s">
        <v>48</v>
      </c>
      <c r="Q140" s="63" t="s">
        <v>48</v>
      </c>
      <c r="R140" s="44" t="s">
        <v>48</v>
      </c>
    </row>
    <row r="141" hidden="1">
      <c r="A141" s="77" t="s">
        <v>43</v>
      </c>
      <c r="B141" s="59">
        <v>30.0</v>
      </c>
      <c r="C141" s="59" t="s">
        <v>159</v>
      </c>
      <c r="D141" s="59" t="s">
        <v>500</v>
      </c>
      <c r="E141" s="59">
        <v>1.0</v>
      </c>
      <c r="F141" s="59" t="s">
        <v>48</v>
      </c>
      <c r="G141" s="67" t="s">
        <v>31</v>
      </c>
      <c r="H141" s="46" t="s">
        <v>31</v>
      </c>
      <c r="I141" s="46" t="s">
        <v>253</v>
      </c>
      <c r="J141" s="59" t="s">
        <v>96</v>
      </c>
      <c r="K141" s="59" t="s">
        <v>48</v>
      </c>
      <c r="L141" s="59" t="s">
        <v>48</v>
      </c>
      <c r="M141" s="59" t="s">
        <v>48</v>
      </c>
      <c r="N141" s="59" t="s">
        <v>31</v>
      </c>
      <c r="O141" s="59" t="s">
        <v>31</v>
      </c>
      <c r="P141" s="59" t="s">
        <v>48</v>
      </c>
      <c r="Q141" s="70" t="s">
        <v>48</v>
      </c>
      <c r="R141" s="59" t="s">
        <v>48</v>
      </c>
    </row>
    <row r="142" hidden="1">
      <c r="A142" s="79" t="s">
        <v>43</v>
      </c>
      <c r="B142" s="44">
        <v>30.0</v>
      </c>
      <c r="C142" s="44" t="s">
        <v>159</v>
      </c>
      <c r="D142" s="44" t="s">
        <v>500</v>
      </c>
      <c r="E142" s="44">
        <v>1.0</v>
      </c>
      <c r="F142" s="44" t="s">
        <v>48</v>
      </c>
      <c r="G142" s="56" t="s">
        <v>31</v>
      </c>
      <c r="H142" s="28" t="s">
        <v>31</v>
      </c>
      <c r="I142" s="28" t="s">
        <v>253</v>
      </c>
      <c r="J142" s="44" t="s">
        <v>113</v>
      </c>
      <c r="K142" s="44" t="s">
        <v>48</v>
      </c>
      <c r="L142" s="44" t="s">
        <v>48</v>
      </c>
      <c r="M142" s="44" t="s">
        <v>48</v>
      </c>
      <c r="N142" s="44" t="s">
        <v>31</v>
      </c>
      <c r="O142" s="44" t="s">
        <v>31</v>
      </c>
      <c r="P142" s="44" t="s">
        <v>48</v>
      </c>
      <c r="Q142" s="63" t="s">
        <v>48</v>
      </c>
      <c r="R142" s="44" t="s">
        <v>48</v>
      </c>
    </row>
    <row r="143" hidden="1">
      <c r="A143" s="77" t="s">
        <v>43</v>
      </c>
      <c r="B143" s="59">
        <v>30.0</v>
      </c>
      <c r="C143" s="59" t="s">
        <v>159</v>
      </c>
      <c r="D143" s="59" t="s">
        <v>500</v>
      </c>
      <c r="E143" s="59">
        <v>1.0</v>
      </c>
      <c r="F143" s="59" t="s">
        <v>48</v>
      </c>
      <c r="G143" s="67" t="s">
        <v>31</v>
      </c>
      <c r="H143" s="46" t="s">
        <v>31</v>
      </c>
      <c r="I143" s="46" t="s">
        <v>253</v>
      </c>
      <c r="J143" s="59" t="s">
        <v>134</v>
      </c>
      <c r="K143" s="59" t="s">
        <v>48</v>
      </c>
      <c r="L143" s="59" t="s">
        <v>48</v>
      </c>
      <c r="M143" s="59" t="s">
        <v>48</v>
      </c>
      <c r="N143" s="59" t="s">
        <v>31</v>
      </c>
      <c r="O143" s="59" t="s">
        <v>31</v>
      </c>
      <c r="P143" s="59" t="s">
        <v>48</v>
      </c>
      <c r="Q143" s="70" t="s">
        <v>48</v>
      </c>
      <c r="R143" s="59" t="s">
        <v>48</v>
      </c>
    </row>
    <row r="144" hidden="1">
      <c r="A144" s="79" t="s">
        <v>43</v>
      </c>
      <c r="B144" s="44">
        <v>30.0</v>
      </c>
      <c r="C144" s="44" t="s">
        <v>159</v>
      </c>
      <c r="D144" s="44" t="s">
        <v>500</v>
      </c>
      <c r="E144" s="44">
        <v>1.0</v>
      </c>
      <c r="F144" s="44" t="s">
        <v>48</v>
      </c>
      <c r="G144" s="56" t="s">
        <v>31</v>
      </c>
      <c r="H144" s="28" t="s">
        <v>31</v>
      </c>
      <c r="I144" s="28" t="s">
        <v>253</v>
      </c>
      <c r="J144" s="44" t="s">
        <v>161</v>
      </c>
      <c r="K144" s="44" t="s">
        <v>48</v>
      </c>
      <c r="L144" s="44" t="s">
        <v>48</v>
      </c>
      <c r="M144" s="44" t="s">
        <v>48</v>
      </c>
      <c r="N144" s="44" t="s">
        <v>31</v>
      </c>
      <c r="O144" s="44" t="s">
        <v>31</v>
      </c>
      <c r="P144" s="44" t="s">
        <v>48</v>
      </c>
      <c r="Q144" s="63" t="s">
        <v>48</v>
      </c>
      <c r="R144" s="44" t="s">
        <v>48</v>
      </c>
    </row>
    <row r="145" hidden="1">
      <c r="A145" s="77" t="s">
        <v>43</v>
      </c>
      <c r="B145" s="59">
        <v>30.0</v>
      </c>
      <c r="C145" s="59" t="s">
        <v>159</v>
      </c>
      <c r="D145" s="59" t="s">
        <v>500</v>
      </c>
      <c r="E145" s="59">
        <v>1.0</v>
      </c>
      <c r="F145" s="59" t="s">
        <v>48</v>
      </c>
      <c r="G145" s="67" t="s">
        <v>31</v>
      </c>
      <c r="H145" s="46" t="s">
        <v>31</v>
      </c>
      <c r="I145" s="46" t="s">
        <v>253</v>
      </c>
      <c r="J145" s="59" t="s">
        <v>175</v>
      </c>
      <c r="K145" s="59" t="s">
        <v>48</v>
      </c>
      <c r="L145" s="59" t="s">
        <v>48</v>
      </c>
      <c r="M145" s="59" t="s">
        <v>48</v>
      </c>
      <c r="N145" s="59" t="s">
        <v>31</v>
      </c>
      <c r="O145" s="59" t="s">
        <v>31</v>
      </c>
      <c r="P145" s="59" t="s">
        <v>48</v>
      </c>
      <c r="Q145" s="70" t="s">
        <v>48</v>
      </c>
      <c r="R145" s="59" t="s">
        <v>48</v>
      </c>
    </row>
    <row r="146" hidden="1">
      <c r="A146" s="79" t="s">
        <v>43</v>
      </c>
      <c r="B146" s="44">
        <v>30.0</v>
      </c>
      <c r="C146" s="44" t="s">
        <v>159</v>
      </c>
      <c r="D146" s="44" t="s">
        <v>500</v>
      </c>
      <c r="E146" s="44">
        <v>1.0</v>
      </c>
      <c r="F146" s="44" t="s">
        <v>48</v>
      </c>
      <c r="G146" s="56" t="s">
        <v>31</v>
      </c>
      <c r="H146" s="28" t="s">
        <v>31</v>
      </c>
      <c r="I146" s="28" t="s">
        <v>253</v>
      </c>
      <c r="J146" s="44" t="s">
        <v>188</v>
      </c>
      <c r="K146" s="44" t="s">
        <v>48</v>
      </c>
      <c r="L146" s="44" t="s">
        <v>48</v>
      </c>
      <c r="M146" s="44" t="s">
        <v>48</v>
      </c>
      <c r="N146" s="44" t="s">
        <v>31</v>
      </c>
      <c r="O146" s="44" t="s">
        <v>31</v>
      </c>
      <c r="P146" s="44" t="s">
        <v>48</v>
      </c>
      <c r="Q146" s="63" t="s">
        <v>48</v>
      </c>
      <c r="R146" s="44" t="s">
        <v>48</v>
      </c>
    </row>
    <row r="147" hidden="1">
      <c r="A147" s="77" t="s">
        <v>43</v>
      </c>
      <c r="B147" s="59">
        <v>30.0</v>
      </c>
      <c r="C147" s="59" t="s">
        <v>159</v>
      </c>
      <c r="D147" s="59" t="s">
        <v>500</v>
      </c>
      <c r="E147" s="59">
        <v>1.0</v>
      </c>
      <c r="F147" s="59" t="s">
        <v>48</v>
      </c>
      <c r="G147" s="67" t="s">
        <v>31</v>
      </c>
      <c r="H147" s="46" t="s">
        <v>31</v>
      </c>
      <c r="I147" s="46" t="s">
        <v>253</v>
      </c>
      <c r="J147" s="59" t="s">
        <v>189</v>
      </c>
      <c r="K147" s="59" t="s">
        <v>48</v>
      </c>
      <c r="L147" s="59" t="s">
        <v>48</v>
      </c>
      <c r="M147" s="59" t="s">
        <v>48</v>
      </c>
      <c r="N147" s="59" t="s">
        <v>31</v>
      </c>
      <c r="O147" s="59" t="s">
        <v>31</v>
      </c>
      <c r="P147" s="59" t="s">
        <v>48</v>
      </c>
      <c r="Q147" s="70" t="s">
        <v>48</v>
      </c>
      <c r="R147" s="59" t="s">
        <v>48</v>
      </c>
    </row>
    <row r="148" hidden="1">
      <c r="A148" s="79" t="s">
        <v>43</v>
      </c>
      <c r="B148" s="44">
        <v>30.0</v>
      </c>
      <c r="C148" s="44" t="s">
        <v>159</v>
      </c>
      <c r="D148" s="44" t="s">
        <v>500</v>
      </c>
      <c r="E148" s="44">
        <v>1.0</v>
      </c>
      <c r="F148" s="44" t="s">
        <v>48</v>
      </c>
      <c r="G148" s="56" t="s">
        <v>31</v>
      </c>
      <c r="H148" s="28" t="s">
        <v>31</v>
      </c>
      <c r="I148" s="28" t="s">
        <v>253</v>
      </c>
      <c r="J148" s="44" t="s">
        <v>194</v>
      </c>
      <c r="K148" s="44" t="s">
        <v>48</v>
      </c>
      <c r="L148" s="44" t="s">
        <v>48</v>
      </c>
      <c r="M148" s="44" t="s">
        <v>48</v>
      </c>
      <c r="N148" s="44" t="s">
        <v>31</v>
      </c>
      <c r="O148" s="44" t="s">
        <v>31</v>
      </c>
      <c r="P148" s="44" t="s">
        <v>48</v>
      </c>
      <c r="Q148" s="63" t="s">
        <v>48</v>
      </c>
      <c r="R148" s="44" t="s">
        <v>48</v>
      </c>
    </row>
    <row r="149" hidden="1">
      <c r="A149" s="77" t="s">
        <v>43</v>
      </c>
      <c r="B149" s="59">
        <v>30.0</v>
      </c>
      <c r="C149" s="59" t="s">
        <v>159</v>
      </c>
      <c r="D149" s="59" t="s">
        <v>500</v>
      </c>
      <c r="E149" s="59">
        <v>1.0</v>
      </c>
      <c r="F149" s="59" t="s">
        <v>48</v>
      </c>
      <c r="G149" s="67" t="s">
        <v>31</v>
      </c>
      <c r="H149" s="46" t="s">
        <v>31</v>
      </c>
      <c r="I149" s="46" t="s">
        <v>253</v>
      </c>
      <c r="J149" s="59" t="s">
        <v>199</v>
      </c>
      <c r="K149" s="59" t="s">
        <v>48</v>
      </c>
      <c r="L149" s="59" t="s">
        <v>48</v>
      </c>
      <c r="M149" s="59" t="s">
        <v>48</v>
      </c>
      <c r="N149" s="59" t="s">
        <v>31</v>
      </c>
      <c r="O149" s="59" t="s">
        <v>31</v>
      </c>
      <c r="P149" s="59" t="s">
        <v>48</v>
      </c>
      <c r="Q149" s="70" t="s">
        <v>48</v>
      </c>
      <c r="R149" s="59" t="s">
        <v>48</v>
      </c>
    </row>
    <row r="150" hidden="1">
      <c r="A150" s="79" t="s">
        <v>43</v>
      </c>
      <c r="B150" s="44">
        <v>30.0</v>
      </c>
      <c r="C150" s="44" t="s">
        <v>159</v>
      </c>
      <c r="D150" s="44" t="s">
        <v>500</v>
      </c>
      <c r="E150" s="44">
        <v>1.0</v>
      </c>
      <c r="F150" s="44" t="s">
        <v>48</v>
      </c>
      <c r="G150" s="56" t="s">
        <v>31</v>
      </c>
      <c r="H150" s="28" t="s">
        <v>31</v>
      </c>
      <c r="I150" s="28" t="s">
        <v>253</v>
      </c>
      <c r="J150" s="44" t="s">
        <v>214</v>
      </c>
      <c r="K150" s="44" t="s">
        <v>48</v>
      </c>
      <c r="L150" s="44" t="s">
        <v>48</v>
      </c>
      <c r="M150" s="44" t="s">
        <v>48</v>
      </c>
      <c r="N150" s="44" t="s">
        <v>31</v>
      </c>
      <c r="O150" s="44" t="s">
        <v>31</v>
      </c>
      <c r="P150" s="44" t="s">
        <v>48</v>
      </c>
      <c r="Q150" s="63" t="s">
        <v>48</v>
      </c>
      <c r="R150" s="44" t="s">
        <v>48</v>
      </c>
    </row>
    <row r="151" hidden="1">
      <c r="A151" s="77" t="s">
        <v>46</v>
      </c>
      <c r="B151" s="59">
        <v>1.0</v>
      </c>
      <c r="C151" s="59" t="s">
        <v>45</v>
      </c>
      <c r="D151" s="59" t="s">
        <v>514</v>
      </c>
      <c r="E151" s="59">
        <v>1.0</v>
      </c>
      <c r="F151" s="59" t="s">
        <v>48</v>
      </c>
      <c r="G151" s="67" t="s">
        <v>31</v>
      </c>
      <c r="H151" s="46" t="s">
        <v>31</v>
      </c>
      <c r="I151" s="46" t="s">
        <v>253</v>
      </c>
      <c r="J151" s="59" t="s">
        <v>134</v>
      </c>
      <c r="K151" s="59" t="s">
        <v>48</v>
      </c>
      <c r="L151" s="59" t="s">
        <v>48</v>
      </c>
      <c r="M151" s="59" t="s">
        <v>48</v>
      </c>
      <c r="N151" s="59" t="s">
        <v>48</v>
      </c>
      <c r="O151" s="59" t="s">
        <v>48</v>
      </c>
      <c r="P151" s="59" t="s">
        <v>48</v>
      </c>
      <c r="Q151" s="70" t="s">
        <v>48</v>
      </c>
      <c r="R151" s="59" t="s">
        <v>48</v>
      </c>
    </row>
    <row r="152" hidden="1">
      <c r="A152" s="79" t="s">
        <v>46</v>
      </c>
      <c r="B152" s="44">
        <v>2.0</v>
      </c>
      <c r="C152" s="44" t="s">
        <v>53</v>
      </c>
      <c r="D152" s="44" t="s">
        <v>121</v>
      </c>
      <c r="E152" s="198">
        <v>1.0</v>
      </c>
      <c r="F152" s="198">
        <f>'90060_2024'!E3</f>
        <v>1</v>
      </c>
      <c r="G152" s="105">
        <f>'90060_2024'!F3</f>
        <v>0</v>
      </c>
      <c r="H152" s="28">
        <v>118000.0</v>
      </c>
      <c r="I152" s="28">
        <v>118000.0</v>
      </c>
      <c r="J152" s="44" t="s">
        <v>221</v>
      </c>
      <c r="K152" s="44" t="s">
        <v>515</v>
      </c>
      <c r="L152" s="44" t="s">
        <v>516</v>
      </c>
      <c r="M152" s="44" t="s">
        <v>517</v>
      </c>
      <c r="N152" s="44" t="s">
        <v>518</v>
      </c>
      <c r="O152" s="44" t="s">
        <v>519</v>
      </c>
      <c r="P152" s="44">
        <v>1192.0</v>
      </c>
      <c r="Q152" s="63" t="s">
        <v>54</v>
      </c>
      <c r="R152" s="44" t="s">
        <v>31</v>
      </c>
    </row>
    <row r="153" hidden="1">
      <c r="A153" s="77" t="s">
        <v>46</v>
      </c>
      <c r="B153" s="59">
        <v>2.0</v>
      </c>
      <c r="C153" s="59" t="s">
        <v>53</v>
      </c>
      <c r="D153" s="59" t="s">
        <v>121</v>
      </c>
      <c r="E153" s="167">
        <v>1.0</v>
      </c>
      <c r="F153" s="167">
        <f>'90060_2024'!E4</f>
        <v>1</v>
      </c>
      <c r="G153" s="102">
        <f>'90060_2024'!F4</f>
        <v>0</v>
      </c>
      <c r="H153" s="46">
        <v>118000.0</v>
      </c>
      <c r="I153" s="46">
        <v>118000.0</v>
      </c>
      <c r="J153" s="59" t="s">
        <v>103</v>
      </c>
      <c r="K153" s="59" t="s">
        <v>521</v>
      </c>
      <c r="L153" s="59" t="s">
        <v>516</v>
      </c>
      <c r="M153" s="59" t="s">
        <v>517</v>
      </c>
      <c r="N153" s="59" t="s">
        <v>518</v>
      </c>
      <c r="O153" s="59" t="s">
        <v>519</v>
      </c>
      <c r="P153" s="59" t="s">
        <v>522</v>
      </c>
      <c r="Q153" s="217">
        <v>45847.0</v>
      </c>
      <c r="R153" s="59" t="s">
        <v>31</v>
      </c>
    </row>
    <row r="154" hidden="1">
      <c r="A154" s="79" t="s">
        <v>46</v>
      </c>
      <c r="B154" s="44">
        <v>2.0</v>
      </c>
      <c r="C154" s="44" t="s">
        <v>53</v>
      </c>
      <c r="D154" s="44" t="s">
        <v>121</v>
      </c>
      <c r="E154" s="198">
        <v>1.0</v>
      </c>
      <c r="F154" s="198">
        <f>'90060_2024'!E5</f>
        <v>1</v>
      </c>
      <c r="G154" s="105">
        <f>'90060_2024'!F5</f>
        <v>0</v>
      </c>
      <c r="H154" s="28">
        <v>118000.0</v>
      </c>
      <c r="I154" s="28">
        <v>118000.0</v>
      </c>
      <c r="J154" s="44" t="s">
        <v>117</v>
      </c>
      <c r="K154" s="44" t="s">
        <v>524</v>
      </c>
      <c r="L154" s="44" t="s">
        <v>516</v>
      </c>
      <c r="M154" s="44" t="s">
        <v>517</v>
      </c>
      <c r="N154" s="44" t="s">
        <v>518</v>
      </c>
      <c r="O154" s="44" t="s">
        <v>519</v>
      </c>
      <c r="P154" s="44">
        <v>1192.0</v>
      </c>
      <c r="Q154" s="63" t="s">
        <v>54</v>
      </c>
      <c r="R154" s="44" t="s">
        <v>31</v>
      </c>
    </row>
    <row r="155" hidden="1">
      <c r="A155" s="218" t="s">
        <v>46</v>
      </c>
      <c r="B155" s="219">
        <v>2.0</v>
      </c>
      <c r="C155" s="219" t="s">
        <v>53</v>
      </c>
      <c r="D155" s="219" t="s">
        <v>121</v>
      </c>
      <c r="E155" s="220">
        <v>3.0</v>
      </c>
      <c r="F155" s="221">
        <v>3.0</v>
      </c>
      <c r="G155" s="222">
        <v>0.0</v>
      </c>
      <c r="H155" s="223">
        <v>118000.0</v>
      </c>
      <c r="I155" s="223">
        <v>354000.0</v>
      </c>
      <c r="J155" s="219" t="s">
        <v>167</v>
      </c>
      <c r="K155" s="219" t="s">
        <v>525</v>
      </c>
      <c r="L155" s="219" t="s">
        <v>516</v>
      </c>
      <c r="M155" s="219" t="s">
        <v>517</v>
      </c>
      <c r="N155" s="219" t="s">
        <v>518</v>
      </c>
      <c r="O155" s="219" t="s">
        <v>519</v>
      </c>
      <c r="P155" s="219" t="s">
        <v>522</v>
      </c>
      <c r="Q155" s="224">
        <v>45847.0</v>
      </c>
      <c r="R155" s="225" t="s">
        <v>527</v>
      </c>
      <c r="S155" s="226"/>
      <c r="T155" s="226"/>
      <c r="U155" s="226"/>
      <c r="V155" s="226"/>
      <c r="W155" s="226"/>
      <c r="X155" s="226"/>
      <c r="Y155" s="226"/>
      <c r="Z155" s="226"/>
    </row>
    <row r="156" hidden="1">
      <c r="A156" s="79" t="s">
        <v>46</v>
      </c>
      <c r="B156" s="44">
        <v>2.0</v>
      </c>
      <c r="C156" s="44" t="s">
        <v>53</v>
      </c>
      <c r="D156" s="44" t="s">
        <v>121</v>
      </c>
      <c r="E156" s="198">
        <v>2.0</v>
      </c>
      <c r="F156" s="198">
        <f>'90060_2024'!E7</f>
        <v>2</v>
      </c>
      <c r="G156" s="105">
        <f>'90060_2024'!F7</f>
        <v>0</v>
      </c>
      <c r="H156" s="28">
        <v>118000.0</v>
      </c>
      <c r="I156" s="28">
        <v>236000.0</v>
      </c>
      <c r="J156" s="44" t="s">
        <v>134</v>
      </c>
      <c r="K156" s="44" t="s">
        <v>531</v>
      </c>
      <c r="L156" s="44" t="s">
        <v>516</v>
      </c>
      <c r="M156" s="44" t="s">
        <v>517</v>
      </c>
      <c r="N156" s="44" t="s">
        <v>518</v>
      </c>
      <c r="O156" s="44" t="s">
        <v>519</v>
      </c>
      <c r="P156" s="44">
        <v>1192.0</v>
      </c>
      <c r="Q156" s="63" t="s">
        <v>54</v>
      </c>
      <c r="R156" s="44" t="s">
        <v>31</v>
      </c>
    </row>
    <row r="157" hidden="1">
      <c r="A157" s="77" t="s">
        <v>46</v>
      </c>
      <c r="B157" s="59">
        <v>3.0</v>
      </c>
      <c r="C157" s="59" t="s">
        <v>64</v>
      </c>
      <c r="D157" s="59" t="s">
        <v>224</v>
      </c>
      <c r="E157" s="167">
        <v>3.0</v>
      </c>
      <c r="F157" s="227">
        <f>'90060_2024'!E8</f>
        <v>3</v>
      </c>
      <c r="G157" s="102">
        <f>'90060_2024'!F8</f>
        <v>0</v>
      </c>
      <c r="H157" s="46">
        <v>109400.0</v>
      </c>
      <c r="I157" s="46">
        <v>328200.0</v>
      </c>
      <c r="J157" s="59" t="s">
        <v>167</v>
      </c>
      <c r="K157" s="59" t="s">
        <v>533</v>
      </c>
      <c r="L157" s="59" t="s">
        <v>516</v>
      </c>
      <c r="M157" s="59" t="s">
        <v>517</v>
      </c>
      <c r="N157" s="59" t="s">
        <v>518</v>
      </c>
      <c r="O157" s="59" t="s">
        <v>519</v>
      </c>
      <c r="P157" s="59" t="s">
        <v>522</v>
      </c>
      <c r="Q157" s="217">
        <v>45847.0</v>
      </c>
      <c r="R157" s="59" t="s">
        <v>31</v>
      </c>
    </row>
    <row r="158" hidden="1">
      <c r="A158" s="79" t="s">
        <v>46</v>
      </c>
      <c r="B158" s="44">
        <v>3.0</v>
      </c>
      <c r="C158" s="44" t="s">
        <v>64</v>
      </c>
      <c r="D158" s="44" t="s">
        <v>224</v>
      </c>
      <c r="E158" s="198">
        <v>1.0</v>
      </c>
      <c r="F158" s="198">
        <f>'90060_2024'!E9</f>
        <v>1</v>
      </c>
      <c r="G158" s="105">
        <f>'90060_2024'!F9</f>
        <v>0</v>
      </c>
      <c r="H158" s="28">
        <v>109400.0</v>
      </c>
      <c r="I158" s="28">
        <v>109400.0</v>
      </c>
      <c r="J158" s="44" t="s">
        <v>228</v>
      </c>
      <c r="K158" s="44" t="s">
        <v>533</v>
      </c>
      <c r="L158" s="44" t="s">
        <v>516</v>
      </c>
      <c r="M158" s="44" t="s">
        <v>517</v>
      </c>
      <c r="N158" s="44" t="s">
        <v>518</v>
      </c>
      <c r="O158" s="44" t="s">
        <v>519</v>
      </c>
      <c r="P158" s="44">
        <v>1192.0</v>
      </c>
      <c r="Q158" s="63" t="s">
        <v>54</v>
      </c>
      <c r="R158" s="44" t="s">
        <v>31</v>
      </c>
    </row>
    <row r="159" hidden="1">
      <c r="A159" s="77" t="s">
        <v>46</v>
      </c>
      <c r="B159" s="59">
        <v>3.0</v>
      </c>
      <c r="C159" s="59" t="s">
        <v>64</v>
      </c>
      <c r="D159" s="59" t="s">
        <v>224</v>
      </c>
      <c r="E159" s="167">
        <v>1.0</v>
      </c>
      <c r="F159" s="167">
        <f>'90060_2024'!E10</f>
        <v>1</v>
      </c>
      <c r="G159" s="102">
        <f>'90060_2024'!F10</f>
        <v>0</v>
      </c>
      <c r="H159" s="46">
        <v>109400.0</v>
      </c>
      <c r="I159" s="46">
        <v>109400.0</v>
      </c>
      <c r="J159" s="59" t="s">
        <v>194</v>
      </c>
      <c r="K159" s="59" t="s">
        <v>533</v>
      </c>
      <c r="L159" s="59" t="s">
        <v>516</v>
      </c>
      <c r="M159" s="59" t="s">
        <v>517</v>
      </c>
      <c r="N159" s="59" t="s">
        <v>518</v>
      </c>
      <c r="O159" s="59" t="s">
        <v>519</v>
      </c>
      <c r="P159" s="59" t="s">
        <v>522</v>
      </c>
      <c r="Q159" s="217">
        <v>45847.0</v>
      </c>
      <c r="R159" s="59" t="s">
        <v>31</v>
      </c>
    </row>
    <row r="160" hidden="1">
      <c r="A160" s="79" t="s">
        <v>46</v>
      </c>
      <c r="B160" s="44">
        <v>3.0</v>
      </c>
      <c r="C160" s="44" t="s">
        <v>64</v>
      </c>
      <c r="D160" s="44" t="s">
        <v>224</v>
      </c>
      <c r="E160" s="198">
        <v>1.0</v>
      </c>
      <c r="F160" s="198">
        <f>'90060_2024'!E11</f>
        <v>1</v>
      </c>
      <c r="G160" s="105">
        <f>'90060_2024'!F11</f>
        <v>0</v>
      </c>
      <c r="H160" s="28">
        <v>109400.0</v>
      </c>
      <c r="I160" s="28">
        <v>109400.0</v>
      </c>
      <c r="J160" s="44" t="s">
        <v>134</v>
      </c>
      <c r="K160" s="44" t="s">
        <v>533</v>
      </c>
      <c r="L160" s="44" t="s">
        <v>516</v>
      </c>
      <c r="M160" s="44" t="s">
        <v>517</v>
      </c>
      <c r="N160" s="44" t="s">
        <v>518</v>
      </c>
      <c r="O160" s="44" t="s">
        <v>519</v>
      </c>
      <c r="P160" s="44">
        <v>1192.0</v>
      </c>
      <c r="Q160" s="63" t="s">
        <v>54</v>
      </c>
      <c r="R160" s="44" t="s">
        <v>31</v>
      </c>
    </row>
    <row r="161" hidden="1">
      <c r="A161" s="77" t="s">
        <v>46</v>
      </c>
      <c r="B161" s="59">
        <v>4.0</v>
      </c>
      <c r="C161" s="59" t="s">
        <v>81</v>
      </c>
      <c r="D161" s="59" t="s">
        <v>25</v>
      </c>
      <c r="E161" s="167">
        <v>1.0</v>
      </c>
      <c r="F161" s="167">
        <f>'90060_2024'!E12</f>
        <v>0</v>
      </c>
      <c r="G161" s="102">
        <f>'90060_2024'!F12</f>
        <v>1</v>
      </c>
      <c r="H161" s="46">
        <v>349800.0</v>
      </c>
      <c r="I161" s="46">
        <v>349800.0</v>
      </c>
      <c r="J161" s="59" t="s">
        <v>134</v>
      </c>
      <c r="K161" s="59" t="s">
        <v>534</v>
      </c>
      <c r="L161" s="59" t="s">
        <v>389</v>
      </c>
      <c r="M161" s="59" t="s">
        <v>535</v>
      </c>
      <c r="N161" s="59" t="s">
        <v>536</v>
      </c>
      <c r="O161" s="69" t="s">
        <v>537</v>
      </c>
      <c r="P161" s="59" t="s">
        <v>538</v>
      </c>
      <c r="Q161" s="70">
        <v>45834.0</v>
      </c>
      <c r="R161" s="59" t="s">
        <v>31</v>
      </c>
    </row>
    <row r="162" hidden="1">
      <c r="A162" s="79" t="s">
        <v>46</v>
      </c>
      <c r="B162" s="44">
        <v>5.0</v>
      </c>
      <c r="C162" s="44" t="s">
        <v>123</v>
      </c>
      <c r="D162" s="44" t="s">
        <v>539</v>
      </c>
      <c r="E162" s="44">
        <v>1.0</v>
      </c>
      <c r="F162" s="198">
        <f>'90060_2024'!E13</f>
        <v>0</v>
      </c>
      <c r="G162" s="105" t="str">
        <f>'90060_2024'!F13</f>
        <v>x</v>
      </c>
      <c r="H162" s="28" t="s">
        <v>31</v>
      </c>
      <c r="I162" s="28" t="s">
        <v>253</v>
      </c>
      <c r="J162" s="44" t="s">
        <v>134</v>
      </c>
      <c r="K162" s="44" t="s">
        <v>48</v>
      </c>
      <c r="L162" s="44" t="s">
        <v>48</v>
      </c>
      <c r="M162" s="44" t="s">
        <v>48</v>
      </c>
      <c r="N162" s="44" t="s">
        <v>48</v>
      </c>
      <c r="O162" s="44" t="s">
        <v>48</v>
      </c>
      <c r="P162" s="44" t="s">
        <v>48</v>
      </c>
      <c r="Q162" s="63" t="s">
        <v>48</v>
      </c>
      <c r="R162" s="44" t="s">
        <v>48</v>
      </c>
    </row>
    <row r="163" hidden="1">
      <c r="A163" s="77" t="s">
        <v>46</v>
      </c>
      <c r="B163" s="59">
        <v>6.0</v>
      </c>
      <c r="C163" s="59" t="s">
        <v>83</v>
      </c>
      <c r="D163" s="59" t="s">
        <v>251</v>
      </c>
      <c r="E163" s="167">
        <v>1.0</v>
      </c>
      <c r="F163" s="167">
        <f>'90060_2024'!E14</f>
        <v>0</v>
      </c>
      <c r="G163" s="102">
        <f>'90060_2024'!F14</f>
        <v>1</v>
      </c>
      <c r="H163" s="46">
        <v>124899.0</v>
      </c>
      <c r="I163" s="46">
        <v>124899.0</v>
      </c>
      <c r="J163" s="59" t="s">
        <v>221</v>
      </c>
      <c r="K163" s="59" t="s">
        <v>540</v>
      </c>
      <c r="L163" s="59" t="s">
        <v>541</v>
      </c>
      <c r="M163" s="59" t="s">
        <v>542</v>
      </c>
      <c r="N163" s="59" t="s">
        <v>543</v>
      </c>
      <c r="O163" s="69" t="s">
        <v>544</v>
      </c>
      <c r="P163" s="59">
        <v>1196.0</v>
      </c>
      <c r="Q163" s="70">
        <v>45834.0</v>
      </c>
      <c r="R163" s="59" t="s">
        <v>31</v>
      </c>
    </row>
    <row r="164" hidden="1">
      <c r="A164" s="79" t="s">
        <v>46</v>
      </c>
      <c r="B164" s="44">
        <v>6.0</v>
      </c>
      <c r="C164" s="44" t="s">
        <v>83</v>
      </c>
      <c r="D164" s="44" t="s">
        <v>251</v>
      </c>
      <c r="E164" s="198">
        <v>1.0</v>
      </c>
      <c r="F164" s="198">
        <f>'90060_2024'!E15</f>
        <v>0</v>
      </c>
      <c r="G164" s="105">
        <f>'90060_2024'!F15</f>
        <v>1</v>
      </c>
      <c r="H164" s="28">
        <v>124899.0</v>
      </c>
      <c r="I164" s="28">
        <v>124899.0</v>
      </c>
      <c r="J164" s="44" t="s">
        <v>179</v>
      </c>
      <c r="K164" s="44" t="s">
        <v>540</v>
      </c>
      <c r="L164" s="44" t="s">
        <v>541</v>
      </c>
      <c r="M164" s="44" t="s">
        <v>542</v>
      </c>
      <c r="N164" s="44" t="s">
        <v>543</v>
      </c>
      <c r="O164" s="34" t="s">
        <v>544</v>
      </c>
      <c r="P164" s="44">
        <v>1196.0</v>
      </c>
      <c r="Q164" s="63" t="s">
        <v>84</v>
      </c>
      <c r="R164" s="44" t="s">
        <v>31</v>
      </c>
    </row>
    <row r="165" hidden="1">
      <c r="A165" s="77" t="s">
        <v>46</v>
      </c>
      <c r="B165" s="59">
        <v>6.0</v>
      </c>
      <c r="C165" s="59" t="s">
        <v>83</v>
      </c>
      <c r="D165" s="59" t="s">
        <v>251</v>
      </c>
      <c r="E165" s="167">
        <v>4.0</v>
      </c>
      <c r="F165" s="167">
        <f>'90060_2024'!E16</f>
        <v>0</v>
      </c>
      <c r="G165" s="102">
        <f>'90060_2024'!F16</f>
        <v>4</v>
      </c>
      <c r="H165" s="46">
        <v>124899.0</v>
      </c>
      <c r="I165" s="46">
        <v>499596.0</v>
      </c>
      <c r="J165" s="59" t="s">
        <v>167</v>
      </c>
      <c r="K165" s="59" t="s">
        <v>540</v>
      </c>
      <c r="L165" s="59" t="s">
        <v>541</v>
      </c>
      <c r="M165" s="59" t="s">
        <v>542</v>
      </c>
      <c r="N165" s="59" t="s">
        <v>543</v>
      </c>
      <c r="O165" s="69" t="s">
        <v>544</v>
      </c>
      <c r="P165" s="59">
        <v>1196.0</v>
      </c>
      <c r="Q165" s="70" t="s">
        <v>84</v>
      </c>
      <c r="R165" s="59" t="s">
        <v>31</v>
      </c>
    </row>
    <row r="166" hidden="1">
      <c r="A166" s="79" t="s">
        <v>46</v>
      </c>
      <c r="B166" s="44">
        <v>6.0</v>
      </c>
      <c r="C166" s="44" t="s">
        <v>83</v>
      </c>
      <c r="D166" s="44" t="s">
        <v>251</v>
      </c>
      <c r="E166" s="198">
        <v>1.0</v>
      </c>
      <c r="F166" s="198">
        <f>'90060_2024'!E17</f>
        <v>0</v>
      </c>
      <c r="G166" s="105">
        <f>'90060_2024'!F17</f>
        <v>1</v>
      </c>
      <c r="H166" s="28">
        <v>124899.0</v>
      </c>
      <c r="I166" s="28">
        <v>124899.0</v>
      </c>
      <c r="J166" s="44" t="s">
        <v>202</v>
      </c>
      <c r="K166" s="44" t="s">
        <v>540</v>
      </c>
      <c r="L166" s="44" t="s">
        <v>541</v>
      </c>
      <c r="M166" s="44" t="s">
        <v>542</v>
      </c>
      <c r="N166" s="44" t="s">
        <v>543</v>
      </c>
      <c r="O166" s="34" t="s">
        <v>544</v>
      </c>
      <c r="P166" s="44">
        <v>1196.0</v>
      </c>
      <c r="Q166" s="63" t="s">
        <v>84</v>
      </c>
      <c r="R166" s="44" t="s">
        <v>31</v>
      </c>
    </row>
    <row r="167" hidden="1">
      <c r="A167" s="77" t="s">
        <v>46</v>
      </c>
      <c r="B167" s="59">
        <v>6.0</v>
      </c>
      <c r="C167" s="59" t="s">
        <v>83</v>
      </c>
      <c r="D167" s="59" t="s">
        <v>251</v>
      </c>
      <c r="E167" s="167">
        <v>1.0</v>
      </c>
      <c r="F167" s="167">
        <f>'90060_2024'!E18</f>
        <v>0</v>
      </c>
      <c r="G167" s="102">
        <f>'90060_2024'!F18</f>
        <v>1</v>
      </c>
      <c r="H167" s="46">
        <v>124899.0</v>
      </c>
      <c r="I167" s="46">
        <v>124899.0</v>
      </c>
      <c r="J167" s="59" t="s">
        <v>111</v>
      </c>
      <c r="K167" s="59" t="s">
        <v>540</v>
      </c>
      <c r="L167" s="59" t="s">
        <v>541</v>
      </c>
      <c r="M167" s="59" t="s">
        <v>542</v>
      </c>
      <c r="N167" s="59" t="s">
        <v>543</v>
      </c>
      <c r="O167" s="69" t="s">
        <v>544</v>
      </c>
      <c r="P167" s="59">
        <v>1196.0</v>
      </c>
      <c r="Q167" s="70" t="s">
        <v>84</v>
      </c>
      <c r="R167" s="59" t="s">
        <v>31</v>
      </c>
    </row>
    <row r="168" hidden="1">
      <c r="A168" s="79" t="s">
        <v>46</v>
      </c>
      <c r="B168" s="44">
        <v>7.0</v>
      </c>
      <c r="C168" s="44" t="s">
        <v>87</v>
      </c>
      <c r="D168" s="44" t="s">
        <v>553</v>
      </c>
      <c r="E168" s="198">
        <v>1.0</v>
      </c>
      <c r="F168" s="198">
        <f>'90060_2024'!E19</f>
        <v>0</v>
      </c>
      <c r="G168" s="105">
        <f>'90060_2024'!F19</f>
        <v>1</v>
      </c>
      <c r="H168" s="28" t="s">
        <v>31</v>
      </c>
      <c r="I168" s="28" t="s">
        <v>253</v>
      </c>
      <c r="J168" s="44" t="s">
        <v>134</v>
      </c>
      <c r="K168" s="44" t="s">
        <v>48</v>
      </c>
      <c r="L168" s="44" t="s">
        <v>48</v>
      </c>
      <c r="M168" s="44" t="s">
        <v>48</v>
      </c>
      <c r="N168" s="44" t="s">
        <v>48</v>
      </c>
      <c r="O168" s="44" t="s">
        <v>48</v>
      </c>
      <c r="P168" s="44" t="s">
        <v>48</v>
      </c>
      <c r="Q168" s="63" t="s">
        <v>48</v>
      </c>
      <c r="R168" s="44" t="s">
        <v>48</v>
      </c>
    </row>
    <row r="169" hidden="1">
      <c r="A169" s="77" t="s">
        <v>46</v>
      </c>
      <c r="B169" s="59">
        <v>8.0</v>
      </c>
      <c r="C169" s="59" t="s">
        <v>91</v>
      </c>
      <c r="D169" s="59" t="s">
        <v>261</v>
      </c>
      <c r="E169" s="167">
        <v>2.0</v>
      </c>
      <c r="F169" s="167">
        <f>'90060_2024'!E20</f>
        <v>2</v>
      </c>
      <c r="G169" s="102">
        <f>'90060_2024'!F20</f>
        <v>0</v>
      </c>
      <c r="H169" s="46">
        <v>177002.58</v>
      </c>
      <c r="I169" s="46">
        <v>354005.16</v>
      </c>
      <c r="J169" s="59" t="s">
        <v>134</v>
      </c>
      <c r="K169" s="59" t="s">
        <v>557</v>
      </c>
      <c r="L169" s="59" t="s">
        <v>558</v>
      </c>
      <c r="M169" s="59" t="s">
        <v>559</v>
      </c>
      <c r="N169" s="59" t="s">
        <v>560</v>
      </c>
      <c r="O169" s="69" t="s">
        <v>561</v>
      </c>
      <c r="P169" s="59">
        <v>1197.0</v>
      </c>
      <c r="Q169" s="70">
        <v>45840.0</v>
      </c>
      <c r="R169" s="59" t="s">
        <v>31</v>
      </c>
    </row>
    <row r="170" hidden="1">
      <c r="A170" s="79" t="s">
        <v>46</v>
      </c>
      <c r="B170" s="44">
        <v>8.0</v>
      </c>
      <c r="C170" s="44" t="s">
        <v>91</v>
      </c>
      <c r="D170" s="44" t="s">
        <v>261</v>
      </c>
      <c r="E170" s="198">
        <v>4.0</v>
      </c>
      <c r="F170" s="198">
        <f>'90060_2024'!E21</f>
        <v>4</v>
      </c>
      <c r="G170" s="105">
        <f>'90060_2024'!F21</f>
        <v>0</v>
      </c>
      <c r="H170" s="28">
        <v>177002.58</v>
      </c>
      <c r="I170" s="28">
        <v>708010.32</v>
      </c>
      <c r="J170" s="44" t="s">
        <v>167</v>
      </c>
      <c r="K170" s="44" t="s">
        <v>563</v>
      </c>
      <c r="L170" s="44" t="s">
        <v>564</v>
      </c>
      <c r="M170" s="44" t="s">
        <v>559</v>
      </c>
      <c r="N170" s="44" t="s">
        <v>560</v>
      </c>
      <c r="O170" s="34" t="s">
        <v>561</v>
      </c>
      <c r="P170" s="44">
        <v>1197.0</v>
      </c>
      <c r="Q170" s="63">
        <v>45840.0</v>
      </c>
      <c r="R170" s="44" t="s">
        <v>31</v>
      </c>
    </row>
    <row r="171" hidden="1">
      <c r="A171" s="77" t="s">
        <v>46</v>
      </c>
      <c r="B171" s="59">
        <v>8.0</v>
      </c>
      <c r="C171" s="59" t="s">
        <v>91</v>
      </c>
      <c r="D171" s="59" t="s">
        <v>261</v>
      </c>
      <c r="E171" s="167">
        <v>1.0</v>
      </c>
      <c r="F171" s="167">
        <f>'90060_2024'!E22</f>
        <v>1</v>
      </c>
      <c r="G171" s="102">
        <f>'90060_2024'!F22</f>
        <v>0</v>
      </c>
      <c r="H171" s="46">
        <v>177002.58</v>
      </c>
      <c r="I171" s="46">
        <v>177002.58</v>
      </c>
      <c r="J171" s="59" t="s">
        <v>272</v>
      </c>
      <c r="K171" s="59" t="s">
        <v>565</v>
      </c>
      <c r="L171" s="59" t="s">
        <v>566</v>
      </c>
      <c r="M171" s="59" t="s">
        <v>559</v>
      </c>
      <c r="N171" s="59" t="s">
        <v>560</v>
      </c>
      <c r="O171" s="69" t="s">
        <v>561</v>
      </c>
      <c r="P171" s="59">
        <v>1197.0</v>
      </c>
      <c r="Q171" s="70">
        <v>45840.0</v>
      </c>
      <c r="R171" s="59" t="s">
        <v>31</v>
      </c>
    </row>
    <row r="172" hidden="1">
      <c r="A172" s="79" t="s">
        <v>46</v>
      </c>
      <c r="B172" s="44">
        <v>9.0</v>
      </c>
      <c r="C172" s="44" t="s">
        <v>101</v>
      </c>
      <c r="D172" s="44" t="s">
        <v>278</v>
      </c>
      <c r="E172" s="198">
        <v>13.0</v>
      </c>
      <c r="F172" s="198">
        <f>'90060_2024'!E24</f>
        <v>13</v>
      </c>
      <c r="G172" s="105">
        <f>'90060_2024'!F24</f>
        <v>0</v>
      </c>
      <c r="H172" s="28">
        <v>22299.0</v>
      </c>
      <c r="I172" s="28">
        <v>289887.0</v>
      </c>
      <c r="J172" s="44" t="s">
        <v>167</v>
      </c>
      <c r="K172" s="44" t="s">
        <v>568</v>
      </c>
      <c r="L172" s="44" t="s">
        <v>569</v>
      </c>
      <c r="M172" s="44" t="s">
        <v>570</v>
      </c>
      <c r="N172" s="44" t="s">
        <v>571</v>
      </c>
      <c r="O172" s="34" t="s">
        <v>572</v>
      </c>
      <c r="P172" s="44">
        <v>1195.0</v>
      </c>
      <c r="Q172" s="63">
        <v>45834.0</v>
      </c>
      <c r="R172" s="44" t="s">
        <v>31</v>
      </c>
    </row>
    <row r="173" hidden="1">
      <c r="A173" s="77" t="s">
        <v>46</v>
      </c>
      <c r="B173" s="59">
        <v>10.0</v>
      </c>
      <c r="C173" s="59" t="s">
        <v>109</v>
      </c>
      <c r="D173" s="59" t="s">
        <v>293</v>
      </c>
      <c r="E173" s="167">
        <v>1.0</v>
      </c>
      <c r="F173" s="167">
        <f>'90060_2024'!E25</f>
        <v>1</v>
      </c>
      <c r="G173" s="102">
        <f>'90060_2024'!F25</f>
        <v>0</v>
      </c>
      <c r="H173" s="46">
        <v>386000.0</v>
      </c>
      <c r="I173" s="46">
        <v>386000.0</v>
      </c>
      <c r="J173" s="59" t="s">
        <v>58</v>
      </c>
      <c r="K173" s="59" t="s">
        <v>573</v>
      </c>
      <c r="L173" s="59" t="s">
        <v>574</v>
      </c>
      <c r="M173" s="59" t="s">
        <v>575</v>
      </c>
      <c r="N173" s="59" t="s">
        <v>576</v>
      </c>
      <c r="O173" s="69" t="s">
        <v>577</v>
      </c>
      <c r="P173" s="59">
        <v>1194.0</v>
      </c>
      <c r="Q173" s="70">
        <v>45834.0</v>
      </c>
      <c r="R173" s="59" t="s">
        <v>578</v>
      </c>
    </row>
    <row r="174" hidden="1">
      <c r="A174" s="79" t="s">
        <v>46</v>
      </c>
      <c r="B174" s="44">
        <v>10.0</v>
      </c>
      <c r="C174" s="44" t="s">
        <v>109</v>
      </c>
      <c r="D174" s="44" t="s">
        <v>293</v>
      </c>
      <c r="E174" s="198">
        <v>1.0</v>
      </c>
      <c r="F174" s="198">
        <f>'90060_2024'!E26</f>
        <v>1</v>
      </c>
      <c r="G174" s="105">
        <f>'90060_2024'!F26</f>
        <v>0</v>
      </c>
      <c r="H174" s="28">
        <v>386000.0</v>
      </c>
      <c r="I174" s="28">
        <v>386000.0</v>
      </c>
      <c r="J174" s="44" t="s">
        <v>103</v>
      </c>
      <c r="K174" s="44" t="s">
        <v>573</v>
      </c>
      <c r="L174" s="44" t="s">
        <v>574</v>
      </c>
      <c r="M174" s="44" t="s">
        <v>575</v>
      </c>
      <c r="N174" s="44" t="s">
        <v>576</v>
      </c>
      <c r="O174" s="34" t="s">
        <v>577</v>
      </c>
      <c r="P174" s="44">
        <v>1194.0</v>
      </c>
      <c r="Q174" s="63">
        <v>45834.0</v>
      </c>
      <c r="R174" s="44" t="s">
        <v>579</v>
      </c>
    </row>
    <row r="175" hidden="1">
      <c r="A175" s="77" t="s">
        <v>46</v>
      </c>
      <c r="B175" s="59">
        <v>10.0</v>
      </c>
      <c r="C175" s="59" t="s">
        <v>109</v>
      </c>
      <c r="D175" s="59" t="s">
        <v>293</v>
      </c>
      <c r="E175" s="167">
        <v>1.0</v>
      </c>
      <c r="F175" s="167">
        <f>'90060_2024'!E27</f>
        <v>1</v>
      </c>
      <c r="G175" s="102">
        <f>'90060_2024'!F27</f>
        <v>0</v>
      </c>
      <c r="H175" s="46">
        <v>386000.0</v>
      </c>
      <c r="I175" s="46">
        <v>386000.0</v>
      </c>
      <c r="J175" s="59" t="s">
        <v>96</v>
      </c>
      <c r="K175" s="59" t="s">
        <v>573</v>
      </c>
      <c r="L175" s="59" t="s">
        <v>574</v>
      </c>
      <c r="M175" s="59" t="s">
        <v>575</v>
      </c>
      <c r="N175" s="59" t="s">
        <v>576</v>
      </c>
      <c r="O175" s="69" t="s">
        <v>577</v>
      </c>
      <c r="P175" s="59">
        <v>1194.0</v>
      </c>
      <c r="Q175" s="70">
        <v>45834.0</v>
      </c>
      <c r="R175" s="59" t="s">
        <v>580</v>
      </c>
    </row>
    <row r="176" hidden="1">
      <c r="A176" s="79" t="s">
        <v>46</v>
      </c>
      <c r="B176" s="44">
        <v>10.0</v>
      </c>
      <c r="C176" s="44" t="s">
        <v>109</v>
      </c>
      <c r="D176" s="44" t="s">
        <v>293</v>
      </c>
      <c r="E176" s="198">
        <v>1.0</v>
      </c>
      <c r="F176" s="198">
        <f>'90060_2024'!E28</f>
        <v>1</v>
      </c>
      <c r="G176" s="105">
        <f>'90060_2024'!F28</f>
        <v>0</v>
      </c>
      <c r="H176" s="28">
        <v>386000.0</v>
      </c>
      <c r="I176" s="28">
        <v>386000.0</v>
      </c>
      <c r="J176" s="44" t="s">
        <v>276</v>
      </c>
      <c r="K176" s="44" t="s">
        <v>573</v>
      </c>
      <c r="L176" s="44" t="s">
        <v>574</v>
      </c>
      <c r="M176" s="44" t="s">
        <v>575</v>
      </c>
      <c r="N176" s="44" t="s">
        <v>576</v>
      </c>
      <c r="O176" s="34" t="s">
        <v>577</v>
      </c>
      <c r="P176" s="44">
        <v>1194.0</v>
      </c>
      <c r="Q176" s="63">
        <v>45834.0</v>
      </c>
      <c r="R176" s="44" t="s">
        <v>581</v>
      </c>
    </row>
    <row r="177" hidden="1">
      <c r="A177" s="77" t="s">
        <v>46</v>
      </c>
      <c r="B177" s="59">
        <v>10.0</v>
      </c>
      <c r="C177" s="59" t="s">
        <v>109</v>
      </c>
      <c r="D177" s="59" t="s">
        <v>293</v>
      </c>
      <c r="E177" s="167">
        <v>1.0</v>
      </c>
      <c r="F177" s="167">
        <f>'90060_2024'!E29</f>
        <v>1</v>
      </c>
      <c r="G177" s="102">
        <f>'90060_2024'!F29</f>
        <v>0</v>
      </c>
      <c r="H177" s="46">
        <v>386000.0</v>
      </c>
      <c r="I177" s="46">
        <v>386000.0</v>
      </c>
      <c r="J177" s="59" t="s">
        <v>134</v>
      </c>
      <c r="K177" s="59" t="s">
        <v>573</v>
      </c>
      <c r="L177" s="59" t="s">
        <v>574</v>
      </c>
      <c r="M177" s="59" t="s">
        <v>575</v>
      </c>
      <c r="N177" s="59" t="s">
        <v>576</v>
      </c>
      <c r="O177" s="69" t="s">
        <v>577</v>
      </c>
      <c r="P177" s="59">
        <v>1194.0</v>
      </c>
      <c r="Q177" s="70">
        <v>45834.0</v>
      </c>
      <c r="R177" s="59" t="s">
        <v>31</v>
      </c>
    </row>
    <row r="178" hidden="1">
      <c r="A178" s="79" t="s">
        <v>46</v>
      </c>
      <c r="B178" s="44">
        <v>11.0</v>
      </c>
      <c r="C178" s="44" t="s">
        <v>116</v>
      </c>
      <c r="D178" s="44" t="s">
        <v>305</v>
      </c>
      <c r="E178" s="198">
        <v>1.0</v>
      </c>
      <c r="F178" s="198">
        <f>'90060_2024'!E30</f>
        <v>1</v>
      </c>
      <c r="G178" s="105">
        <f>'90060_2024'!F30</f>
        <v>0</v>
      </c>
      <c r="H178" s="28">
        <v>275000.0</v>
      </c>
      <c r="I178" s="28">
        <v>275000.0</v>
      </c>
      <c r="J178" s="44" t="s">
        <v>160</v>
      </c>
      <c r="K178" s="44" t="s">
        <v>587</v>
      </c>
      <c r="L178" s="44" t="s">
        <v>389</v>
      </c>
      <c r="M178" s="44" t="s">
        <v>535</v>
      </c>
      <c r="N178" s="44" t="s">
        <v>536</v>
      </c>
      <c r="O178" s="34" t="s">
        <v>537</v>
      </c>
      <c r="P178" s="44">
        <v>1190.0</v>
      </c>
      <c r="Q178" s="63">
        <v>45834.0</v>
      </c>
      <c r="R178" s="44" t="s">
        <v>31</v>
      </c>
    </row>
    <row r="179" hidden="1">
      <c r="A179" s="77" t="s">
        <v>46</v>
      </c>
      <c r="B179" s="59">
        <v>11.0</v>
      </c>
      <c r="C179" s="59" t="s">
        <v>116</v>
      </c>
      <c r="D179" s="59" t="s">
        <v>305</v>
      </c>
      <c r="E179" s="167">
        <v>1.0</v>
      </c>
      <c r="F179" s="167">
        <f>'90060_2024'!E31</f>
        <v>1</v>
      </c>
      <c r="G179" s="102">
        <f>'90060_2024'!F31</f>
        <v>0</v>
      </c>
      <c r="H179" s="46">
        <v>275000.0</v>
      </c>
      <c r="I179" s="46">
        <v>275000.0</v>
      </c>
      <c r="J179" s="59" t="s">
        <v>134</v>
      </c>
      <c r="K179" s="59" t="s">
        <v>587</v>
      </c>
      <c r="L179" s="59" t="s">
        <v>389</v>
      </c>
      <c r="M179" s="59" t="s">
        <v>535</v>
      </c>
      <c r="N179" s="59" t="s">
        <v>536</v>
      </c>
      <c r="O179" s="69" t="s">
        <v>537</v>
      </c>
      <c r="P179" s="59">
        <v>1190.0</v>
      </c>
      <c r="Q179" s="70">
        <v>45834.0</v>
      </c>
      <c r="R179" s="59" t="s">
        <v>31</v>
      </c>
    </row>
    <row r="180" hidden="1">
      <c r="A180" s="79" t="s">
        <v>46</v>
      </c>
      <c r="B180" s="44">
        <v>12.0</v>
      </c>
      <c r="C180" s="44" t="s">
        <v>144</v>
      </c>
      <c r="D180" s="44" t="s">
        <v>49</v>
      </c>
      <c r="E180" s="44">
        <v>1.0</v>
      </c>
      <c r="F180" s="198">
        <f>'90060_2024'!E32</f>
        <v>0</v>
      </c>
      <c r="G180" s="105">
        <f>'90060_2024'!F32</f>
        <v>1</v>
      </c>
      <c r="H180" s="28" t="s">
        <v>31</v>
      </c>
      <c r="I180" s="28" t="s">
        <v>253</v>
      </c>
      <c r="J180" s="44" t="s">
        <v>202</v>
      </c>
      <c r="K180" s="44" t="s">
        <v>48</v>
      </c>
      <c r="L180" s="44" t="s">
        <v>48</v>
      </c>
      <c r="M180" s="44" t="s">
        <v>48</v>
      </c>
      <c r="N180" s="44" t="s">
        <v>48</v>
      </c>
      <c r="O180" s="44" t="s">
        <v>48</v>
      </c>
      <c r="P180" s="44" t="s">
        <v>48</v>
      </c>
      <c r="Q180" s="63" t="s">
        <v>48</v>
      </c>
      <c r="R180" s="44" t="s">
        <v>48</v>
      </c>
    </row>
    <row r="181" hidden="1">
      <c r="A181" s="77" t="s">
        <v>46</v>
      </c>
      <c r="B181" s="59">
        <v>12.0</v>
      </c>
      <c r="C181" s="59" t="s">
        <v>144</v>
      </c>
      <c r="D181" s="59" t="s">
        <v>49</v>
      </c>
      <c r="E181" s="59">
        <v>1.0</v>
      </c>
      <c r="F181" s="167">
        <f>'90060_2024'!E33</f>
        <v>0</v>
      </c>
      <c r="G181" s="102">
        <f>'90060_2024'!F33</f>
        <v>1</v>
      </c>
      <c r="H181" s="46" t="s">
        <v>31</v>
      </c>
      <c r="I181" s="46" t="s">
        <v>253</v>
      </c>
      <c r="J181" s="59" t="s">
        <v>111</v>
      </c>
      <c r="K181" s="59" t="s">
        <v>48</v>
      </c>
      <c r="L181" s="59" t="s">
        <v>48</v>
      </c>
      <c r="M181" s="59" t="s">
        <v>48</v>
      </c>
      <c r="N181" s="59" t="s">
        <v>48</v>
      </c>
      <c r="O181" s="59" t="s">
        <v>48</v>
      </c>
      <c r="P181" s="59" t="s">
        <v>48</v>
      </c>
      <c r="Q181" s="70" t="s">
        <v>48</v>
      </c>
      <c r="R181" s="59" t="s">
        <v>48</v>
      </c>
    </row>
    <row r="182" hidden="1">
      <c r="A182" s="79" t="s">
        <v>46</v>
      </c>
      <c r="B182" s="44">
        <v>12.0</v>
      </c>
      <c r="C182" s="44" t="s">
        <v>144</v>
      </c>
      <c r="D182" s="44" t="s">
        <v>49</v>
      </c>
      <c r="E182" s="44">
        <v>1.0</v>
      </c>
      <c r="F182" s="198">
        <f>'90060_2024'!E34</f>
        <v>0</v>
      </c>
      <c r="G182" s="105">
        <f>'90060_2024'!F34</f>
        <v>1</v>
      </c>
      <c r="H182" s="28" t="s">
        <v>31</v>
      </c>
      <c r="I182" s="28" t="s">
        <v>253</v>
      </c>
      <c r="J182" s="44" t="s">
        <v>178</v>
      </c>
      <c r="K182" s="44" t="s">
        <v>48</v>
      </c>
      <c r="L182" s="44" t="s">
        <v>48</v>
      </c>
      <c r="M182" s="44" t="s">
        <v>48</v>
      </c>
      <c r="N182" s="44" t="s">
        <v>48</v>
      </c>
      <c r="O182" s="44" t="s">
        <v>48</v>
      </c>
      <c r="P182" s="44" t="s">
        <v>48</v>
      </c>
      <c r="Q182" s="63" t="s">
        <v>48</v>
      </c>
      <c r="R182" s="44" t="s">
        <v>48</v>
      </c>
    </row>
    <row r="183" hidden="1">
      <c r="A183" s="77" t="s">
        <v>46</v>
      </c>
      <c r="B183" s="59">
        <v>12.0</v>
      </c>
      <c r="C183" s="59" t="s">
        <v>144</v>
      </c>
      <c r="D183" s="59" t="s">
        <v>49</v>
      </c>
      <c r="E183" s="59">
        <v>1.0</v>
      </c>
      <c r="F183" s="167">
        <f>'90060_2024'!E35</f>
        <v>0</v>
      </c>
      <c r="G183" s="102">
        <f>'90060_2024'!F35</f>
        <v>1</v>
      </c>
      <c r="H183" s="46" t="s">
        <v>31</v>
      </c>
      <c r="I183" s="46" t="s">
        <v>253</v>
      </c>
      <c r="J183" s="59" t="s">
        <v>272</v>
      </c>
      <c r="K183" s="59" t="s">
        <v>48</v>
      </c>
      <c r="L183" s="59" t="s">
        <v>48</v>
      </c>
      <c r="M183" s="59" t="s">
        <v>48</v>
      </c>
      <c r="N183" s="59" t="s">
        <v>48</v>
      </c>
      <c r="O183" s="59" t="s">
        <v>48</v>
      </c>
      <c r="P183" s="59" t="s">
        <v>48</v>
      </c>
      <c r="Q183" s="70" t="s">
        <v>48</v>
      </c>
      <c r="R183" s="59" t="s">
        <v>48</v>
      </c>
    </row>
    <row r="184" hidden="1">
      <c r="A184" s="79" t="s">
        <v>46</v>
      </c>
      <c r="B184" s="44">
        <v>13.0</v>
      </c>
      <c r="C184" s="44" t="s">
        <v>169</v>
      </c>
      <c r="D184" s="44" t="s">
        <v>347</v>
      </c>
      <c r="E184" s="44">
        <v>5.0</v>
      </c>
      <c r="F184" s="198">
        <f>'90060_2024'!E36</f>
        <v>0</v>
      </c>
      <c r="G184" s="105">
        <f>'90060_2024'!F36</f>
        <v>5</v>
      </c>
      <c r="H184" s="28" t="s">
        <v>31</v>
      </c>
      <c r="I184" s="28" t="s">
        <v>253</v>
      </c>
      <c r="J184" s="44" t="s">
        <v>221</v>
      </c>
      <c r="K184" s="44" t="s">
        <v>48</v>
      </c>
      <c r="L184" s="44" t="s">
        <v>48</v>
      </c>
      <c r="M184" s="44" t="s">
        <v>48</v>
      </c>
      <c r="N184" s="44" t="s">
        <v>48</v>
      </c>
      <c r="O184" s="44" t="s">
        <v>48</v>
      </c>
      <c r="P184" s="44" t="s">
        <v>48</v>
      </c>
      <c r="Q184" s="63" t="s">
        <v>48</v>
      </c>
      <c r="R184" s="44" t="s">
        <v>48</v>
      </c>
    </row>
    <row r="185" hidden="1">
      <c r="A185" s="77" t="s">
        <v>46</v>
      </c>
      <c r="B185" s="59">
        <v>13.0</v>
      </c>
      <c r="C185" s="59" t="s">
        <v>169</v>
      </c>
      <c r="D185" s="59" t="s">
        <v>347</v>
      </c>
      <c r="E185" s="59">
        <v>1.0</v>
      </c>
      <c r="F185" s="167">
        <f>'90060_2024'!E37</f>
        <v>0</v>
      </c>
      <c r="G185" s="102">
        <f>'90060_2024'!F37</f>
        <v>1</v>
      </c>
      <c r="H185" s="46" t="s">
        <v>31</v>
      </c>
      <c r="I185" s="46" t="s">
        <v>253</v>
      </c>
      <c r="J185" s="59" t="s">
        <v>85</v>
      </c>
      <c r="K185" s="59" t="s">
        <v>48</v>
      </c>
      <c r="L185" s="59" t="s">
        <v>48</v>
      </c>
      <c r="M185" s="59" t="s">
        <v>48</v>
      </c>
      <c r="N185" s="59" t="s">
        <v>48</v>
      </c>
      <c r="O185" s="59" t="s">
        <v>48</v>
      </c>
      <c r="P185" s="59" t="s">
        <v>48</v>
      </c>
      <c r="Q185" s="70" t="s">
        <v>48</v>
      </c>
      <c r="R185" s="59" t="s">
        <v>48</v>
      </c>
    </row>
    <row r="186" hidden="1">
      <c r="A186" s="79" t="s">
        <v>46</v>
      </c>
      <c r="B186" s="44">
        <v>13.0</v>
      </c>
      <c r="C186" s="44" t="s">
        <v>169</v>
      </c>
      <c r="D186" s="44" t="s">
        <v>347</v>
      </c>
      <c r="E186" s="44">
        <v>1.0</v>
      </c>
      <c r="F186" s="198">
        <f>'90060_2024'!E38</f>
        <v>0</v>
      </c>
      <c r="G186" s="105">
        <f>'90060_2024'!F38</f>
        <v>1</v>
      </c>
      <c r="H186" s="28" t="s">
        <v>31</v>
      </c>
      <c r="I186" s="28" t="s">
        <v>253</v>
      </c>
      <c r="J186" s="44" t="s">
        <v>113</v>
      </c>
      <c r="K186" s="44" t="s">
        <v>48</v>
      </c>
      <c r="L186" s="44" t="s">
        <v>48</v>
      </c>
      <c r="M186" s="44" t="s">
        <v>48</v>
      </c>
      <c r="N186" s="44" t="s">
        <v>48</v>
      </c>
      <c r="O186" s="44" t="s">
        <v>48</v>
      </c>
      <c r="P186" s="44" t="s">
        <v>48</v>
      </c>
      <c r="Q186" s="63" t="s">
        <v>48</v>
      </c>
      <c r="R186" s="44" t="s">
        <v>48</v>
      </c>
    </row>
    <row r="187" hidden="1">
      <c r="A187" s="77" t="s">
        <v>46</v>
      </c>
      <c r="B187" s="59">
        <v>13.0</v>
      </c>
      <c r="C187" s="59" t="s">
        <v>169</v>
      </c>
      <c r="D187" s="59" t="s">
        <v>347</v>
      </c>
      <c r="E187" s="59">
        <v>1.0</v>
      </c>
      <c r="F187" s="167">
        <f>'90060_2024'!E39</f>
        <v>0</v>
      </c>
      <c r="G187" s="102">
        <f>'90060_2024'!F39</f>
        <v>1</v>
      </c>
      <c r="H187" s="46" t="s">
        <v>31</v>
      </c>
      <c r="I187" s="46" t="s">
        <v>253</v>
      </c>
      <c r="J187" s="59" t="s">
        <v>161</v>
      </c>
      <c r="K187" s="59" t="s">
        <v>48</v>
      </c>
      <c r="L187" s="59" t="s">
        <v>48</v>
      </c>
      <c r="M187" s="59" t="s">
        <v>48</v>
      </c>
      <c r="N187" s="59" t="s">
        <v>48</v>
      </c>
      <c r="O187" s="59" t="s">
        <v>48</v>
      </c>
      <c r="P187" s="59" t="s">
        <v>48</v>
      </c>
      <c r="Q187" s="70" t="s">
        <v>48</v>
      </c>
      <c r="R187" s="59" t="s">
        <v>48</v>
      </c>
    </row>
    <row r="188" hidden="1">
      <c r="A188" s="79" t="s">
        <v>46</v>
      </c>
      <c r="B188" s="44">
        <v>13.0</v>
      </c>
      <c r="C188" s="44" t="s">
        <v>169</v>
      </c>
      <c r="D188" s="44" t="s">
        <v>347</v>
      </c>
      <c r="E188" s="44">
        <v>5.0</v>
      </c>
      <c r="F188" s="198">
        <f>'90060_2024'!E40</f>
        <v>0</v>
      </c>
      <c r="G188" s="105">
        <f>'90060_2024'!F40</f>
        <v>5</v>
      </c>
      <c r="H188" s="28" t="s">
        <v>31</v>
      </c>
      <c r="I188" s="28" t="s">
        <v>253</v>
      </c>
      <c r="J188" s="44" t="s">
        <v>89</v>
      </c>
      <c r="K188" s="44" t="s">
        <v>48</v>
      </c>
      <c r="L188" s="44" t="s">
        <v>48</v>
      </c>
      <c r="M188" s="44" t="s">
        <v>48</v>
      </c>
      <c r="N188" s="44" t="s">
        <v>48</v>
      </c>
      <c r="O188" s="44" t="s">
        <v>48</v>
      </c>
      <c r="P188" s="44" t="s">
        <v>48</v>
      </c>
      <c r="Q188" s="63" t="s">
        <v>48</v>
      </c>
      <c r="R188" s="44" t="s">
        <v>48</v>
      </c>
    </row>
    <row r="189" hidden="1">
      <c r="A189" s="77" t="s">
        <v>46</v>
      </c>
      <c r="B189" s="59">
        <v>13.0</v>
      </c>
      <c r="C189" s="59" t="s">
        <v>169</v>
      </c>
      <c r="D189" s="59" t="s">
        <v>347</v>
      </c>
      <c r="E189" s="59">
        <v>2.0</v>
      </c>
      <c r="F189" s="167">
        <f>'90060_2024'!E41</f>
        <v>0</v>
      </c>
      <c r="G189" s="102">
        <f>'90060_2024'!F41</f>
        <v>2</v>
      </c>
      <c r="H189" s="46" t="s">
        <v>31</v>
      </c>
      <c r="I189" s="46" t="s">
        <v>253</v>
      </c>
      <c r="J189" s="59" t="s">
        <v>179</v>
      </c>
      <c r="K189" s="59" t="s">
        <v>48</v>
      </c>
      <c r="L189" s="59" t="s">
        <v>48</v>
      </c>
      <c r="M189" s="59" t="s">
        <v>48</v>
      </c>
      <c r="N189" s="59" t="s">
        <v>48</v>
      </c>
      <c r="O189" s="59" t="s">
        <v>48</v>
      </c>
      <c r="P189" s="59" t="s">
        <v>48</v>
      </c>
      <c r="Q189" s="70" t="s">
        <v>48</v>
      </c>
      <c r="R189" s="59" t="s">
        <v>48</v>
      </c>
    </row>
    <row r="190" hidden="1">
      <c r="A190" s="79" t="s">
        <v>46</v>
      </c>
      <c r="B190" s="44">
        <v>13.0</v>
      </c>
      <c r="C190" s="44" t="s">
        <v>169</v>
      </c>
      <c r="D190" s="44" t="s">
        <v>347</v>
      </c>
      <c r="E190" s="44">
        <v>3.0</v>
      </c>
      <c r="F190" s="198">
        <f>'90060_2024'!E42</f>
        <v>0</v>
      </c>
      <c r="G190" s="105">
        <f>'90060_2024'!F42</f>
        <v>3</v>
      </c>
      <c r="H190" s="28" t="s">
        <v>31</v>
      </c>
      <c r="I190" s="28" t="s">
        <v>253</v>
      </c>
      <c r="J190" s="44" t="s">
        <v>167</v>
      </c>
      <c r="K190" s="44" t="s">
        <v>48</v>
      </c>
      <c r="L190" s="44" t="s">
        <v>48</v>
      </c>
      <c r="M190" s="44" t="s">
        <v>48</v>
      </c>
      <c r="N190" s="44" t="s">
        <v>48</v>
      </c>
      <c r="O190" s="44" t="s">
        <v>48</v>
      </c>
      <c r="P190" s="44" t="s">
        <v>48</v>
      </c>
      <c r="Q190" s="63" t="s">
        <v>48</v>
      </c>
      <c r="R190" s="44" t="s">
        <v>48</v>
      </c>
    </row>
    <row r="191" hidden="1">
      <c r="A191" s="77" t="s">
        <v>46</v>
      </c>
      <c r="B191" s="59">
        <v>13.0</v>
      </c>
      <c r="C191" s="59" t="s">
        <v>169</v>
      </c>
      <c r="D191" s="59" t="s">
        <v>347</v>
      </c>
      <c r="E191" s="59">
        <v>3.0</v>
      </c>
      <c r="F191" s="167">
        <f>'90060_2024'!E43</f>
        <v>0</v>
      </c>
      <c r="G191" s="102">
        <f>'90060_2024'!F43</f>
        <v>3</v>
      </c>
      <c r="H191" s="46" t="s">
        <v>31</v>
      </c>
      <c r="I191" s="46" t="s">
        <v>253</v>
      </c>
      <c r="J191" s="59" t="s">
        <v>202</v>
      </c>
      <c r="K191" s="59" t="s">
        <v>48</v>
      </c>
      <c r="L191" s="59" t="s">
        <v>48</v>
      </c>
      <c r="M191" s="59" t="s">
        <v>48</v>
      </c>
      <c r="N191" s="59" t="s">
        <v>48</v>
      </c>
      <c r="O191" s="59" t="s">
        <v>48</v>
      </c>
      <c r="P191" s="59" t="s">
        <v>48</v>
      </c>
      <c r="Q191" s="70" t="s">
        <v>48</v>
      </c>
      <c r="R191" s="59" t="s">
        <v>48</v>
      </c>
    </row>
    <row r="192" hidden="1">
      <c r="A192" s="79" t="s">
        <v>46</v>
      </c>
      <c r="B192" s="44">
        <v>13.0</v>
      </c>
      <c r="C192" s="44" t="s">
        <v>169</v>
      </c>
      <c r="D192" s="44" t="s">
        <v>347</v>
      </c>
      <c r="E192" s="44">
        <v>1.0</v>
      </c>
      <c r="F192" s="198">
        <f>'90060_2024'!E44</f>
        <v>0</v>
      </c>
      <c r="G192" s="105">
        <f>'90060_2024'!F44</f>
        <v>1</v>
      </c>
      <c r="H192" s="28" t="s">
        <v>31</v>
      </c>
      <c r="I192" s="28" t="s">
        <v>253</v>
      </c>
      <c r="J192" s="44" t="s">
        <v>228</v>
      </c>
      <c r="K192" s="44" t="s">
        <v>48</v>
      </c>
      <c r="L192" s="44" t="s">
        <v>48</v>
      </c>
      <c r="M192" s="44" t="s">
        <v>48</v>
      </c>
      <c r="N192" s="44" t="s">
        <v>48</v>
      </c>
      <c r="O192" s="44" t="s">
        <v>48</v>
      </c>
      <c r="P192" s="44" t="s">
        <v>48</v>
      </c>
      <c r="Q192" s="63" t="s">
        <v>48</v>
      </c>
      <c r="R192" s="44" t="s">
        <v>48</v>
      </c>
    </row>
    <row r="193" hidden="1">
      <c r="A193" s="77" t="s">
        <v>46</v>
      </c>
      <c r="B193" s="59">
        <v>13.0</v>
      </c>
      <c r="C193" s="59" t="s">
        <v>169</v>
      </c>
      <c r="D193" s="59" t="s">
        <v>347</v>
      </c>
      <c r="E193" s="59">
        <v>1.0</v>
      </c>
      <c r="F193" s="167">
        <f>'90060_2024'!E45</f>
        <v>0</v>
      </c>
      <c r="G193" s="102">
        <f>'90060_2024'!F45</f>
        <v>1</v>
      </c>
      <c r="H193" s="46" t="s">
        <v>31</v>
      </c>
      <c r="I193" s="46" t="s">
        <v>253</v>
      </c>
      <c r="J193" s="59" t="s">
        <v>188</v>
      </c>
      <c r="K193" s="59" t="s">
        <v>48</v>
      </c>
      <c r="L193" s="59" t="s">
        <v>48</v>
      </c>
      <c r="M193" s="59" t="s">
        <v>48</v>
      </c>
      <c r="N193" s="59" t="s">
        <v>48</v>
      </c>
      <c r="O193" s="59" t="s">
        <v>48</v>
      </c>
      <c r="P193" s="59" t="s">
        <v>48</v>
      </c>
      <c r="Q193" s="70" t="s">
        <v>48</v>
      </c>
      <c r="R193" s="59" t="s">
        <v>48</v>
      </c>
    </row>
    <row r="194" hidden="1">
      <c r="A194" s="79" t="s">
        <v>46</v>
      </c>
      <c r="B194" s="44">
        <v>13.0</v>
      </c>
      <c r="C194" s="44" t="s">
        <v>169</v>
      </c>
      <c r="D194" s="44" t="s">
        <v>347</v>
      </c>
      <c r="E194" s="44">
        <v>1.0</v>
      </c>
      <c r="F194" s="198">
        <f>'90060_2024'!E46</f>
        <v>0</v>
      </c>
      <c r="G194" s="105">
        <f>'90060_2024'!F46</f>
        <v>1</v>
      </c>
      <c r="H194" s="28" t="s">
        <v>31</v>
      </c>
      <c r="I194" s="28" t="s">
        <v>253</v>
      </c>
      <c r="J194" s="44" t="s">
        <v>197</v>
      </c>
      <c r="K194" s="44" t="s">
        <v>48</v>
      </c>
      <c r="L194" s="44" t="s">
        <v>48</v>
      </c>
      <c r="M194" s="44" t="s">
        <v>48</v>
      </c>
      <c r="N194" s="44" t="s">
        <v>48</v>
      </c>
      <c r="O194" s="44" t="s">
        <v>48</v>
      </c>
      <c r="P194" s="44" t="s">
        <v>48</v>
      </c>
      <c r="Q194" s="63" t="s">
        <v>48</v>
      </c>
      <c r="R194" s="44" t="s">
        <v>48</v>
      </c>
    </row>
    <row r="195" hidden="1">
      <c r="A195" s="77" t="s">
        <v>46</v>
      </c>
      <c r="B195" s="59">
        <v>13.0</v>
      </c>
      <c r="C195" s="59" t="s">
        <v>169</v>
      </c>
      <c r="D195" s="59" t="s">
        <v>347</v>
      </c>
      <c r="E195" s="59">
        <v>1.0</v>
      </c>
      <c r="F195" s="167">
        <f>'90060_2024'!E47</f>
        <v>0</v>
      </c>
      <c r="G195" s="102">
        <f>'90060_2024'!F47</f>
        <v>1</v>
      </c>
      <c r="H195" s="46" t="s">
        <v>31</v>
      </c>
      <c r="I195" s="46" t="s">
        <v>253</v>
      </c>
      <c r="J195" s="59" t="s">
        <v>160</v>
      </c>
      <c r="K195" s="59" t="s">
        <v>48</v>
      </c>
      <c r="L195" s="59" t="s">
        <v>48</v>
      </c>
      <c r="M195" s="59" t="s">
        <v>48</v>
      </c>
      <c r="N195" s="59" t="s">
        <v>48</v>
      </c>
      <c r="O195" s="59" t="s">
        <v>48</v>
      </c>
      <c r="P195" s="59" t="s">
        <v>48</v>
      </c>
      <c r="Q195" s="70" t="s">
        <v>48</v>
      </c>
      <c r="R195" s="59" t="s">
        <v>48</v>
      </c>
    </row>
    <row r="196" hidden="1">
      <c r="A196" s="79" t="s">
        <v>46</v>
      </c>
      <c r="B196" s="44">
        <v>13.0</v>
      </c>
      <c r="C196" s="44" t="s">
        <v>169</v>
      </c>
      <c r="D196" s="44" t="s">
        <v>347</v>
      </c>
      <c r="E196" s="44">
        <v>1.0</v>
      </c>
      <c r="F196" s="198">
        <f>'90060_2024'!E48</f>
        <v>0</v>
      </c>
      <c r="G196" s="105">
        <f>'90060_2024'!F48</f>
        <v>1</v>
      </c>
      <c r="H196" s="28" t="s">
        <v>31</v>
      </c>
      <c r="I196" s="28" t="s">
        <v>253</v>
      </c>
      <c r="J196" s="44" t="s">
        <v>189</v>
      </c>
      <c r="K196" s="44" t="s">
        <v>48</v>
      </c>
      <c r="L196" s="44" t="s">
        <v>48</v>
      </c>
      <c r="M196" s="44" t="s">
        <v>48</v>
      </c>
      <c r="N196" s="44" t="s">
        <v>48</v>
      </c>
      <c r="O196" s="44" t="s">
        <v>48</v>
      </c>
      <c r="P196" s="44" t="s">
        <v>48</v>
      </c>
      <c r="Q196" s="63" t="s">
        <v>48</v>
      </c>
      <c r="R196" s="44" t="s">
        <v>48</v>
      </c>
    </row>
    <row r="197" hidden="1">
      <c r="A197" s="77" t="s">
        <v>46</v>
      </c>
      <c r="B197" s="59">
        <v>13.0</v>
      </c>
      <c r="C197" s="59" t="s">
        <v>169</v>
      </c>
      <c r="D197" s="59" t="s">
        <v>347</v>
      </c>
      <c r="E197" s="59">
        <v>1.0</v>
      </c>
      <c r="F197" s="167">
        <f>'90060_2024'!E49</f>
        <v>0</v>
      </c>
      <c r="G197" s="102">
        <f>'90060_2024'!F49</f>
        <v>1</v>
      </c>
      <c r="H197" s="46" t="s">
        <v>31</v>
      </c>
      <c r="I197" s="46" t="s">
        <v>253</v>
      </c>
      <c r="J197" s="59" t="s">
        <v>304</v>
      </c>
      <c r="K197" s="59" t="s">
        <v>48</v>
      </c>
      <c r="L197" s="59" t="s">
        <v>48</v>
      </c>
      <c r="M197" s="59" t="s">
        <v>48</v>
      </c>
      <c r="N197" s="59" t="s">
        <v>48</v>
      </c>
      <c r="O197" s="59" t="s">
        <v>48</v>
      </c>
      <c r="P197" s="59" t="s">
        <v>48</v>
      </c>
      <c r="Q197" s="70" t="s">
        <v>48</v>
      </c>
      <c r="R197" s="59" t="s">
        <v>48</v>
      </c>
    </row>
    <row r="198" hidden="1">
      <c r="A198" s="79" t="s">
        <v>46</v>
      </c>
      <c r="B198" s="44">
        <v>13.0</v>
      </c>
      <c r="C198" s="44" t="s">
        <v>169</v>
      </c>
      <c r="D198" s="44" t="s">
        <v>347</v>
      </c>
      <c r="E198" s="44">
        <v>1.0</v>
      </c>
      <c r="F198" s="198">
        <f>'90060_2024'!E50</f>
        <v>0</v>
      </c>
      <c r="G198" s="105">
        <f>'90060_2024'!F50</f>
        <v>1</v>
      </c>
      <c r="H198" s="28" t="s">
        <v>31</v>
      </c>
      <c r="I198" s="28" t="s">
        <v>253</v>
      </c>
      <c r="J198" s="44" t="s">
        <v>194</v>
      </c>
      <c r="K198" s="44" t="s">
        <v>48</v>
      </c>
      <c r="L198" s="44" t="s">
        <v>48</v>
      </c>
      <c r="M198" s="44" t="s">
        <v>48</v>
      </c>
      <c r="N198" s="44" t="s">
        <v>48</v>
      </c>
      <c r="O198" s="44" t="s">
        <v>48</v>
      </c>
      <c r="P198" s="44" t="s">
        <v>48</v>
      </c>
      <c r="Q198" s="63" t="s">
        <v>48</v>
      </c>
      <c r="R198" s="44" t="s">
        <v>48</v>
      </c>
    </row>
    <row r="199" hidden="1">
      <c r="A199" s="77" t="s">
        <v>46</v>
      </c>
      <c r="B199" s="59">
        <v>13.0</v>
      </c>
      <c r="C199" s="59" t="s">
        <v>169</v>
      </c>
      <c r="D199" s="59" t="s">
        <v>347</v>
      </c>
      <c r="E199" s="59">
        <v>7.0</v>
      </c>
      <c r="F199" s="167">
        <f>'90060_2024'!E51</f>
        <v>0</v>
      </c>
      <c r="G199" s="102">
        <f>'90060_2024'!F51</f>
        <v>7</v>
      </c>
      <c r="H199" s="46" t="s">
        <v>31</v>
      </c>
      <c r="I199" s="46" t="s">
        <v>253</v>
      </c>
      <c r="J199" s="59" t="s">
        <v>134</v>
      </c>
      <c r="K199" s="59" t="s">
        <v>48</v>
      </c>
      <c r="L199" s="59" t="s">
        <v>48</v>
      </c>
      <c r="M199" s="59" t="s">
        <v>48</v>
      </c>
      <c r="N199" s="59" t="s">
        <v>48</v>
      </c>
      <c r="O199" s="59" t="s">
        <v>48</v>
      </c>
      <c r="P199" s="59" t="s">
        <v>48</v>
      </c>
      <c r="Q199" s="70" t="s">
        <v>48</v>
      </c>
      <c r="R199" s="59" t="s">
        <v>48</v>
      </c>
    </row>
    <row r="200" hidden="1">
      <c r="A200" s="79" t="s">
        <v>46</v>
      </c>
      <c r="B200" s="44">
        <v>14.0</v>
      </c>
      <c r="C200" s="44" t="s">
        <v>172</v>
      </c>
      <c r="D200" s="44" t="s">
        <v>368</v>
      </c>
      <c r="E200" s="44">
        <v>3.0</v>
      </c>
      <c r="F200" s="198">
        <f>'90060_2024'!E52</f>
        <v>0</v>
      </c>
      <c r="G200" s="105">
        <f>'90060_2024'!F52</f>
        <v>3</v>
      </c>
      <c r="H200" s="28" t="s">
        <v>31</v>
      </c>
      <c r="I200" s="28" t="s">
        <v>253</v>
      </c>
      <c r="J200" s="44" t="s">
        <v>221</v>
      </c>
      <c r="K200" s="44" t="s">
        <v>48</v>
      </c>
      <c r="L200" s="44" t="s">
        <v>48</v>
      </c>
      <c r="M200" s="44" t="s">
        <v>48</v>
      </c>
      <c r="N200" s="44" t="s">
        <v>48</v>
      </c>
      <c r="O200" s="44" t="s">
        <v>48</v>
      </c>
      <c r="P200" s="44" t="s">
        <v>48</v>
      </c>
      <c r="Q200" s="63" t="s">
        <v>48</v>
      </c>
      <c r="R200" s="44" t="s">
        <v>48</v>
      </c>
    </row>
    <row r="201" hidden="1">
      <c r="A201" s="77" t="s">
        <v>46</v>
      </c>
      <c r="B201" s="59">
        <v>14.0</v>
      </c>
      <c r="C201" s="59" t="s">
        <v>172</v>
      </c>
      <c r="D201" s="59" t="s">
        <v>368</v>
      </c>
      <c r="E201" s="59">
        <v>1.0</v>
      </c>
      <c r="F201" s="167">
        <f>'90060_2024'!E53</f>
        <v>0</v>
      </c>
      <c r="G201" s="102">
        <f>'90060_2024'!F53</f>
        <v>1</v>
      </c>
      <c r="H201" s="46" t="s">
        <v>31</v>
      </c>
      <c r="I201" s="46" t="s">
        <v>253</v>
      </c>
      <c r="J201" s="59" t="s">
        <v>89</v>
      </c>
      <c r="K201" s="59" t="s">
        <v>48</v>
      </c>
      <c r="L201" s="59" t="s">
        <v>48</v>
      </c>
      <c r="M201" s="59" t="s">
        <v>48</v>
      </c>
      <c r="N201" s="59" t="s">
        <v>48</v>
      </c>
      <c r="O201" s="59" t="s">
        <v>48</v>
      </c>
      <c r="P201" s="59" t="s">
        <v>48</v>
      </c>
      <c r="Q201" s="70" t="s">
        <v>48</v>
      </c>
      <c r="R201" s="59" t="s">
        <v>48</v>
      </c>
    </row>
    <row r="202" hidden="1">
      <c r="A202" s="79" t="s">
        <v>46</v>
      </c>
      <c r="B202" s="44">
        <v>14.0</v>
      </c>
      <c r="C202" s="44" t="s">
        <v>172</v>
      </c>
      <c r="D202" s="44" t="s">
        <v>368</v>
      </c>
      <c r="E202" s="44">
        <v>3.0</v>
      </c>
      <c r="F202" s="198">
        <f>'90060_2024'!E54</f>
        <v>0</v>
      </c>
      <c r="G202" s="105">
        <f>'90060_2024'!F54</f>
        <v>3</v>
      </c>
      <c r="H202" s="28" t="s">
        <v>31</v>
      </c>
      <c r="I202" s="28" t="s">
        <v>253</v>
      </c>
      <c r="J202" s="44" t="s">
        <v>179</v>
      </c>
      <c r="K202" s="44" t="s">
        <v>48</v>
      </c>
      <c r="L202" s="44" t="s">
        <v>48</v>
      </c>
      <c r="M202" s="44" t="s">
        <v>48</v>
      </c>
      <c r="N202" s="44" t="s">
        <v>48</v>
      </c>
      <c r="O202" s="44" t="s">
        <v>48</v>
      </c>
      <c r="P202" s="44" t="s">
        <v>48</v>
      </c>
      <c r="Q202" s="63" t="s">
        <v>48</v>
      </c>
      <c r="R202" s="44" t="s">
        <v>48</v>
      </c>
    </row>
    <row r="203" hidden="1">
      <c r="A203" s="77" t="s">
        <v>46</v>
      </c>
      <c r="B203" s="59">
        <v>14.0</v>
      </c>
      <c r="C203" s="59" t="s">
        <v>172</v>
      </c>
      <c r="D203" s="59" t="s">
        <v>368</v>
      </c>
      <c r="E203" s="59">
        <v>1.0</v>
      </c>
      <c r="F203" s="167">
        <f>'90060_2024'!E55</f>
        <v>0</v>
      </c>
      <c r="G203" s="102">
        <f>'90060_2024'!F55</f>
        <v>1</v>
      </c>
      <c r="H203" s="46" t="s">
        <v>31</v>
      </c>
      <c r="I203" s="46" t="s">
        <v>253</v>
      </c>
      <c r="J203" s="59" t="s">
        <v>167</v>
      </c>
      <c r="K203" s="59" t="s">
        <v>48</v>
      </c>
      <c r="L203" s="59" t="s">
        <v>48</v>
      </c>
      <c r="M203" s="59" t="s">
        <v>48</v>
      </c>
      <c r="N203" s="59" t="s">
        <v>48</v>
      </c>
      <c r="O203" s="59" t="s">
        <v>48</v>
      </c>
      <c r="P203" s="59" t="s">
        <v>48</v>
      </c>
      <c r="Q203" s="70" t="s">
        <v>48</v>
      </c>
      <c r="R203" s="59" t="s">
        <v>48</v>
      </c>
    </row>
    <row r="204" hidden="1">
      <c r="A204" s="79" t="s">
        <v>46</v>
      </c>
      <c r="B204" s="44">
        <v>14.0</v>
      </c>
      <c r="C204" s="44" t="s">
        <v>172</v>
      </c>
      <c r="D204" s="44" t="s">
        <v>368</v>
      </c>
      <c r="E204" s="44">
        <v>1.0</v>
      </c>
      <c r="F204" s="198">
        <f>'90060_2024'!E56</f>
        <v>0</v>
      </c>
      <c r="G204" s="105">
        <f>'90060_2024'!F56</f>
        <v>1</v>
      </c>
      <c r="H204" s="28" t="s">
        <v>31</v>
      </c>
      <c r="I204" s="28" t="s">
        <v>253</v>
      </c>
      <c r="J204" s="44" t="s">
        <v>160</v>
      </c>
      <c r="K204" s="44" t="s">
        <v>48</v>
      </c>
      <c r="L204" s="44" t="s">
        <v>48</v>
      </c>
      <c r="M204" s="44" t="s">
        <v>48</v>
      </c>
      <c r="N204" s="44" t="s">
        <v>48</v>
      </c>
      <c r="O204" s="44" t="s">
        <v>48</v>
      </c>
      <c r="P204" s="44" t="s">
        <v>48</v>
      </c>
      <c r="Q204" s="63" t="s">
        <v>48</v>
      </c>
      <c r="R204" s="44" t="s">
        <v>48</v>
      </c>
    </row>
    <row r="205" hidden="1">
      <c r="A205" s="77" t="s">
        <v>46</v>
      </c>
      <c r="B205" s="59">
        <v>14.0</v>
      </c>
      <c r="C205" s="59" t="s">
        <v>172</v>
      </c>
      <c r="D205" s="59" t="s">
        <v>368</v>
      </c>
      <c r="E205" s="59">
        <v>1.0</v>
      </c>
      <c r="F205" s="167">
        <f>'90060_2024'!E57</f>
        <v>0</v>
      </c>
      <c r="G205" s="102">
        <f>'90060_2024'!F57</f>
        <v>1</v>
      </c>
      <c r="H205" s="46" t="s">
        <v>31</v>
      </c>
      <c r="I205" s="46" t="s">
        <v>253</v>
      </c>
      <c r="J205" s="59" t="s">
        <v>201</v>
      </c>
      <c r="K205" s="59" t="s">
        <v>48</v>
      </c>
      <c r="L205" s="59" t="s">
        <v>48</v>
      </c>
      <c r="M205" s="59" t="s">
        <v>48</v>
      </c>
      <c r="N205" s="59" t="s">
        <v>48</v>
      </c>
      <c r="O205" s="59" t="s">
        <v>48</v>
      </c>
      <c r="P205" s="59" t="s">
        <v>48</v>
      </c>
      <c r="Q205" s="70" t="s">
        <v>48</v>
      </c>
      <c r="R205" s="59" t="s">
        <v>48</v>
      </c>
    </row>
    <row r="206" hidden="1">
      <c r="A206" s="79" t="s">
        <v>46</v>
      </c>
      <c r="B206" s="44">
        <v>14.0</v>
      </c>
      <c r="C206" s="44" t="s">
        <v>172</v>
      </c>
      <c r="D206" s="44" t="s">
        <v>368</v>
      </c>
      <c r="E206" s="44">
        <v>1.0</v>
      </c>
      <c r="F206" s="198">
        <f>'90060_2024'!E58</f>
        <v>0</v>
      </c>
      <c r="G206" s="105">
        <f>'90060_2024'!F58</f>
        <v>1</v>
      </c>
      <c r="H206" s="28" t="s">
        <v>31</v>
      </c>
      <c r="I206" s="28" t="s">
        <v>253</v>
      </c>
      <c r="J206" s="44" t="s">
        <v>192</v>
      </c>
      <c r="K206" s="44" t="s">
        <v>48</v>
      </c>
      <c r="L206" s="44" t="s">
        <v>48</v>
      </c>
      <c r="M206" s="44" t="s">
        <v>48</v>
      </c>
      <c r="N206" s="44" t="s">
        <v>48</v>
      </c>
      <c r="O206" s="44" t="s">
        <v>48</v>
      </c>
      <c r="P206" s="44" t="s">
        <v>48</v>
      </c>
      <c r="Q206" s="63" t="s">
        <v>48</v>
      </c>
      <c r="R206" s="44" t="s">
        <v>48</v>
      </c>
    </row>
    <row r="207" hidden="1">
      <c r="A207" s="77" t="s">
        <v>46</v>
      </c>
      <c r="B207" s="59">
        <v>14.0</v>
      </c>
      <c r="C207" s="59" t="s">
        <v>172</v>
      </c>
      <c r="D207" s="59" t="s">
        <v>368</v>
      </c>
      <c r="E207" s="59">
        <v>1.0</v>
      </c>
      <c r="F207" s="167">
        <f>'90060_2024'!E59</f>
        <v>0</v>
      </c>
      <c r="G207" s="102">
        <f>'90060_2024'!F59</f>
        <v>1</v>
      </c>
      <c r="H207" s="46" t="s">
        <v>31</v>
      </c>
      <c r="I207" s="46" t="s">
        <v>253</v>
      </c>
      <c r="J207" s="59" t="s">
        <v>134</v>
      </c>
      <c r="K207" s="59" t="s">
        <v>48</v>
      </c>
      <c r="L207" s="59" t="s">
        <v>48</v>
      </c>
      <c r="M207" s="59" t="s">
        <v>48</v>
      </c>
      <c r="N207" s="59" t="s">
        <v>48</v>
      </c>
      <c r="O207" s="59" t="s">
        <v>48</v>
      </c>
      <c r="P207" s="59" t="s">
        <v>48</v>
      </c>
      <c r="Q207" s="70" t="s">
        <v>48</v>
      </c>
      <c r="R207" s="59" t="s">
        <v>48</v>
      </c>
    </row>
    <row r="208" hidden="1">
      <c r="A208" s="79" t="s">
        <v>46</v>
      </c>
      <c r="B208" s="44">
        <v>14.0</v>
      </c>
      <c r="C208" s="44" t="s">
        <v>172</v>
      </c>
      <c r="D208" s="44" t="s">
        <v>368</v>
      </c>
      <c r="E208" s="44">
        <v>1.0</v>
      </c>
      <c r="F208" s="198">
        <f>'90060_2024'!E60</f>
        <v>0</v>
      </c>
      <c r="G208" s="105">
        <f>'90060_2024'!F60</f>
        <v>1</v>
      </c>
      <c r="H208" s="28" t="s">
        <v>31</v>
      </c>
      <c r="I208" s="28" t="s">
        <v>253</v>
      </c>
      <c r="J208" s="44" t="s">
        <v>304</v>
      </c>
      <c r="K208" s="44" t="s">
        <v>48</v>
      </c>
      <c r="L208" s="44" t="s">
        <v>48</v>
      </c>
      <c r="M208" s="44" t="s">
        <v>48</v>
      </c>
      <c r="N208" s="44" t="s">
        <v>48</v>
      </c>
      <c r="O208" s="44" t="s">
        <v>48</v>
      </c>
      <c r="P208" s="44" t="s">
        <v>48</v>
      </c>
      <c r="Q208" s="63" t="s">
        <v>48</v>
      </c>
      <c r="R208" s="44" t="s">
        <v>48</v>
      </c>
    </row>
    <row r="209" hidden="1">
      <c r="A209" s="218" t="s">
        <v>46</v>
      </c>
      <c r="B209" s="219">
        <v>15.0</v>
      </c>
      <c r="C209" s="219" t="s">
        <v>185</v>
      </c>
      <c r="D209" s="219" t="s">
        <v>273</v>
      </c>
      <c r="E209" s="220">
        <v>1.0</v>
      </c>
      <c r="F209" s="221">
        <v>1.0</v>
      </c>
      <c r="G209" s="222">
        <v>0.0</v>
      </c>
      <c r="H209" s="223">
        <v>27489.0</v>
      </c>
      <c r="I209" s="223">
        <v>27489.0</v>
      </c>
      <c r="J209" s="219" t="s">
        <v>111</v>
      </c>
      <c r="K209" s="219" t="s">
        <v>633</v>
      </c>
      <c r="L209" s="219" t="s">
        <v>634</v>
      </c>
      <c r="M209" s="219" t="s">
        <v>635</v>
      </c>
      <c r="N209" s="219" t="s">
        <v>636</v>
      </c>
      <c r="O209" s="219" t="s">
        <v>637</v>
      </c>
      <c r="P209" s="219">
        <v>1193.0</v>
      </c>
      <c r="Q209" s="242">
        <v>45834.0</v>
      </c>
      <c r="R209" s="219" t="s">
        <v>31</v>
      </c>
      <c r="S209" s="226"/>
      <c r="T209" s="226"/>
      <c r="U209" s="226"/>
      <c r="V209" s="226"/>
      <c r="W209" s="226"/>
      <c r="X209" s="226"/>
      <c r="Y209" s="226"/>
      <c r="Z209" s="226"/>
    </row>
    <row r="210" hidden="1">
      <c r="A210" s="218" t="s">
        <v>46</v>
      </c>
      <c r="B210" s="219">
        <v>15.0</v>
      </c>
      <c r="C210" s="219" t="s">
        <v>185</v>
      </c>
      <c r="D210" s="219" t="s">
        <v>273</v>
      </c>
      <c r="E210" s="220">
        <v>1.0</v>
      </c>
      <c r="F210" s="221">
        <v>1.0</v>
      </c>
      <c r="G210" s="222">
        <v>0.0</v>
      </c>
      <c r="H210" s="223">
        <v>27489.0</v>
      </c>
      <c r="I210" s="223">
        <v>27489.0</v>
      </c>
      <c r="J210" s="219" t="s">
        <v>134</v>
      </c>
      <c r="K210" s="219" t="s">
        <v>633</v>
      </c>
      <c r="L210" s="219" t="s">
        <v>634</v>
      </c>
      <c r="M210" s="219" t="s">
        <v>635</v>
      </c>
      <c r="N210" s="219" t="s">
        <v>638</v>
      </c>
      <c r="O210" s="219" t="s">
        <v>637</v>
      </c>
      <c r="P210" s="219">
        <v>1193.0</v>
      </c>
      <c r="Q210" s="242">
        <v>45834.0</v>
      </c>
      <c r="R210" s="219" t="s">
        <v>31</v>
      </c>
      <c r="S210" s="226"/>
      <c r="T210" s="226"/>
      <c r="U210" s="226"/>
      <c r="V210" s="226"/>
      <c r="W210" s="226"/>
      <c r="X210" s="226"/>
      <c r="Y210" s="226"/>
      <c r="Z210" s="226"/>
    </row>
    <row r="211" hidden="1">
      <c r="A211" s="77" t="s">
        <v>46</v>
      </c>
      <c r="B211" s="59">
        <v>16.0</v>
      </c>
      <c r="C211" s="59" t="s">
        <v>149</v>
      </c>
      <c r="D211" s="59" t="s">
        <v>482</v>
      </c>
      <c r="E211" s="59">
        <v>1.0</v>
      </c>
      <c r="F211" s="167">
        <f>'90060_2024'!E63</f>
        <v>0</v>
      </c>
      <c r="G211" s="102">
        <f>'90060_2024'!F63</f>
        <v>1</v>
      </c>
      <c r="H211" s="46" t="s">
        <v>31</v>
      </c>
      <c r="I211" s="46" t="s">
        <v>253</v>
      </c>
      <c r="J211" s="59" t="s">
        <v>134</v>
      </c>
      <c r="K211" s="59" t="s">
        <v>48</v>
      </c>
      <c r="L211" s="59" t="s">
        <v>48</v>
      </c>
      <c r="M211" s="59" t="s">
        <v>48</v>
      </c>
      <c r="N211" s="59" t="s">
        <v>48</v>
      </c>
      <c r="O211" s="59" t="s">
        <v>48</v>
      </c>
      <c r="P211" s="59" t="s">
        <v>48</v>
      </c>
      <c r="Q211" s="70" t="s">
        <v>48</v>
      </c>
      <c r="R211" s="59" t="s">
        <v>48</v>
      </c>
    </row>
    <row r="212" hidden="1">
      <c r="A212" s="79" t="s">
        <v>46</v>
      </c>
      <c r="B212" s="44">
        <v>17.0</v>
      </c>
      <c r="C212" s="44" t="s">
        <v>152</v>
      </c>
      <c r="D212" s="44" t="s">
        <v>419</v>
      </c>
      <c r="E212" s="198">
        <v>1.0</v>
      </c>
      <c r="F212" s="198">
        <f>'90060_2024'!E64</f>
        <v>1</v>
      </c>
      <c r="G212" s="105">
        <f>'90060_2024'!F64</f>
        <v>0</v>
      </c>
      <c r="H212" s="28">
        <v>202990.0</v>
      </c>
      <c r="I212" s="28">
        <v>202990.0</v>
      </c>
      <c r="J212" s="44" t="s">
        <v>58</v>
      </c>
      <c r="K212" s="44" t="s">
        <v>639</v>
      </c>
      <c r="L212" s="44" t="s">
        <v>640</v>
      </c>
      <c r="M212" s="44" t="s">
        <v>641</v>
      </c>
      <c r="N212" s="44" t="s">
        <v>642</v>
      </c>
      <c r="O212" s="44" t="s">
        <v>643</v>
      </c>
      <c r="P212" s="44" t="s">
        <v>31</v>
      </c>
      <c r="Q212" s="63" t="s">
        <v>31</v>
      </c>
      <c r="R212" s="44" t="s">
        <v>31</v>
      </c>
    </row>
    <row r="213" hidden="1">
      <c r="A213" s="77" t="s">
        <v>46</v>
      </c>
      <c r="B213" s="59">
        <v>17.0</v>
      </c>
      <c r="C213" s="59" t="s">
        <v>152</v>
      </c>
      <c r="D213" s="59" t="s">
        <v>419</v>
      </c>
      <c r="E213" s="167">
        <v>1.0</v>
      </c>
      <c r="F213" s="167">
        <f>'90060_2024'!E65</f>
        <v>1</v>
      </c>
      <c r="G213" s="102">
        <f>'90060_2024'!F65</f>
        <v>0</v>
      </c>
      <c r="H213" s="46">
        <v>202990.0</v>
      </c>
      <c r="I213" s="46">
        <v>202990.0</v>
      </c>
      <c r="J213" s="59" t="s">
        <v>232</v>
      </c>
      <c r="K213" s="59" t="s">
        <v>639</v>
      </c>
      <c r="L213" s="59" t="s">
        <v>640</v>
      </c>
      <c r="M213" s="59" t="s">
        <v>641</v>
      </c>
      <c r="N213" s="59" t="s">
        <v>642</v>
      </c>
      <c r="O213" s="59" t="s">
        <v>643</v>
      </c>
      <c r="P213" s="59" t="s">
        <v>31</v>
      </c>
      <c r="Q213" s="70" t="s">
        <v>31</v>
      </c>
      <c r="R213" s="59" t="s">
        <v>31</v>
      </c>
    </row>
    <row r="214" hidden="1">
      <c r="A214" s="79" t="s">
        <v>46</v>
      </c>
      <c r="B214" s="44">
        <v>17.0</v>
      </c>
      <c r="C214" s="44" t="s">
        <v>152</v>
      </c>
      <c r="D214" s="44" t="s">
        <v>419</v>
      </c>
      <c r="E214" s="198">
        <v>1.0</v>
      </c>
      <c r="F214" s="198">
        <f>'90060_2024'!E66</f>
        <v>1</v>
      </c>
      <c r="G214" s="105">
        <f>'90060_2024'!F66</f>
        <v>0</v>
      </c>
      <c r="H214" s="28">
        <v>202990.0</v>
      </c>
      <c r="I214" s="28">
        <v>202990.0</v>
      </c>
      <c r="J214" s="44" t="s">
        <v>113</v>
      </c>
      <c r="K214" s="44" t="s">
        <v>639</v>
      </c>
      <c r="L214" s="44" t="s">
        <v>640</v>
      </c>
      <c r="M214" s="44" t="s">
        <v>641</v>
      </c>
      <c r="N214" s="44" t="s">
        <v>642</v>
      </c>
      <c r="O214" s="44" t="s">
        <v>643</v>
      </c>
      <c r="P214" s="44" t="s">
        <v>31</v>
      </c>
      <c r="Q214" s="63" t="s">
        <v>31</v>
      </c>
      <c r="R214" s="44" t="s">
        <v>31</v>
      </c>
    </row>
    <row r="215" hidden="1">
      <c r="A215" s="77" t="s">
        <v>46</v>
      </c>
      <c r="B215" s="59">
        <v>17.0</v>
      </c>
      <c r="C215" s="59" t="s">
        <v>152</v>
      </c>
      <c r="D215" s="59" t="s">
        <v>419</v>
      </c>
      <c r="E215" s="167">
        <v>8.0</v>
      </c>
      <c r="F215" s="167">
        <f>'90060_2024'!E67</f>
        <v>8</v>
      </c>
      <c r="G215" s="102">
        <f>'90060_2024'!F67</f>
        <v>0</v>
      </c>
      <c r="H215" s="46">
        <v>202990.0</v>
      </c>
      <c r="I215" s="46">
        <v>1623920.0</v>
      </c>
      <c r="J215" s="59" t="s">
        <v>134</v>
      </c>
      <c r="K215" s="59" t="s">
        <v>639</v>
      </c>
      <c r="L215" s="59" t="s">
        <v>640</v>
      </c>
      <c r="M215" s="59" t="s">
        <v>641</v>
      </c>
      <c r="N215" s="59" t="s">
        <v>642</v>
      </c>
      <c r="O215" s="59" t="s">
        <v>643</v>
      </c>
      <c r="P215" s="59" t="s">
        <v>31</v>
      </c>
      <c r="Q215" s="70" t="s">
        <v>31</v>
      </c>
      <c r="R215" s="59" t="s">
        <v>31</v>
      </c>
    </row>
    <row r="216" hidden="1">
      <c r="A216" s="79" t="s">
        <v>46</v>
      </c>
      <c r="B216" s="44">
        <v>17.0</v>
      </c>
      <c r="C216" s="44" t="s">
        <v>152</v>
      </c>
      <c r="D216" s="44" t="s">
        <v>419</v>
      </c>
      <c r="E216" s="198">
        <v>1.0</v>
      </c>
      <c r="F216" s="198">
        <f>'90060_2024'!E68</f>
        <v>1</v>
      </c>
      <c r="G216" s="105">
        <f>'90060_2024'!F68</f>
        <v>0</v>
      </c>
      <c r="H216" s="28">
        <v>202990.0</v>
      </c>
      <c r="I216" s="28">
        <v>202990.0</v>
      </c>
      <c r="J216" s="44" t="s">
        <v>142</v>
      </c>
      <c r="K216" s="44" t="s">
        <v>639</v>
      </c>
      <c r="L216" s="44" t="s">
        <v>640</v>
      </c>
      <c r="M216" s="44" t="s">
        <v>641</v>
      </c>
      <c r="N216" s="44" t="s">
        <v>642</v>
      </c>
      <c r="O216" s="44" t="s">
        <v>643</v>
      </c>
      <c r="P216" s="44" t="s">
        <v>31</v>
      </c>
      <c r="Q216" s="63" t="s">
        <v>31</v>
      </c>
      <c r="R216" s="44" t="s">
        <v>31</v>
      </c>
    </row>
    <row r="217" hidden="1">
      <c r="A217" s="77" t="s">
        <v>46</v>
      </c>
      <c r="B217" s="59">
        <v>17.0</v>
      </c>
      <c r="C217" s="59" t="s">
        <v>152</v>
      </c>
      <c r="D217" s="59" t="s">
        <v>419</v>
      </c>
      <c r="E217" s="167">
        <v>1.0</v>
      </c>
      <c r="F217" s="167">
        <f>'90060_2024'!E69</f>
        <v>1</v>
      </c>
      <c r="G217" s="102">
        <f>'90060_2024'!F69</f>
        <v>0</v>
      </c>
      <c r="H217" s="46">
        <v>202990.0</v>
      </c>
      <c r="I217" s="46">
        <v>202990.0</v>
      </c>
      <c r="J217" s="59" t="s">
        <v>179</v>
      </c>
      <c r="K217" s="59" t="s">
        <v>639</v>
      </c>
      <c r="L217" s="59" t="s">
        <v>640</v>
      </c>
      <c r="M217" s="59" t="s">
        <v>641</v>
      </c>
      <c r="N217" s="59" t="s">
        <v>642</v>
      </c>
      <c r="O217" s="59" t="s">
        <v>643</v>
      </c>
      <c r="P217" s="59" t="s">
        <v>31</v>
      </c>
      <c r="Q217" s="70" t="s">
        <v>31</v>
      </c>
      <c r="R217" s="59" t="s">
        <v>31</v>
      </c>
    </row>
    <row r="218" hidden="1">
      <c r="A218" s="79" t="s">
        <v>46</v>
      </c>
      <c r="B218" s="44">
        <v>17.0</v>
      </c>
      <c r="C218" s="44" t="s">
        <v>152</v>
      </c>
      <c r="D218" s="44" t="s">
        <v>419</v>
      </c>
      <c r="E218" s="198">
        <v>8.0</v>
      </c>
      <c r="F218" s="198">
        <f>'90060_2024'!E70</f>
        <v>8</v>
      </c>
      <c r="G218" s="105">
        <f>'90060_2024'!F70</f>
        <v>0</v>
      </c>
      <c r="H218" s="28">
        <v>202990.0</v>
      </c>
      <c r="I218" s="28">
        <v>1623920.0</v>
      </c>
      <c r="J218" s="44" t="s">
        <v>167</v>
      </c>
      <c r="K218" s="44" t="s">
        <v>639</v>
      </c>
      <c r="L218" s="44" t="s">
        <v>640</v>
      </c>
      <c r="M218" s="44" t="s">
        <v>641</v>
      </c>
      <c r="N218" s="44" t="s">
        <v>642</v>
      </c>
      <c r="O218" s="44" t="s">
        <v>643</v>
      </c>
      <c r="P218" s="44" t="s">
        <v>31</v>
      </c>
      <c r="Q218" s="63" t="s">
        <v>31</v>
      </c>
      <c r="R218" s="44" t="s">
        <v>31</v>
      </c>
    </row>
    <row r="219" hidden="1">
      <c r="A219" s="77" t="s">
        <v>46</v>
      </c>
      <c r="B219" s="59">
        <v>17.0</v>
      </c>
      <c r="C219" s="59" t="s">
        <v>152</v>
      </c>
      <c r="D219" s="59" t="s">
        <v>419</v>
      </c>
      <c r="E219" s="167">
        <v>4.0</v>
      </c>
      <c r="F219" s="167">
        <f>'90060_2024'!E71</f>
        <v>4</v>
      </c>
      <c r="G219" s="102">
        <f>'90060_2024'!F71</f>
        <v>0</v>
      </c>
      <c r="H219" s="46">
        <v>202990.0</v>
      </c>
      <c r="I219" s="46">
        <v>811960.0</v>
      </c>
      <c r="J219" s="59" t="s">
        <v>202</v>
      </c>
      <c r="K219" s="59" t="s">
        <v>639</v>
      </c>
      <c r="L219" s="59" t="s">
        <v>640</v>
      </c>
      <c r="M219" s="59" t="s">
        <v>641</v>
      </c>
      <c r="N219" s="59" t="s">
        <v>642</v>
      </c>
      <c r="O219" s="59" t="s">
        <v>643</v>
      </c>
      <c r="P219" s="59" t="s">
        <v>31</v>
      </c>
      <c r="Q219" s="70" t="s">
        <v>31</v>
      </c>
      <c r="R219" s="59" t="s">
        <v>31</v>
      </c>
    </row>
    <row r="220" hidden="1">
      <c r="A220" s="79" t="s">
        <v>46</v>
      </c>
      <c r="B220" s="44">
        <v>17.0</v>
      </c>
      <c r="C220" s="44" t="s">
        <v>152</v>
      </c>
      <c r="D220" s="44" t="s">
        <v>419</v>
      </c>
      <c r="E220" s="198">
        <v>1.0</v>
      </c>
      <c r="F220" s="198">
        <f>'90060_2024'!E72</f>
        <v>1</v>
      </c>
      <c r="G220" s="105">
        <f>'90060_2024'!F72</f>
        <v>0</v>
      </c>
      <c r="H220" s="28">
        <v>202990.0</v>
      </c>
      <c r="I220" s="28">
        <v>202990.0</v>
      </c>
      <c r="J220" s="44" t="s">
        <v>188</v>
      </c>
      <c r="K220" s="44" t="s">
        <v>639</v>
      </c>
      <c r="L220" s="44" t="s">
        <v>640</v>
      </c>
      <c r="M220" s="44" t="s">
        <v>641</v>
      </c>
      <c r="N220" s="44" t="s">
        <v>642</v>
      </c>
      <c r="O220" s="44" t="s">
        <v>643</v>
      </c>
      <c r="P220" s="44" t="s">
        <v>31</v>
      </c>
      <c r="Q220" s="63" t="s">
        <v>31</v>
      </c>
      <c r="R220" s="44" t="s">
        <v>31</v>
      </c>
    </row>
    <row r="221" hidden="1">
      <c r="A221" s="77" t="s">
        <v>46</v>
      </c>
      <c r="B221" s="59">
        <v>17.0</v>
      </c>
      <c r="C221" s="59" t="s">
        <v>152</v>
      </c>
      <c r="D221" s="59" t="s">
        <v>419</v>
      </c>
      <c r="E221" s="167">
        <v>1.0</v>
      </c>
      <c r="F221" s="167">
        <f>'90060_2024'!E73</f>
        <v>1</v>
      </c>
      <c r="G221" s="102">
        <f>'90060_2024'!F73</f>
        <v>0</v>
      </c>
      <c r="H221" s="46">
        <v>202990.0</v>
      </c>
      <c r="I221" s="46">
        <v>202990.0</v>
      </c>
      <c r="J221" s="59" t="s">
        <v>197</v>
      </c>
      <c r="K221" s="59" t="s">
        <v>639</v>
      </c>
      <c r="L221" s="59" t="s">
        <v>640</v>
      </c>
      <c r="M221" s="59" t="s">
        <v>641</v>
      </c>
      <c r="N221" s="59" t="s">
        <v>642</v>
      </c>
      <c r="O221" s="59" t="s">
        <v>643</v>
      </c>
      <c r="P221" s="59" t="s">
        <v>31</v>
      </c>
      <c r="Q221" s="70" t="s">
        <v>31</v>
      </c>
      <c r="R221" s="59" t="s">
        <v>31</v>
      </c>
    </row>
    <row r="222" hidden="1">
      <c r="A222" s="79" t="s">
        <v>46</v>
      </c>
      <c r="B222" s="44">
        <v>17.0</v>
      </c>
      <c r="C222" s="44" t="s">
        <v>152</v>
      </c>
      <c r="D222" s="44" t="s">
        <v>419</v>
      </c>
      <c r="E222" s="198">
        <v>1.0</v>
      </c>
      <c r="F222" s="198">
        <f>'90060_2024'!E74</f>
        <v>1</v>
      </c>
      <c r="G222" s="105">
        <f>'90060_2024'!F74</f>
        <v>0</v>
      </c>
      <c r="H222" s="28">
        <v>202990.0</v>
      </c>
      <c r="I222" s="28">
        <v>202990.0</v>
      </c>
      <c r="J222" s="44" t="s">
        <v>196</v>
      </c>
      <c r="K222" s="44" t="s">
        <v>639</v>
      </c>
      <c r="L222" s="44" t="s">
        <v>640</v>
      </c>
      <c r="M222" s="44" t="s">
        <v>641</v>
      </c>
      <c r="N222" s="44" t="s">
        <v>642</v>
      </c>
      <c r="O222" s="44" t="s">
        <v>643</v>
      </c>
      <c r="P222" s="44" t="s">
        <v>31</v>
      </c>
      <c r="Q222" s="63" t="s">
        <v>31</v>
      </c>
      <c r="R222" s="44" t="s">
        <v>31</v>
      </c>
    </row>
    <row r="223" hidden="1">
      <c r="A223" s="77" t="s">
        <v>46</v>
      </c>
      <c r="B223" s="59">
        <v>17.0</v>
      </c>
      <c r="C223" s="59" t="s">
        <v>152</v>
      </c>
      <c r="D223" s="59" t="s">
        <v>419</v>
      </c>
      <c r="E223" s="167">
        <v>1.0</v>
      </c>
      <c r="F223" s="167">
        <f>'90060_2024'!E75</f>
        <v>1</v>
      </c>
      <c r="G223" s="102">
        <f>'90060_2024'!F75</f>
        <v>0</v>
      </c>
      <c r="H223" s="46">
        <v>202990.0</v>
      </c>
      <c r="I223" s="46">
        <v>202990.0</v>
      </c>
      <c r="J223" s="59" t="s">
        <v>178</v>
      </c>
      <c r="K223" s="59" t="s">
        <v>639</v>
      </c>
      <c r="L223" s="59" t="s">
        <v>640</v>
      </c>
      <c r="M223" s="59" t="s">
        <v>641</v>
      </c>
      <c r="N223" s="59" t="s">
        <v>642</v>
      </c>
      <c r="O223" s="59" t="s">
        <v>643</v>
      </c>
      <c r="P223" s="59" t="s">
        <v>31</v>
      </c>
      <c r="Q223" s="70" t="s">
        <v>31</v>
      </c>
      <c r="R223" s="59" t="s">
        <v>31</v>
      </c>
    </row>
    <row r="224" hidden="1">
      <c r="A224" s="79" t="s">
        <v>46</v>
      </c>
      <c r="B224" s="44">
        <v>17.0</v>
      </c>
      <c r="C224" s="44" t="s">
        <v>152</v>
      </c>
      <c r="D224" s="44" t="s">
        <v>419</v>
      </c>
      <c r="E224" s="198">
        <v>1.0</v>
      </c>
      <c r="F224" s="198">
        <f>'90060_2024'!E76</f>
        <v>1</v>
      </c>
      <c r="G224" s="105">
        <f>'90060_2024'!F76</f>
        <v>0</v>
      </c>
      <c r="H224" s="28">
        <v>202990.0</v>
      </c>
      <c r="I224" s="28">
        <v>202990.0</v>
      </c>
      <c r="J224" s="44" t="s">
        <v>199</v>
      </c>
      <c r="K224" s="44" t="s">
        <v>639</v>
      </c>
      <c r="L224" s="44" t="s">
        <v>640</v>
      </c>
      <c r="M224" s="44" t="s">
        <v>641</v>
      </c>
      <c r="N224" s="44" t="s">
        <v>642</v>
      </c>
      <c r="O224" s="44" t="s">
        <v>643</v>
      </c>
      <c r="P224" s="44" t="s">
        <v>31</v>
      </c>
      <c r="Q224" s="63" t="s">
        <v>31</v>
      </c>
      <c r="R224" s="44" t="s">
        <v>31</v>
      </c>
    </row>
    <row r="225" hidden="1">
      <c r="A225" s="77" t="s">
        <v>46</v>
      </c>
      <c r="B225" s="59">
        <v>18.0</v>
      </c>
      <c r="C225" s="59" t="s">
        <v>157</v>
      </c>
      <c r="D225" s="59" t="s">
        <v>479</v>
      </c>
      <c r="E225" s="167">
        <v>2.0</v>
      </c>
      <c r="F225" s="167">
        <f>'90060_2024'!E77</f>
        <v>0</v>
      </c>
      <c r="G225" s="102">
        <f>'90060_2024'!F77</f>
        <v>2</v>
      </c>
      <c r="H225" s="46">
        <v>246000.0</v>
      </c>
      <c r="I225" s="46">
        <v>492000.0</v>
      </c>
      <c r="J225" s="59" t="s">
        <v>134</v>
      </c>
      <c r="K225" s="59" t="s">
        <v>639</v>
      </c>
      <c r="L225" s="59" t="s">
        <v>640</v>
      </c>
      <c r="M225" s="59" t="s">
        <v>641</v>
      </c>
      <c r="N225" s="59" t="s">
        <v>642</v>
      </c>
      <c r="O225" s="59" t="s">
        <v>643</v>
      </c>
      <c r="P225" s="59" t="s">
        <v>31</v>
      </c>
      <c r="Q225" s="244">
        <v>45828.0</v>
      </c>
      <c r="R225" s="59" t="s">
        <v>31</v>
      </c>
    </row>
    <row r="226" hidden="1">
      <c r="A226" s="79" t="s">
        <v>46</v>
      </c>
      <c r="B226" s="44">
        <v>18.0</v>
      </c>
      <c r="C226" s="44" t="s">
        <v>157</v>
      </c>
      <c r="D226" s="44" t="s">
        <v>479</v>
      </c>
      <c r="E226" s="198">
        <v>1.0</v>
      </c>
      <c r="F226" s="198">
        <f>'90060_2024'!E78</f>
        <v>0</v>
      </c>
      <c r="G226" s="105">
        <f>'90060_2024'!F78</f>
        <v>1</v>
      </c>
      <c r="H226" s="28">
        <v>246000.0</v>
      </c>
      <c r="I226" s="28">
        <v>246000.0</v>
      </c>
      <c r="J226" s="44" t="s">
        <v>160</v>
      </c>
      <c r="K226" s="44" t="s">
        <v>639</v>
      </c>
      <c r="L226" s="44" t="s">
        <v>640</v>
      </c>
      <c r="M226" s="44" t="s">
        <v>641</v>
      </c>
      <c r="N226" s="44" t="s">
        <v>642</v>
      </c>
      <c r="O226" s="44" t="s">
        <v>643</v>
      </c>
      <c r="P226" s="44" t="s">
        <v>31</v>
      </c>
      <c r="Q226" s="245">
        <v>45828.0</v>
      </c>
      <c r="R226" s="44" t="s">
        <v>31</v>
      </c>
    </row>
    <row r="227" hidden="1">
      <c r="A227" s="77" t="s">
        <v>46</v>
      </c>
      <c r="B227" s="59">
        <v>18.0</v>
      </c>
      <c r="C227" s="59" t="s">
        <v>157</v>
      </c>
      <c r="D227" s="59" t="s">
        <v>479</v>
      </c>
      <c r="E227" s="167">
        <v>1.0</v>
      </c>
      <c r="F227" s="167">
        <f>'90060_2024'!E79</f>
        <v>0</v>
      </c>
      <c r="G227" s="102">
        <f>'90060_2024'!F79</f>
        <v>1</v>
      </c>
      <c r="H227" s="46">
        <v>246000.0</v>
      </c>
      <c r="I227" s="46">
        <v>246000.0</v>
      </c>
      <c r="J227" s="59" t="s">
        <v>196</v>
      </c>
      <c r="K227" s="59" t="s">
        <v>639</v>
      </c>
      <c r="L227" s="59" t="s">
        <v>640</v>
      </c>
      <c r="M227" s="59" t="s">
        <v>641</v>
      </c>
      <c r="N227" s="59" t="s">
        <v>642</v>
      </c>
      <c r="O227" s="59" t="s">
        <v>643</v>
      </c>
      <c r="P227" s="59" t="s">
        <v>31</v>
      </c>
      <c r="Q227" s="244">
        <v>45828.0</v>
      </c>
      <c r="R227" s="59" t="s">
        <v>31</v>
      </c>
    </row>
    <row r="228" hidden="1">
      <c r="A228" s="79" t="s">
        <v>46</v>
      </c>
      <c r="B228" s="44">
        <v>18.0</v>
      </c>
      <c r="C228" s="44" t="s">
        <v>157</v>
      </c>
      <c r="D228" s="44" t="s">
        <v>479</v>
      </c>
      <c r="E228" s="198">
        <v>1.0</v>
      </c>
      <c r="F228" s="198">
        <f>'90060_2024'!E80</f>
        <v>1</v>
      </c>
      <c r="G228" s="105">
        <f>'90060_2024'!F80</f>
        <v>0</v>
      </c>
      <c r="H228" s="28">
        <v>246000.0</v>
      </c>
      <c r="I228" s="28">
        <v>246000.0</v>
      </c>
      <c r="J228" s="44" t="s">
        <v>178</v>
      </c>
      <c r="K228" s="44" t="s">
        <v>639</v>
      </c>
      <c r="L228" s="44" t="s">
        <v>640</v>
      </c>
      <c r="M228" s="44" t="s">
        <v>641</v>
      </c>
      <c r="N228" s="44" t="s">
        <v>642</v>
      </c>
      <c r="O228" s="44" t="s">
        <v>643</v>
      </c>
      <c r="P228" s="44" t="s">
        <v>31</v>
      </c>
      <c r="Q228" s="245">
        <v>45828.0</v>
      </c>
      <c r="R228" s="44" t="s">
        <v>31</v>
      </c>
    </row>
    <row r="229" hidden="1">
      <c r="A229" s="77" t="s">
        <v>46</v>
      </c>
      <c r="B229" s="59">
        <v>18.0</v>
      </c>
      <c r="C229" s="59" t="s">
        <v>157</v>
      </c>
      <c r="D229" s="59" t="s">
        <v>479</v>
      </c>
      <c r="E229" s="167">
        <v>1.0</v>
      </c>
      <c r="F229" s="167">
        <f>'90060_2024'!E81</f>
        <v>0</v>
      </c>
      <c r="G229" s="102">
        <f>'90060_2024'!F81</f>
        <v>1</v>
      </c>
      <c r="H229" s="46">
        <v>246000.0</v>
      </c>
      <c r="I229" s="46">
        <v>246000.0</v>
      </c>
      <c r="J229" s="59" t="s">
        <v>192</v>
      </c>
      <c r="K229" s="59" t="s">
        <v>639</v>
      </c>
      <c r="L229" s="59" t="s">
        <v>640</v>
      </c>
      <c r="M229" s="59" t="s">
        <v>641</v>
      </c>
      <c r="N229" s="59" t="s">
        <v>642</v>
      </c>
      <c r="O229" s="59" t="s">
        <v>643</v>
      </c>
      <c r="P229" s="59" t="s">
        <v>31</v>
      </c>
      <c r="Q229" s="244">
        <v>45828.0</v>
      </c>
      <c r="R229" s="59" t="s">
        <v>31</v>
      </c>
    </row>
    <row r="230" hidden="1">
      <c r="A230" s="79" t="s">
        <v>46</v>
      </c>
      <c r="B230" s="44">
        <v>18.0</v>
      </c>
      <c r="C230" s="44" t="s">
        <v>157</v>
      </c>
      <c r="D230" s="44" t="s">
        <v>479</v>
      </c>
      <c r="E230" s="198">
        <v>1.0</v>
      </c>
      <c r="F230" s="198">
        <f>'90060_2024'!E82</f>
        <v>0</v>
      </c>
      <c r="G230" s="105">
        <f>'90060_2024'!F82</f>
        <v>1</v>
      </c>
      <c r="H230" s="28">
        <v>246000.0</v>
      </c>
      <c r="I230" s="28">
        <v>246000.0</v>
      </c>
      <c r="J230" s="44" t="s">
        <v>304</v>
      </c>
      <c r="K230" s="44" t="s">
        <v>639</v>
      </c>
      <c r="L230" s="44" t="s">
        <v>640</v>
      </c>
      <c r="M230" s="44" t="s">
        <v>641</v>
      </c>
      <c r="N230" s="44" t="s">
        <v>642</v>
      </c>
      <c r="O230" s="44" t="s">
        <v>643</v>
      </c>
      <c r="P230" s="44" t="s">
        <v>31</v>
      </c>
      <c r="Q230" s="245">
        <v>45828.0</v>
      </c>
      <c r="R230" s="44" t="s">
        <v>31</v>
      </c>
    </row>
    <row r="231" hidden="1">
      <c r="A231" s="77" t="s">
        <v>46</v>
      </c>
      <c r="B231" s="59">
        <v>18.0</v>
      </c>
      <c r="C231" s="59" t="s">
        <v>157</v>
      </c>
      <c r="D231" s="59" t="s">
        <v>479</v>
      </c>
      <c r="E231" s="167">
        <v>1.0</v>
      </c>
      <c r="F231" s="167">
        <f>'90060_2024'!E83</f>
        <v>0</v>
      </c>
      <c r="G231" s="102">
        <f>'90060_2024'!F83</f>
        <v>1</v>
      </c>
      <c r="H231" s="46">
        <v>246000.0</v>
      </c>
      <c r="I231" s="46">
        <v>246000.0</v>
      </c>
      <c r="J231" s="59" t="s">
        <v>272</v>
      </c>
      <c r="K231" s="59" t="s">
        <v>639</v>
      </c>
      <c r="L231" s="59" t="s">
        <v>640</v>
      </c>
      <c r="M231" s="59" t="s">
        <v>641</v>
      </c>
      <c r="N231" s="59" t="s">
        <v>642</v>
      </c>
      <c r="O231" s="59" t="s">
        <v>643</v>
      </c>
      <c r="P231" s="59" t="s">
        <v>31</v>
      </c>
      <c r="Q231" s="244">
        <v>45828.0</v>
      </c>
      <c r="R231" s="59" t="s">
        <v>31</v>
      </c>
    </row>
    <row r="232" hidden="1">
      <c r="A232" s="79" t="s">
        <v>46</v>
      </c>
      <c r="B232" s="44">
        <v>18.0</v>
      </c>
      <c r="C232" s="44" t="s">
        <v>157</v>
      </c>
      <c r="D232" s="44" t="s">
        <v>479</v>
      </c>
      <c r="E232" s="198">
        <v>1.0</v>
      </c>
      <c r="F232" s="198">
        <f>'90060_2024'!E84</f>
        <v>0</v>
      </c>
      <c r="G232" s="105">
        <f>'90060_2024'!F84</f>
        <v>1</v>
      </c>
      <c r="H232" s="28">
        <v>246000.0</v>
      </c>
      <c r="I232" s="28">
        <v>246000.0</v>
      </c>
      <c r="J232" s="44" t="s">
        <v>199</v>
      </c>
      <c r="K232" s="44" t="s">
        <v>639</v>
      </c>
      <c r="L232" s="44" t="s">
        <v>640</v>
      </c>
      <c r="M232" s="44" t="s">
        <v>641</v>
      </c>
      <c r="N232" s="44" t="s">
        <v>642</v>
      </c>
      <c r="O232" s="44" t="s">
        <v>643</v>
      </c>
      <c r="P232" s="44" t="s">
        <v>31</v>
      </c>
      <c r="Q232" s="245">
        <v>45828.0</v>
      </c>
      <c r="R232" s="44" t="s">
        <v>31</v>
      </c>
    </row>
    <row r="233" hidden="1">
      <c r="A233" s="77" t="s">
        <v>46</v>
      </c>
      <c r="B233" s="59">
        <v>18.0</v>
      </c>
      <c r="C233" s="59" t="s">
        <v>157</v>
      </c>
      <c r="D233" s="59" t="s">
        <v>479</v>
      </c>
      <c r="E233" s="167">
        <v>1.0</v>
      </c>
      <c r="F233" s="167">
        <f>'90060_2024'!E85</f>
        <v>0</v>
      </c>
      <c r="G233" s="102">
        <f>'90060_2024'!F85</f>
        <v>1</v>
      </c>
      <c r="H233" s="46">
        <v>246000.0</v>
      </c>
      <c r="I233" s="46">
        <v>246000.0</v>
      </c>
      <c r="J233" s="59" t="s">
        <v>210</v>
      </c>
      <c r="K233" s="59" t="s">
        <v>639</v>
      </c>
      <c r="L233" s="59" t="s">
        <v>640</v>
      </c>
      <c r="M233" s="59" t="s">
        <v>641</v>
      </c>
      <c r="N233" s="59" t="s">
        <v>642</v>
      </c>
      <c r="O233" s="59" t="s">
        <v>643</v>
      </c>
      <c r="P233" s="59" t="s">
        <v>31</v>
      </c>
      <c r="Q233" s="244">
        <v>45828.0</v>
      </c>
      <c r="R233" s="59" t="s">
        <v>31</v>
      </c>
    </row>
    <row r="234" hidden="1">
      <c r="A234" s="79" t="s">
        <v>46</v>
      </c>
      <c r="B234" s="44">
        <v>18.0</v>
      </c>
      <c r="C234" s="44" t="s">
        <v>157</v>
      </c>
      <c r="D234" s="44" t="s">
        <v>479</v>
      </c>
      <c r="E234" s="198">
        <v>3.0</v>
      </c>
      <c r="F234" s="198">
        <f>'90060_2024'!E86</f>
        <v>0</v>
      </c>
      <c r="G234" s="105">
        <f>'90060_2024'!F86</f>
        <v>3</v>
      </c>
      <c r="H234" s="28">
        <v>246000.0</v>
      </c>
      <c r="I234" s="28">
        <v>738000.0</v>
      </c>
      <c r="J234" s="44" t="s">
        <v>214</v>
      </c>
      <c r="K234" s="44" t="s">
        <v>639</v>
      </c>
      <c r="L234" s="44" t="s">
        <v>640</v>
      </c>
      <c r="M234" s="44" t="s">
        <v>641</v>
      </c>
      <c r="N234" s="44" t="s">
        <v>642</v>
      </c>
      <c r="O234" s="44" t="s">
        <v>643</v>
      </c>
      <c r="P234" s="44" t="s">
        <v>31</v>
      </c>
      <c r="Q234" s="245">
        <v>45828.0</v>
      </c>
      <c r="R234" s="44" t="s">
        <v>31</v>
      </c>
    </row>
    <row r="235" hidden="1">
      <c r="A235" s="77" t="s">
        <v>46</v>
      </c>
      <c r="B235" s="59">
        <v>19.0</v>
      </c>
      <c r="C235" s="59" t="s">
        <v>158</v>
      </c>
      <c r="D235" s="59" t="s">
        <v>488</v>
      </c>
      <c r="E235" s="167">
        <v>3.0</v>
      </c>
      <c r="F235" s="167">
        <f>'90060_2024'!E87</f>
        <v>3</v>
      </c>
      <c r="G235" s="102">
        <f>'90060_2024'!F87</f>
        <v>0</v>
      </c>
      <c r="H235" s="46">
        <v>295000.0</v>
      </c>
      <c r="I235" s="46">
        <v>885000.0</v>
      </c>
      <c r="J235" s="59" t="s">
        <v>221</v>
      </c>
      <c r="K235" s="59" t="s">
        <v>659</v>
      </c>
      <c r="L235" s="59" t="s">
        <v>389</v>
      </c>
      <c r="M235" s="59" t="s">
        <v>535</v>
      </c>
      <c r="N235" s="59" t="s">
        <v>536</v>
      </c>
      <c r="O235" s="69" t="s">
        <v>537</v>
      </c>
      <c r="P235" s="59" t="s">
        <v>538</v>
      </c>
      <c r="Q235" s="70">
        <v>45834.0</v>
      </c>
      <c r="R235" s="59" t="s">
        <v>31</v>
      </c>
    </row>
    <row r="236" hidden="1">
      <c r="A236" s="79" t="s">
        <v>46</v>
      </c>
      <c r="B236" s="44">
        <v>19.0</v>
      </c>
      <c r="C236" s="44" t="s">
        <v>158</v>
      </c>
      <c r="D236" s="44" t="s">
        <v>488</v>
      </c>
      <c r="E236" s="198">
        <v>1.0</v>
      </c>
      <c r="F236" s="198">
        <f>'90060_2024'!E88</f>
        <v>1</v>
      </c>
      <c r="G236" s="105">
        <f>'90060_2024'!F88</f>
        <v>0</v>
      </c>
      <c r="H236" s="28">
        <v>295000.0</v>
      </c>
      <c r="I236" s="28">
        <v>295000.0</v>
      </c>
      <c r="J236" s="44" t="s">
        <v>96</v>
      </c>
      <c r="K236" s="44" t="s">
        <v>659</v>
      </c>
      <c r="L236" s="44" t="s">
        <v>389</v>
      </c>
      <c r="M236" s="44" t="s">
        <v>535</v>
      </c>
      <c r="N236" s="44" t="s">
        <v>536</v>
      </c>
      <c r="O236" s="34" t="s">
        <v>537</v>
      </c>
      <c r="P236" s="44" t="s">
        <v>538</v>
      </c>
      <c r="Q236" s="63">
        <v>45834.0</v>
      </c>
      <c r="R236" s="44" t="s">
        <v>31</v>
      </c>
    </row>
    <row r="237" hidden="1">
      <c r="A237" s="77" t="s">
        <v>46</v>
      </c>
      <c r="B237" s="59">
        <v>19.0</v>
      </c>
      <c r="C237" s="59" t="s">
        <v>158</v>
      </c>
      <c r="D237" s="59" t="s">
        <v>488</v>
      </c>
      <c r="E237" s="167">
        <v>1.0</v>
      </c>
      <c r="F237" s="167">
        <f>'90060_2024'!E89</f>
        <v>1</v>
      </c>
      <c r="G237" s="102">
        <f>'90060_2024'!F89</f>
        <v>0</v>
      </c>
      <c r="H237" s="46">
        <v>295000.0</v>
      </c>
      <c r="I237" s="46">
        <v>295000.0</v>
      </c>
      <c r="J237" s="59" t="s">
        <v>286</v>
      </c>
      <c r="K237" s="59" t="s">
        <v>659</v>
      </c>
      <c r="L237" s="59" t="s">
        <v>389</v>
      </c>
      <c r="M237" s="59" t="s">
        <v>535</v>
      </c>
      <c r="N237" s="59" t="s">
        <v>536</v>
      </c>
      <c r="O237" s="69" t="s">
        <v>537</v>
      </c>
      <c r="P237" s="59" t="s">
        <v>538</v>
      </c>
      <c r="Q237" s="70">
        <v>45834.0</v>
      </c>
      <c r="R237" s="59" t="s">
        <v>31</v>
      </c>
    </row>
    <row r="238" hidden="1">
      <c r="A238" s="79" t="s">
        <v>46</v>
      </c>
      <c r="B238" s="44">
        <v>19.0</v>
      </c>
      <c r="C238" s="44" t="s">
        <v>158</v>
      </c>
      <c r="D238" s="44" t="s">
        <v>488</v>
      </c>
      <c r="E238" s="198">
        <v>4.0</v>
      </c>
      <c r="F238" s="198">
        <f>'90060_2024'!E90</f>
        <v>4</v>
      </c>
      <c r="G238" s="105">
        <f>'90060_2024'!F90</f>
        <v>0</v>
      </c>
      <c r="H238" s="28">
        <v>295000.0</v>
      </c>
      <c r="I238" s="28">
        <v>1180000.0</v>
      </c>
      <c r="J238" s="44" t="s">
        <v>89</v>
      </c>
      <c r="K238" s="44" t="s">
        <v>659</v>
      </c>
      <c r="L238" s="44" t="s">
        <v>389</v>
      </c>
      <c r="M238" s="44" t="s">
        <v>535</v>
      </c>
      <c r="N238" s="44" t="s">
        <v>536</v>
      </c>
      <c r="O238" s="34" t="s">
        <v>537</v>
      </c>
      <c r="P238" s="44" t="s">
        <v>538</v>
      </c>
      <c r="Q238" s="63">
        <v>45834.0</v>
      </c>
      <c r="R238" s="44" t="s">
        <v>31</v>
      </c>
    </row>
    <row r="239" hidden="1">
      <c r="A239" s="77" t="s">
        <v>46</v>
      </c>
      <c r="B239" s="59">
        <v>19.0</v>
      </c>
      <c r="C239" s="59" t="s">
        <v>158</v>
      </c>
      <c r="D239" s="59" t="s">
        <v>488</v>
      </c>
      <c r="E239" s="167">
        <v>1.0</v>
      </c>
      <c r="F239" s="167">
        <f>'90060_2024'!E91</f>
        <v>1</v>
      </c>
      <c r="G239" s="102">
        <f>'90060_2024'!F91</f>
        <v>0</v>
      </c>
      <c r="H239" s="46">
        <v>295000.0</v>
      </c>
      <c r="I239" s="46">
        <v>295000.0</v>
      </c>
      <c r="J239" s="59" t="s">
        <v>179</v>
      </c>
      <c r="K239" s="59" t="s">
        <v>659</v>
      </c>
      <c r="L239" s="59" t="s">
        <v>389</v>
      </c>
      <c r="M239" s="59" t="s">
        <v>535</v>
      </c>
      <c r="N239" s="59" t="s">
        <v>536</v>
      </c>
      <c r="O239" s="69" t="s">
        <v>537</v>
      </c>
      <c r="P239" s="59" t="s">
        <v>538</v>
      </c>
      <c r="Q239" s="70">
        <v>45834.0</v>
      </c>
      <c r="R239" s="59" t="s">
        <v>31</v>
      </c>
    </row>
    <row r="240" hidden="1">
      <c r="A240" s="79" t="s">
        <v>46</v>
      </c>
      <c r="B240" s="44">
        <v>19.0</v>
      </c>
      <c r="C240" s="44" t="s">
        <v>158</v>
      </c>
      <c r="D240" s="44" t="s">
        <v>488</v>
      </c>
      <c r="E240" s="198">
        <v>2.0</v>
      </c>
      <c r="F240" s="198">
        <f>'90060_2024'!E92</f>
        <v>2</v>
      </c>
      <c r="G240" s="105">
        <f>'90060_2024'!F92</f>
        <v>0</v>
      </c>
      <c r="H240" s="28">
        <v>295000.0</v>
      </c>
      <c r="I240" s="28">
        <v>590000.0</v>
      </c>
      <c r="J240" s="44" t="s">
        <v>134</v>
      </c>
      <c r="K240" s="44" t="s">
        <v>659</v>
      </c>
      <c r="L240" s="44" t="s">
        <v>389</v>
      </c>
      <c r="M240" s="44" t="s">
        <v>535</v>
      </c>
      <c r="N240" s="44" t="s">
        <v>536</v>
      </c>
      <c r="O240" s="34" t="s">
        <v>537</v>
      </c>
      <c r="P240" s="44" t="s">
        <v>538</v>
      </c>
      <c r="Q240" s="63">
        <v>45834.0</v>
      </c>
      <c r="R240" s="44" t="s">
        <v>31</v>
      </c>
    </row>
    <row r="241" hidden="1">
      <c r="A241" s="77" t="s">
        <v>46</v>
      </c>
      <c r="B241" s="59">
        <v>19.0</v>
      </c>
      <c r="C241" s="59" t="s">
        <v>158</v>
      </c>
      <c r="D241" s="59" t="s">
        <v>488</v>
      </c>
      <c r="E241" s="167">
        <v>3.0</v>
      </c>
      <c r="F241" s="167">
        <f>'90060_2024'!E93</f>
        <v>3</v>
      </c>
      <c r="G241" s="102">
        <f>'90060_2024'!F93</f>
        <v>0</v>
      </c>
      <c r="H241" s="46">
        <v>295000.0</v>
      </c>
      <c r="I241" s="46">
        <v>885000.0</v>
      </c>
      <c r="J241" s="59" t="s">
        <v>202</v>
      </c>
      <c r="K241" s="59" t="s">
        <v>659</v>
      </c>
      <c r="L241" s="59" t="s">
        <v>389</v>
      </c>
      <c r="M241" s="59" t="s">
        <v>535</v>
      </c>
      <c r="N241" s="59" t="s">
        <v>536</v>
      </c>
      <c r="O241" s="69" t="s">
        <v>537</v>
      </c>
      <c r="P241" s="59" t="s">
        <v>538</v>
      </c>
      <c r="Q241" s="70">
        <v>45834.0</v>
      </c>
      <c r="R241" s="59" t="s">
        <v>31</v>
      </c>
    </row>
    <row r="242" hidden="1">
      <c r="A242" s="79" t="s">
        <v>46</v>
      </c>
      <c r="B242" s="44">
        <v>19.0</v>
      </c>
      <c r="C242" s="44" t="s">
        <v>158</v>
      </c>
      <c r="D242" s="44" t="s">
        <v>488</v>
      </c>
      <c r="E242" s="198">
        <v>2.0</v>
      </c>
      <c r="F242" s="198">
        <f>'90060_2024'!E94</f>
        <v>2</v>
      </c>
      <c r="G242" s="105">
        <f>'90060_2024'!F94</f>
        <v>0</v>
      </c>
      <c r="H242" s="28">
        <v>295000.0</v>
      </c>
      <c r="I242" s="28">
        <v>590000.0</v>
      </c>
      <c r="J242" s="44" t="s">
        <v>191</v>
      </c>
      <c r="K242" s="44" t="s">
        <v>659</v>
      </c>
      <c r="L242" s="44" t="s">
        <v>389</v>
      </c>
      <c r="M242" s="44" t="s">
        <v>535</v>
      </c>
      <c r="N242" s="44" t="s">
        <v>536</v>
      </c>
      <c r="O242" s="34" t="s">
        <v>537</v>
      </c>
      <c r="P242" s="44" t="s">
        <v>538</v>
      </c>
      <c r="Q242" s="63">
        <v>45834.0</v>
      </c>
      <c r="R242" s="44" t="s">
        <v>31</v>
      </c>
    </row>
    <row r="243" hidden="1">
      <c r="A243" s="77" t="s">
        <v>46</v>
      </c>
      <c r="B243" s="59">
        <v>19.0</v>
      </c>
      <c r="C243" s="59" t="s">
        <v>158</v>
      </c>
      <c r="D243" s="59" t="s">
        <v>488</v>
      </c>
      <c r="E243" s="167">
        <v>1.0</v>
      </c>
      <c r="F243" s="167">
        <f>'90060_2024'!E95</f>
        <v>1</v>
      </c>
      <c r="G243" s="102">
        <f>'90060_2024'!F95</f>
        <v>0</v>
      </c>
      <c r="H243" s="46">
        <v>295000.0</v>
      </c>
      <c r="I243" s="46">
        <v>295000.0</v>
      </c>
      <c r="J243" s="59" t="s">
        <v>201</v>
      </c>
      <c r="K243" s="59" t="s">
        <v>659</v>
      </c>
      <c r="L243" s="59" t="s">
        <v>389</v>
      </c>
      <c r="M243" s="59" t="s">
        <v>535</v>
      </c>
      <c r="N243" s="59" t="s">
        <v>536</v>
      </c>
      <c r="O243" s="69" t="s">
        <v>537</v>
      </c>
      <c r="P243" s="59" t="s">
        <v>538</v>
      </c>
      <c r="Q243" s="70">
        <v>45834.0</v>
      </c>
      <c r="R243" s="59" t="s">
        <v>31</v>
      </c>
    </row>
    <row r="244" hidden="1">
      <c r="A244" s="79" t="s">
        <v>46</v>
      </c>
      <c r="B244" s="44">
        <v>20.0</v>
      </c>
      <c r="C244" s="44" t="s">
        <v>159</v>
      </c>
      <c r="D244" s="44" t="s">
        <v>500</v>
      </c>
      <c r="E244" s="198">
        <v>1.0</v>
      </c>
      <c r="F244" s="198">
        <f>'90060_2024'!E96</f>
        <v>1</v>
      </c>
      <c r="G244" s="105">
        <f>'90060_2024'!F96</f>
        <v>0</v>
      </c>
      <c r="H244" s="28">
        <v>219990.0</v>
      </c>
      <c r="I244" s="28">
        <v>219990.0</v>
      </c>
      <c r="J244" s="44" t="s">
        <v>179</v>
      </c>
      <c r="K244" s="44" t="s">
        <v>639</v>
      </c>
      <c r="L244" s="44" t="s">
        <v>640</v>
      </c>
      <c r="M244" s="44" t="s">
        <v>641</v>
      </c>
      <c r="N244" s="44" t="s">
        <v>642</v>
      </c>
      <c r="O244" s="44" t="s">
        <v>643</v>
      </c>
      <c r="P244" s="44" t="s">
        <v>31</v>
      </c>
      <c r="Q244" s="63" t="s">
        <v>31</v>
      </c>
      <c r="R244" s="44" t="s">
        <v>31</v>
      </c>
    </row>
    <row r="245" hidden="1">
      <c r="A245" s="77" t="s">
        <v>46</v>
      </c>
      <c r="B245" s="59">
        <v>20.0</v>
      </c>
      <c r="C245" s="59" t="s">
        <v>159</v>
      </c>
      <c r="D245" s="59" t="s">
        <v>500</v>
      </c>
      <c r="E245" s="167">
        <v>1.0</v>
      </c>
      <c r="F245" s="250">
        <v>1.0</v>
      </c>
      <c r="G245" s="251">
        <v>0.0</v>
      </c>
      <c r="H245" s="46">
        <v>219990.0</v>
      </c>
      <c r="I245" s="46">
        <v>219990.0</v>
      </c>
      <c r="J245" s="59" t="s">
        <v>58</v>
      </c>
      <c r="K245" s="59" t="s">
        <v>639</v>
      </c>
      <c r="L245" s="59" t="s">
        <v>640</v>
      </c>
      <c r="M245" s="59" t="s">
        <v>641</v>
      </c>
      <c r="N245" s="59" t="s">
        <v>642</v>
      </c>
      <c r="O245" s="59" t="s">
        <v>643</v>
      </c>
      <c r="P245" s="59" t="s">
        <v>31</v>
      </c>
      <c r="Q245" s="70" t="s">
        <v>31</v>
      </c>
      <c r="R245" s="59" t="s">
        <v>31</v>
      </c>
    </row>
    <row r="246" hidden="1">
      <c r="A246" s="79" t="s">
        <v>46</v>
      </c>
      <c r="B246" s="44">
        <v>20.0</v>
      </c>
      <c r="C246" s="44" t="s">
        <v>159</v>
      </c>
      <c r="D246" s="44" t="s">
        <v>500</v>
      </c>
      <c r="E246" s="198">
        <v>1.0</v>
      </c>
      <c r="F246" s="198">
        <f>'90060_2024'!E98</f>
        <v>0</v>
      </c>
      <c r="G246" s="105">
        <f>'90060_2024'!F98</f>
        <v>1</v>
      </c>
      <c r="H246" s="28">
        <v>219990.0</v>
      </c>
      <c r="I246" s="28">
        <v>219990.0</v>
      </c>
      <c r="J246" s="44" t="s">
        <v>85</v>
      </c>
      <c r="K246" s="44" t="s">
        <v>639</v>
      </c>
      <c r="L246" s="44" t="s">
        <v>640</v>
      </c>
      <c r="M246" s="44" t="s">
        <v>641</v>
      </c>
      <c r="N246" s="44" t="s">
        <v>642</v>
      </c>
      <c r="O246" s="44" t="s">
        <v>643</v>
      </c>
      <c r="P246" s="44" t="s">
        <v>31</v>
      </c>
      <c r="Q246" s="63" t="s">
        <v>31</v>
      </c>
      <c r="R246" s="44" t="s">
        <v>31</v>
      </c>
    </row>
    <row r="247" hidden="1">
      <c r="A247" s="77" t="s">
        <v>46</v>
      </c>
      <c r="B247" s="59">
        <v>20.0</v>
      </c>
      <c r="C247" s="59" t="s">
        <v>159</v>
      </c>
      <c r="D247" s="59" t="s">
        <v>500</v>
      </c>
      <c r="E247" s="167">
        <v>1.0</v>
      </c>
      <c r="F247" s="167">
        <f>'90060_2024'!E99</f>
        <v>0</v>
      </c>
      <c r="G247" s="102">
        <f>'90060_2024'!F99</f>
        <v>1</v>
      </c>
      <c r="H247" s="46">
        <v>219990.0</v>
      </c>
      <c r="I247" s="46">
        <v>219990.0</v>
      </c>
      <c r="J247" s="59" t="s">
        <v>232</v>
      </c>
      <c r="K247" s="59" t="s">
        <v>639</v>
      </c>
      <c r="L247" s="59" t="s">
        <v>640</v>
      </c>
      <c r="M247" s="59" t="s">
        <v>641</v>
      </c>
      <c r="N247" s="59" t="s">
        <v>642</v>
      </c>
      <c r="O247" s="59" t="s">
        <v>643</v>
      </c>
      <c r="P247" s="59" t="s">
        <v>31</v>
      </c>
      <c r="Q247" s="70" t="s">
        <v>31</v>
      </c>
      <c r="R247" s="59" t="s">
        <v>31</v>
      </c>
    </row>
    <row r="248" hidden="1">
      <c r="A248" s="79" t="s">
        <v>46</v>
      </c>
      <c r="B248" s="44">
        <v>20.0</v>
      </c>
      <c r="C248" s="44" t="s">
        <v>159</v>
      </c>
      <c r="D248" s="44" t="s">
        <v>500</v>
      </c>
      <c r="E248" s="198">
        <v>1.0</v>
      </c>
      <c r="F248" s="198">
        <f>'90060_2024'!E100</f>
        <v>0</v>
      </c>
      <c r="G248" s="105">
        <f>'90060_2024'!F100</f>
        <v>1</v>
      </c>
      <c r="H248" s="28">
        <v>219990.0</v>
      </c>
      <c r="I248" s="28">
        <v>219990.0</v>
      </c>
      <c r="J248" s="44" t="s">
        <v>103</v>
      </c>
      <c r="K248" s="44" t="s">
        <v>639</v>
      </c>
      <c r="L248" s="44" t="s">
        <v>640</v>
      </c>
      <c r="M248" s="44" t="s">
        <v>641</v>
      </c>
      <c r="N248" s="44" t="s">
        <v>642</v>
      </c>
      <c r="O248" s="44" t="s">
        <v>643</v>
      </c>
      <c r="P248" s="44" t="s">
        <v>31</v>
      </c>
      <c r="Q248" s="63" t="s">
        <v>31</v>
      </c>
      <c r="R248" s="44" t="s">
        <v>31</v>
      </c>
    </row>
    <row r="249" hidden="1">
      <c r="A249" s="77" t="s">
        <v>46</v>
      </c>
      <c r="B249" s="59">
        <v>20.0</v>
      </c>
      <c r="C249" s="59" t="s">
        <v>159</v>
      </c>
      <c r="D249" s="59" t="s">
        <v>500</v>
      </c>
      <c r="E249" s="167">
        <v>1.0</v>
      </c>
      <c r="F249" s="167">
        <f>'90060_2024'!E101</f>
        <v>0</v>
      </c>
      <c r="G249" s="102">
        <f>'90060_2024'!F101</f>
        <v>1</v>
      </c>
      <c r="H249" s="46">
        <v>219990.0</v>
      </c>
      <c r="I249" s="46">
        <v>219990.0</v>
      </c>
      <c r="J249" s="59" t="s">
        <v>96</v>
      </c>
      <c r="K249" s="59" t="s">
        <v>639</v>
      </c>
      <c r="L249" s="59" t="s">
        <v>640</v>
      </c>
      <c r="M249" s="59" t="s">
        <v>641</v>
      </c>
      <c r="N249" s="59" t="s">
        <v>642</v>
      </c>
      <c r="O249" s="59" t="s">
        <v>643</v>
      </c>
      <c r="P249" s="59" t="s">
        <v>31</v>
      </c>
      <c r="Q249" s="70" t="s">
        <v>31</v>
      </c>
      <c r="R249" s="59" t="s">
        <v>31</v>
      </c>
    </row>
    <row r="250" hidden="1">
      <c r="A250" s="79" t="s">
        <v>46</v>
      </c>
      <c r="B250" s="44">
        <v>20.0</v>
      </c>
      <c r="C250" s="44" t="s">
        <v>159</v>
      </c>
      <c r="D250" s="44" t="s">
        <v>500</v>
      </c>
      <c r="E250" s="198">
        <v>1.0</v>
      </c>
      <c r="F250" s="198">
        <f>'90060_2024'!E102</f>
        <v>0</v>
      </c>
      <c r="G250" s="105">
        <f>'90060_2024'!F102</f>
        <v>1</v>
      </c>
      <c r="H250" s="28">
        <v>219990.0</v>
      </c>
      <c r="I250" s="28">
        <v>219990.0</v>
      </c>
      <c r="J250" s="44" t="s">
        <v>113</v>
      </c>
      <c r="K250" s="44" t="s">
        <v>639</v>
      </c>
      <c r="L250" s="44" t="s">
        <v>640</v>
      </c>
      <c r="M250" s="44" t="s">
        <v>641</v>
      </c>
      <c r="N250" s="44" t="s">
        <v>642</v>
      </c>
      <c r="O250" s="44" t="s">
        <v>643</v>
      </c>
      <c r="P250" s="44" t="s">
        <v>31</v>
      </c>
      <c r="Q250" s="63" t="s">
        <v>31</v>
      </c>
      <c r="R250" s="44" t="s">
        <v>31</v>
      </c>
    </row>
    <row r="251" hidden="1">
      <c r="A251" s="77" t="s">
        <v>46</v>
      </c>
      <c r="B251" s="59">
        <v>20.0</v>
      </c>
      <c r="C251" s="59" t="s">
        <v>159</v>
      </c>
      <c r="D251" s="59" t="s">
        <v>500</v>
      </c>
      <c r="E251" s="167">
        <v>2.0</v>
      </c>
      <c r="F251" s="167">
        <f>'90060_2024'!E103</f>
        <v>0</v>
      </c>
      <c r="G251" s="102">
        <f>'90060_2024'!F103</f>
        <v>2</v>
      </c>
      <c r="H251" s="46">
        <v>219990.0</v>
      </c>
      <c r="I251" s="46">
        <v>439980.0</v>
      </c>
      <c r="J251" s="59" t="s">
        <v>134</v>
      </c>
      <c r="K251" s="59" t="s">
        <v>639</v>
      </c>
      <c r="L251" s="59" t="s">
        <v>640</v>
      </c>
      <c r="M251" s="59" t="s">
        <v>641</v>
      </c>
      <c r="N251" s="59" t="s">
        <v>642</v>
      </c>
      <c r="O251" s="59" t="s">
        <v>643</v>
      </c>
      <c r="P251" s="59" t="s">
        <v>31</v>
      </c>
      <c r="Q251" s="70" t="s">
        <v>31</v>
      </c>
      <c r="R251" s="59" t="s">
        <v>31</v>
      </c>
    </row>
    <row r="252" hidden="1">
      <c r="A252" s="79" t="s">
        <v>46</v>
      </c>
      <c r="B252" s="44">
        <v>20.0</v>
      </c>
      <c r="C252" s="44" t="s">
        <v>159</v>
      </c>
      <c r="D252" s="44" t="s">
        <v>500</v>
      </c>
      <c r="E252" s="198">
        <v>1.0</v>
      </c>
      <c r="F252" s="198">
        <f>'90060_2024'!E104</f>
        <v>0</v>
      </c>
      <c r="G252" s="105">
        <f>'90060_2024'!F104</f>
        <v>1</v>
      </c>
      <c r="H252" s="28">
        <v>219990.0</v>
      </c>
      <c r="I252" s="28">
        <v>219990.0</v>
      </c>
      <c r="J252" s="44" t="s">
        <v>161</v>
      </c>
      <c r="K252" s="44" t="s">
        <v>639</v>
      </c>
      <c r="L252" s="44" t="s">
        <v>640</v>
      </c>
      <c r="M252" s="44" t="s">
        <v>641</v>
      </c>
      <c r="N252" s="44" t="s">
        <v>642</v>
      </c>
      <c r="O252" s="44" t="s">
        <v>643</v>
      </c>
      <c r="P252" s="44" t="s">
        <v>31</v>
      </c>
      <c r="Q252" s="63" t="s">
        <v>31</v>
      </c>
      <c r="R252" s="44" t="s">
        <v>31</v>
      </c>
    </row>
    <row r="253" hidden="1">
      <c r="A253" s="77" t="s">
        <v>46</v>
      </c>
      <c r="B253" s="59">
        <v>20.0</v>
      </c>
      <c r="C253" s="59" t="s">
        <v>159</v>
      </c>
      <c r="D253" s="59" t="s">
        <v>500</v>
      </c>
      <c r="E253" s="167">
        <v>1.0</v>
      </c>
      <c r="F253" s="167">
        <f>'90060_2024'!E105</f>
        <v>0</v>
      </c>
      <c r="G253" s="102">
        <f>'90060_2024'!F105</f>
        <v>1</v>
      </c>
      <c r="H253" s="46">
        <v>219990.0</v>
      </c>
      <c r="I253" s="46">
        <v>219990.0</v>
      </c>
      <c r="J253" s="59" t="s">
        <v>175</v>
      </c>
      <c r="K253" s="59" t="s">
        <v>639</v>
      </c>
      <c r="L253" s="59" t="s">
        <v>640</v>
      </c>
      <c r="M253" s="59" t="s">
        <v>641</v>
      </c>
      <c r="N253" s="59" t="s">
        <v>642</v>
      </c>
      <c r="O253" s="59" t="s">
        <v>643</v>
      </c>
      <c r="P253" s="59" t="s">
        <v>31</v>
      </c>
      <c r="Q253" s="70" t="s">
        <v>31</v>
      </c>
      <c r="R253" s="59" t="s">
        <v>31</v>
      </c>
    </row>
    <row r="254" hidden="1">
      <c r="A254" s="79" t="s">
        <v>46</v>
      </c>
      <c r="B254" s="44">
        <v>20.0</v>
      </c>
      <c r="C254" s="44" t="s">
        <v>159</v>
      </c>
      <c r="D254" s="44" t="s">
        <v>500</v>
      </c>
      <c r="E254" s="198">
        <v>1.0</v>
      </c>
      <c r="F254" s="198">
        <f>'90060_2024'!E106</f>
        <v>0</v>
      </c>
      <c r="G254" s="105">
        <f>'90060_2024'!F106</f>
        <v>1</v>
      </c>
      <c r="H254" s="28">
        <v>219990.0</v>
      </c>
      <c r="I254" s="28">
        <v>219990.0</v>
      </c>
      <c r="J254" s="44" t="s">
        <v>188</v>
      </c>
      <c r="K254" s="44" t="s">
        <v>639</v>
      </c>
      <c r="L254" s="44" t="s">
        <v>640</v>
      </c>
      <c r="M254" s="44" t="s">
        <v>641</v>
      </c>
      <c r="N254" s="44" t="s">
        <v>642</v>
      </c>
      <c r="O254" s="44" t="s">
        <v>643</v>
      </c>
      <c r="P254" s="44" t="s">
        <v>31</v>
      </c>
      <c r="Q254" s="63" t="s">
        <v>31</v>
      </c>
      <c r="R254" s="44" t="s">
        <v>31</v>
      </c>
    </row>
    <row r="255" hidden="1">
      <c r="A255" s="77" t="s">
        <v>46</v>
      </c>
      <c r="B255" s="59">
        <v>20.0</v>
      </c>
      <c r="C255" s="59" t="s">
        <v>159</v>
      </c>
      <c r="D255" s="59" t="s">
        <v>500</v>
      </c>
      <c r="E255" s="167">
        <v>1.0</v>
      </c>
      <c r="F255" s="167">
        <f>'90060_2024'!E107</f>
        <v>0</v>
      </c>
      <c r="G255" s="102">
        <f>'90060_2024'!F107</f>
        <v>1</v>
      </c>
      <c r="H255" s="46">
        <v>219990.0</v>
      </c>
      <c r="I255" s="46">
        <v>219990.0</v>
      </c>
      <c r="J255" s="59" t="s">
        <v>189</v>
      </c>
      <c r="K255" s="59" t="s">
        <v>639</v>
      </c>
      <c r="L255" s="59" t="s">
        <v>640</v>
      </c>
      <c r="M255" s="59" t="s">
        <v>641</v>
      </c>
      <c r="N255" s="59" t="s">
        <v>642</v>
      </c>
      <c r="O255" s="59" t="s">
        <v>643</v>
      </c>
      <c r="P255" s="59" t="s">
        <v>31</v>
      </c>
      <c r="Q255" s="70" t="s">
        <v>31</v>
      </c>
      <c r="R255" s="59" t="s">
        <v>31</v>
      </c>
    </row>
    <row r="256" hidden="1">
      <c r="A256" s="79" t="s">
        <v>46</v>
      </c>
      <c r="B256" s="44">
        <v>20.0</v>
      </c>
      <c r="C256" s="44" t="s">
        <v>159</v>
      </c>
      <c r="D256" s="44" t="s">
        <v>500</v>
      </c>
      <c r="E256" s="198">
        <v>1.0</v>
      </c>
      <c r="F256" s="198">
        <f>'90060_2024'!E108</f>
        <v>0</v>
      </c>
      <c r="G256" s="105">
        <f>'90060_2024'!F108</f>
        <v>1</v>
      </c>
      <c r="H256" s="28">
        <v>219990.0</v>
      </c>
      <c r="I256" s="28">
        <v>219990.0</v>
      </c>
      <c r="J256" s="44" t="s">
        <v>194</v>
      </c>
      <c r="K256" s="44" t="s">
        <v>639</v>
      </c>
      <c r="L256" s="44" t="s">
        <v>640</v>
      </c>
      <c r="M256" s="44" t="s">
        <v>641</v>
      </c>
      <c r="N256" s="44" t="s">
        <v>642</v>
      </c>
      <c r="O256" s="44" t="s">
        <v>643</v>
      </c>
      <c r="P256" s="44" t="s">
        <v>31</v>
      </c>
      <c r="Q256" s="63" t="s">
        <v>31</v>
      </c>
      <c r="R256" s="44" t="s">
        <v>31</v>
      </c>
    </row>
    <row r="257" hidden="1">
      <c r="A257" s="77" t="s">
        <v>46</v>
      </c>
      <c r="B257" s="59">
        <v>20.0</v>
      </c>
      <c r="C257" s="59" t="s">
        <v>159</v>
      </c>
      <c r="D257" s="59" t="s">
        <v>500</v>
      </c>
      <c r="E257" s="167">
        <v>1.0</v>
      </c>
      <c r="F257" s="167">
        <f>'90060_2024'!E109</f>
        <v>0</v>
      </c>
      <c r="G257" s="102">
        <f>'90060_2024'!F109</f>
        <v>1</v>
      </c>
      <c r="H257" s="46">
        <v>219990.0</v>
      </c>
      <c r="I257" s="46">
        <v>219990.0</v>
      </c>
      <c r="J257" s="59" t="s">
        <v>199</v>
      </c>
      <c r="K257" s="59" t="s">
        <v>639</v>
      </c>
      <c r="L257" s="59" t="s">
        <v>640</v>
      </c>
      <c r="M257" s="59" t="s">
        <v>641</v>
      </c>
      <c r="N257" s="59" t="s">
        <v>642</v>
      </c>
      <c r="O257" s="59" t="s">
        <v>643</v>
      </c>
      <c r="P257" s="59" t="s">
        <v>31</v>
      </c>
      <c r="Q257" s="70" t="s">
        <v>31</v>
      </c>
      <c r="R257" s="59" t="s">
        <v>31</v>
      </c>
    </row>
    <row r="258" hidden="1">
      <c r="A258" s="79" t="s">
        <v>46</v>
      </c>
      <c r="B258" s="44">
        <v>20.0</v>
      </c>
      <c r="C258" s="44" t="s">
        <v>159</v>
      </c>
      <c r="D258" s="44" t="s">
        <v>500</v>
      </c>
      <c r="E258" s="198">
        <v>1.0</v>
      </c>
      <c r="F258" s="198">
        <f>'90060_2024'!E110</f>
        <v>0</v>
      </c>
      <c r="G258" s="105">
        <f>'90060_2024'!F110</f>
        <v>1</v>
      </c>
      <c r="H258" s="28">
        <v>219990.0</v>
      </c>
      <c r="I258" s="28">
        <v>219990.0</v>
      </c>
      <c r="J258" s="44" t="s">
        <v>214</v>
      </c>
      <c r="K258" s="44" t="s">
        <v>639</v>
      </c>
      <c r="L258" s="44" t="s">
        <v>640</v>
      </c>
      <c r="M258" s="44" t="s">
        <v>641</v>
      </c>
      <c r="N258" s="44" t="s">
        <v>642</v>
      </c>
      <c r="O258" s="44" t="s">
        <v>643</v>
      </c>
      <c r="P258" s="44" t="s">
        <v>31</v>
      </c>
      <c r="Q258" s="63" t="s">
        <v>31</v>
      </c>
      <c r="R258" s="44" t="s">
        <v>31</v>
      </c>
    </row>
    <row r="259" hidden="1">
      <c r="A259" s="77" t="s">
        <v>46</v>
      </c>
      <c r="B259" s="59">
        <v>21.0</v>
      </c>
      <c r="C259" s="59" t="s">
        <v>164</v>
      </c>
      <c r="D259" s="59" t="s">
        <v>583</v>
      </c>
      <c r="E259" s="59">
        <v>1.0</v>
      </c>
      <c r="F259" s="167">
        <f>'90060_2024'!E111</f>
        <v>0</v>
      </c>
      <c r="G259" s="102">
        <f>'90060_2024'!F111</f>
        <v>1</v>
      </c>
      <c r="H259" s="46">
        <v>1490000.0</v>
      </c>
      <c r="I259" s="46">
        <v>1490000.0</v>
      </c>
      <c r="J259" s="59" t="s">
        <v>134</v>
      </c>
      <c r="K259" s="59" t="s">
        <v>692</v>
      </c>
      <c r="L259" s="59" t="s">
        <v>389</v>
      </c>
      <c r="M259" s="59" t="s">
        <v>535</v>
      </c>
      <c r="N259" s="59" t="s">
        <v>536</v>
      </c>
      <c r="O259" s="69" t="s">
        <v>537</v>
      </c>
      <c r="P259" s="59" t="s">
        <v>31</v>
      </c>
      <c r="Q259" s="70" t="s">
        <v>31</v>
      </c>
      <c r="R259" s="59" t="s">
        <v>693</v>
      </c>
    </row>
    <row r="260" hidden="1">
      <c r="A260" s="79" t="s">
        <v>135</v>
      </c>
      <c r="B260" s="44">
        <v>1.0</v>
      </c>
      <c r="C260" s="44" t="s">
        <v>133</v>
      </c>
      <c r="D260" s="44" t="s">
        <v>25</v>
      </c>
      <c r="E260" s="44">
        <v>1.0</v>
      </c>
      <c r="F260" s="44">
        <f>'90101_2024'!E3</f>
        <v>0</v>
      </c>
      <c r="G260" s="56">
        <f>'90101_2024'!F3</f>
        <v>1</v>
      </c>
      <c r="H260" s="28" t="s">
        <v>694</v>
      </c>
      <c r="I260" s="28" t="s">
        <v>253</v>
      </c>
      <c r="J260" s="44" t="s">
        <v>695</v>
      </c>
      <c r="K260" s="44" t="s">
        <v>31</v>
      </c>
      <c r="L260" s="44" t="s">
        <v>31</v>
      </c>
      <c r="M260" s="44" t="s">
        <v>31</v>
      </c>
      <c r="N260" s="44" t="s">
        <v>31</v>
      </c>
      <c r="O260" s="44" t="s">
        <v>31</v>
      </c>
      <c r="P260" s="44" t="s">
        <v>31</v>
      </c>
      <c r="Q260" s="63" t="s">
        <v>31</v>
      </c>
      <c r="R260" s="259" t="s">
        <v>696</v>
      </c>
    </row>
    <row r="261" hidden="1">
      <c r="A261" s="77" t="s">
        <v>135</v>
      </c>
      <c r="B261" s="59">
        <v>1.0</v>
      </c>
      <c r="C261" s="59" t="s">
        <v>133</v>
      </c>
      <c r="D261" s="59" t="s">
        <v>25</v>
      </c>
      <c r="E261" s="59">
        <v>1.0</v>
      </c>
      <c r="F261" s="260">
        <f>'90101_2024'!E4</f>
        <v>1</v>
      </c>
      <c r="G261" s="67">
        <f>'90101_2024'!F4</f>
        <v>0</v>
      </c>
      <c r="H261" s="46" t="s">
        <v>694</v>
      </c>
      <c r="I261" s="46" t="s">
        <v>253</v>
      </c>
      <c r="J261" s="59" t="s">
        <v>697</v>
      </c>
      <c r="K261" s="59" t="s">
        <v>31</v>
      </c>
      <c r="L261" s="59" t="s">
        <v>31</v>
      </c>
      <c r="M261" s="59" t="s">
        <v>31</v>
      </c>
      <c r="N261" s="59" t="s">
        <v>31</v>
      </c>
      <c r="O261" s="59" t="s">
        <v>31</v>
      </c>
      <c r="P261" s="59" t="s">
        <v>31</v>
      </c>
      <c r="Q261" s="70" t="s">
        <v>31</v>
      </c>
      <c r="R261" s="261" t="s">
        <v>696</v>
      </c>
    </row>
    <row r="262" hidden="1">
      <c r="A262" s="79" t="s">
        <v>135</v>
      </c>
      <c r="B262" s="44">
        <v>1.0</v>
      </c>
      <c r="C262" s="44" t="s">
        <v>133</v>
      </c>
      <c r="D262" s="44" t="s">
        <v>25</v>
      </c>
      <c r="E262" s="44">
        <v>1.0</v>
      </c>
      <c r="F262" s="44">
        <f>'90101_2024'!E5</f>
        <v>0</v>
      </c>
      <c r="G262" s="56">
        <f>'90101_2024'!F5</f>
        <v>1</v>
      </c>
      <c r="H262" s="28" t="s">
        <v>694</v>
      </c>
      <c r="I262" s="28" t="s">
        <v>253</v>
      </c>
      <c r="J262" s="44" t="s">
        <v>698</v>
      </c>
      <c r="K262" s="44" t="s">
        <v>31</v>
      </c>
      <c r="L262" s="44" t="s">
        <v>31</v>
      </c>
      <c r="M262" s="44" t="s">
        <v>31</v>
      </c>
      <c r="N262" s="44" t="s">
        <v>31</v>
      </c>
      <c r="O262" s="44" t="s">
        <v>31</v>
      </c>
      <c r="P262" s="44" t="s">
        <v>31</v>
      </c>
      <c r="Q262" s="63" t="s">
        <v>31</v>
      </c>
      <c r="R262" s="259" t="s">
        <v>696</v>
      </c>
    </row>
    <row r="263" hidden="1">
      <c r="A263" s="77" t="s">
        <v>135</v>
      </c>
      <c r="B263" s="59">
        <v>1.0</v>
      </c>
      <c r="C263" s="59" t="s">
        <v>133</v>
      </c>
      <c r="D263" s="59" t="s">
        <v>25</v>
      </c>
      <c r="E263" s="59">
        <v>1.0</v>
      </c>
      <c r="F263" s="59">
        <f>'90101_2024'!E6</f>
        <v>0</v>
      </c>
      <c r="G263" s="67">
        <f>'90101_2024'!F6</f>
        <v>1</v>
      </c>
      <c r="H263" s="46" t="s">
        <v>694</v>
      </c>
      <c r="I263" s="46" t="s">
        <v>253</v>
      </c>
      <c r="J263" s="59" t="s">
        <v>699</v>
      </c>
      <c r="K263" s="59" t="s">
        <v>31</v>
      </c>
      <c r="L263" s="59" t="s">
        <v>31</v>
      </c>
      <c r="M263" s="59" t="s">
        <v>31</v>
      </c>
      <c r="N263" s="59" t="s">
        <v>31</v>
      </c>
      <c r="O263" s="59" t="s">
        <v>31</v>
      </c>
      <c r="P263" s="59" t="s">
        <v>31</v>
      </c>
      <c r="Q263" s="70" t="s">
        <v>31</v>
      </c>
      <c r="R263" s="261" t="s">
        <v>696</v>
      </c>
    </row>
    <row r="264" hidden="1">
      <c r="A264" s="79" t="s">
        <v>135</v>
      </c>
      <c r="B264" s="44">
        <v>1.0</v>
      </c>
      <c r="C264" s="44" t="s">
        <v>133</v>
      </c>
      <c r="D264" s="44" t="s">
        <v>25</v>
      </c>
      <c r="E264" s="44">
        <v>1.0</v>
      </c>
      <c r="F264" s="44">
        <f>'90101_2024'!E7</f>
        <v>0</v>
      </c>
      <c r="G264" s="56">
        <f>'90101_2024'!F7</f>
        <v>1</v>
      </c>
      <c r="H264" s="28" t="s">
        <v>694</v>
      </c>
      <c r="I264" s="28" t="s">
        <v>253</v>
      </c>
      <c r="J264" s="44" t="s">
        <v>700</v>
      </c>
      <c r="K264" s="44" t="s">
        <v>31</v>
      </c>
      <c r="L264" s="44" t="s">
        <v>31</v>
      </c>
      <c r="M264" s="44" t="s">
        <v>31</v>
      </c>
      <c r="N264" s="44" t="s">
        <v>31</v>
      </c>
      <c r="O264" s="44" t="s">
        <v>31</v>
      </c>
      <c r="P264" s="44" t="s">
        <v>31</v>
      </c>
      <c r="Q264" s="63" t="s">
        <v>31</v>
      </c>
      <c r="R264" s="259" t="s">
        <v>696</v>
      </c>
    </row>
    <row r="265" hidden="1">
      <c r="A265" s="77" t="s">
        <v>135</v>
      </c>
      <c r="B265" s="59">
        <v>1.0</v>
      </c>
      <c r="C265" s="59" t="s">
        <v>133</v>
      </c>
      <c r="D265" s="59" t="s">
        <v>25</v>
      </c>
      <c r="E265" s="59">
        <v>1.0</v>
      </c>
      <c r="F265" s="59">
        <f>'90101_2024'!E8</f>
        <v>0</v>
      </c>
      <c r="G265" s="67">
        <f>'90101_2024'!F8</f>
        <v>1</v>
      </c>
      <c r="H265" s="46" t="s">
        <v>694</v>
      </c>
      <c r="I265" s="46" t="s">
        <v>253</v>
      </c>
      <c r="J265" s="59" t="s">
        <v>701</v>
      </c>
      <c r="K265" s="59" t="s">
        <v>31</v>
      </c>
      <c r="L265" s="59" t="s">
        <v>31</v>
      </c>
      <c r="M265" s="59" t="s">
        <v>31</v>
      </c>
      <c r="N265" s="59" t="s">
        <v>31</v>
      </c>
      <c r="O265" s="59" t="s">
        <v>31</v>
      </c>
      <c r="P265" s="59" t="s">
        <v>31</v>
      </c>
      <c r="Q265" s="70" t="s">
        <v>31</v>
      </c>
      <c r="R265" s="261" t="s">
        <v>696</v>
      </c>
    </row>
    <row r="266" hidden="1">
      <c r="A266" s="79" t="s">
        <v>135</v>
      </c>
      <c r="B266" s="44">
        <v>1.0</v>
      </c>
      <c r="C266" s="44" t="s">
        <v>133</v>
      </c>
      <c r="D266" s="44" t="s">
        <v>25</v>
      </c>
      <c r="E266" s="44">
        <v>1.0</v>
      </c>
      <c r="F266" s="44">
        <f>'90101_2024'!E9</f>
        <v>0</v>
      </c>
      <c r="G266" s="56">
        <f>'90101_2024'!F9</f>
        <v>1</v>
      </c>
      <c r="H266" s="28" t="s">
        <v>694</v>
      </c>
      <c r="I266" s="28" t="s">
        <v>253</v>
      </c>
      <c r="J266" s="44" t="s">
        <v>702</v>
      </c>
      <c r="K266" s="44" t="s">
        <v>31</v>
      </c>
      <c r="L266" s="44" t="s">
        <v>31</v>
      </c>
      <c r="M266" s="44" t="s">
        <v>31</v>
      </c>
      <c r="N266" s="44" t="s">
        <v>31</v>
      </c>
      <c r="O266" s="44" t="s">
        <v>31</v>
      </c>
      <c r="P266" s="44" t="s">
        <v>31</v>
      </c>
      <c r="Q266" s="63" t="s">
        <v>31</v>
      </c>
      <c r="R266" s="259" t="s">
        <v>696</v>
      </c>
    </row>
    <row r="267" hidden="1">
      <c r="A267" s="77" t="s">
        <v>135</v>
      </c>
      <c r="B267" s="59">
        <v>1.0</v>
      </c>
      <c r="C267" s="59" t="s">
        <v>133</v>
      </c>
      <c r="D267" s="59" t="s">
        <v>25</v>
      </c>
      <c r="E267" s="59">
        <v>1.0</v>
      </c>
      <c r="F267" s="59">
        <f>'90101_2024'!E10</f>
        <v>1</v>
      </c>
      <c r="G267" s="67">
        <f>'90101_2024'!F10</f>
        <v>0</v>
      </c>
      <c r="H267" s="46" t="s">
        <v>694</v>
      </c>
      <c r="I267" s="46" t="s">
        <v>253</v>
      </c>
      <c r="J267" s="59" t="s">
        <v>703</v>
      </c>
      <c r="K267" s="59" t="s">
        <v>31</v>
      </c>
      <c r="L267" s="59" t="s">
        <v>31</v>
      </c>
      <c r="M267" s="59" t="s">
        <v>31</v>
      </c>
      <c r="N267" s="59" t="s">
        <v>31</v>
      </c>
      <c r="O267" s="59" t="s">
        <v>31</v>
      </c>
      <c r="P267" s="59" t="s">
        <v>31</v>
      </c>
      <c r="Q267" s="70" t="s">
        <v>31</v>
      </c>
      <c r="R267" s="261" t="s">
        <v>696</v>
      </c>
    </row>
    <row r="268" hidden="1">
      <c r="A268" s="79" t="s">
        <v>135</v>
      </c>
      <c r="B268" s="44">
        <v>1.0</v>
      </c>
      <c r="C268" s="44" t="s">
        <v>133</v>
      </c>
      <c r="D268" s="44" t="s">
        <v>25</v>
      </c>
      <c r="E268" s="44">
        <v>1.0</v>
      </c>
      <c r="F268" s="44">
        <f>'90101_2024'!E11</f>
        <v>0</v>
      </c>
      <c r="G268" s="56">
        <f>'90101_2024'!F11</f>
        <v>1</v>
      </c>
      <c r="H268" s="28" t="s">
        <v>694</v>
      </c>
      <c r="I268" s="28" t="s">
        <v>253</v>
      </c>
      <c r="J268" s="44" t="s">
        <v>704</v>
      </c>
      <c r="K268" s="44" t="s">
        <v>31</v>
      </c>
      <c r="L268" s="44" t="s">
        <v>31</v>
      </c>
      <c r="M268" s="44" t="s">
        <v>31</v>
      </c>
      <c r="N268" s="44" t="s">
        <v>31</v>
      </c>
      <c r="O268" s="44" t="s">
        <v>31</v>
      </c>
      <c r="P268" s="44" t="s">
        <v>31</v>
      </c>
      <c r="Q268" s="63" t="s">
        <v>31</v>
      </c>
      <c r="R268" s="259" t="s">
        <v>696</v>
      </c>
    </row>
    <row r="269" hidden="1">
      <c r="A269" s="77" t="s">
        <v>135</v>
      </c>
      <c r="B269" s="59">
        <v>1.0</v>
      </c>
      <c r="C269" s="59" t="s">
        <v>133</v>
      </c>
      <c r="D269" s="59" t="s">
        <v>25</v>
      </c>
      <c r="E269" s="59">
        <v>1.0</v>
      </c>
      <c r="F269" s="59">
        <f>'90101_2024'!E12</f>
        <v>0</v>
      </c>
      <c r="G269" s="67">
        <f>'90101_2024'!F12</f>
        <v>1</v>
      </c>
      <c r="H269" s="46" t="s">
        <v>694</v>
      </c>
      <c r="I269" s="46" t="s">
        <v>253</v>
      </c>
      <c r="J269" s="59" t="s">
        <v>705</v>
      </c>
      <c r="K269" s="59" t="s">
        <v>31</v>
      </c>
      <c r="L269" s="59" t="s">
        <v>31</v>
      </c>
      <c r="M269" s="59" t="s">
        <v>31</v>
      </c>
      <c r="N269" s="59" t="s">
        <v>31</v>
      </c>
      <c r="O269" s="59" t="s">
        <v>31</v>
      </c>
      <c r="P269" s="59" t="s">
        <v>31</v>
      </c>
      <c r="Q269" s="70" t="s">
        <v>31</v>
      </c>
      <c r="R269" s="261" t="s">
        <v>696</v>
      </c>
    </row>
    <row r="270" hidden="1">
      <c r="A270" s="79" t="s">
        <v>135</v>
      </c>
      <c r="B270" s="44">
        <v>1.0</v>
      </c>
      <c r="C270" s="44" t="s">
        <v>133</v>
      </c>
      <c r="D270" s="44" t="s">
        <v>25</v>
      </c>
      <c r="E270" s="44">
        <v>1.0</v>
      </c>
      <c r="F270" s="44">
        <f>'90101_2024'!E13</f>
        <v>0</v>
      </c>
      <c r="G270" s="56">
        <f>'90101_2024'!F13</f>
        <v>1</v>
      </c>
      <c r="H270" s="28" t="s">
        <v>694</v>
      </c>
      <c r="I270" s="28" t="s">
        <v>253</v>
      </c>
      <c r="J270" s="44" t="s">
        <v>708</v>
      </c>
      <c r="K270" s="44" t="s">
        <v>31</v>
      </c>
      <c r="L270" s="44" t="s">
        <v>31</v>
      </c>
      <c r="M270" s="44" t="s">
        <v>31</v>
      </c>
      <c r="N270" s="44" t="s">
        <v>31</v>
      </c>
      <c r="O270" s="44" t="s">
        <v>31</v>
      </c>
      <c r="P270" s="44" t="s">
        <v>31</v>
      </c>
      <c r="Q270" s="63" t="s">
        <v>31</v>
      </c>
      <c r="R270" s="259" t="s">
        <v>696</v>
      </c>
    </row>
    <row r="271" hidden="1">
      <c r="A271" s="77" t="s">
        <v>135</v>
      </c>
      <c r="B271" s="59">
        <v>1.0</v>
      </c>
      <c r="C271" s="59" t="s">
        <v>133</v>
      </c>
      <c r="D271" s="59" t="s">
        <v>25</v>
      </c>
      <c r="E271" s="59">
        <v>1.0</v>
      </c>
      <c r="F271" s="59">
        <f>'90101_2024'!E14</f>
        <v>1</v>
      </c>
      <c r="G271" s="67">
        <f>'90101_2024'!F14</f>
        <v>0</v>
      </c>
      <c r="H271" s="46" t="s">
        <v>694</v>
      </c>
      <c r="I271" s="46" t="s">
        <v>253</v>
      </c>
      <c r="J271" s="59" t="s">
        <v>710</v>
      </c>
      <c r="K271" s="59" t="s">
        <v>31</v>
      </c>
      <c r="L271" s="59" t="s">
        <v>31</v>
      </c>
      <c r="M271" s="59" t="s">
        <v>31</v>
      </c>
      <c r="N271" s="59" t="s">
        <v>31</v>
      </c>
      <c r="O271" s="59" t="s">
        <v>31</v>
      </c>
      <c r="P271" s="59" t="s">
        <v>31</v>
      </c>
      <c r="Q271" s="70" t="s">
        <v>31</v>
      </c>
      <c r="R271" s="261" t="s">
        <v>696</v>
      </c>
    </row>
    <row r="272" hidden="1">
      <c r="A272" s="79" t="s">
        <v>135</v>
      </c>
      <c r="B272" s="44">
        <v>1.0</v>
      </c>
      <c r="C272" s="44" t="s">
        <v>133</v>
      </c>
      <c r="D272" s="44" t="s">
        <v>25</v>
      </c>
      <c r="E272" s="44">
        <v>1.0</v>
      </c>
      <c r="F272" s="44">
        <f>'90101_2024'!E15</f>
        <v>1</v>
      </c>
      <c r="G272" s="56">
        <f>'90101_2024'!F15</f>
        <v>0</v>
      </c>
      <c r="H272" s="28" t="s">
        <v>694</v>
      </c>
      <c r="I272" s="28" t="s">
        <v>253</v>
      </c>
      <c r="J272" s="44" t="s">
        <v>711</v>
      </c>
      <c r="K272" s="44" t="s">
        <v>31</v>
      </c>
      <c r="L272" s="44" t="s">
        <v>31</v>
      </c>
      <c r="M272" s="44" t="s">
        <v>31</v>
      </c>
      <c r="N272" s="44" t="s">
        <v>31</v>
      </c>
      <c r="O272" s="44" t="s">
        <v>31</v>
      </c>
      <c r="P272" s="44" t="s">
        <v>31</v>
      </c>
      <c r="Q272" s="63" t="s">
        <v>31</v>
      </c>
      <c r="R272" s="259" t="s">
        <v>696</v>
      </c>
    </row>
    <row r="273" hidden="1">
      <c r="A273" s="77" t="s">
        <v>135</v>
      </c>
      <c r="B273" s="59">
        <v>1.0</v>
      </c>
      <c r="C273" s="59" t="s">
        <v>133</v>
      </c>
      <c r="D273" s="59" t="s">
        <v>25</v>
      </c>
      <c r="E273" s="59">
        <v>1.0</v>
      </c>
      <c r="F273" s="59">
        <f>'90101_2024'!E16</f>
        <v>0</v>
      </c>
      <c r="G273" s="67">
        <f>'90101_2024'!F16</f>
        <v>1</v>
      </c>
      <c r="H273" s="46" t="s">
        <v>694</v>
      </c>
      <c r="I273" s="46" t="s">
        <v>253</v>
      </c>
      <c r="J273" s="59" t="s">
        <v>717</v>
      </c>
      <c r="K273" s="59" t="s">
        <v>31</v>
      </c>
      <c r="L273" s="59" t="s">
        <v>31</v>
      </c>
      <c r="M273" s="59" t="s">
        <v>31</v>
      </c>
      <c r="N273" s="59" t="s">
        <v>31</v>
      </c>
      <c r="O273" s="59" t="s">
        <v>31</v>
      </c>
      <c r="P273" s="59" t="s">
        <v>31</v>
      </c>
      <c r="Q273" s="70" t="s">
        <v>31</v>
      </c>
      <c r="R273" s="261" t="s">
        <v>696</v>
      </c>
    </row>
    <row r="274" hidden="1">
      <c r="A274" s="79" t="s">
        <v>135</v>
      </c>
      <c r="B274" s="44">
        <v>1.0</v>
      </c>
      <c r="C274" s="44" t="s">
        <v>133</v>
      </c>
      <c r="D274" s="44" t="s">
        <v>25</v>
      </c>
      <c r="E274" s="44">
        <v>1.0</v>
      </c>
      <c r="F274" s="44">
        <f>'90101_2024'!E17</f>
        <v>0</v>
      </c>
      <c r="G274" s="56">
        <f>'90101_2024'!F17</f>
        <v>1</v>
      </c>
      <c r="H274" s="28" t="s">
        <v>694</v>
      </c>
      <c r="I274" s="28" t="s">
        <v>253</v>
      </c>
      <c r="J274" s="44" t="s">
        <v>718</v>
      </c>
      <c r="K274" s="44" t="s">
        <v>31</v>
      </c>
      <c r="L274" s="44" t="s">
        <v>31</v>
      </c>
      <c r="M274" s="44" t="s">
        <v>31</v>
      </c>
      <c r="N274" s="44" t="s">
        <v>31</v>
      </c>
      <c r="O274" s="44" t="s">
        <v>31</v>
      </c>
      <c r="P274" s="44" t="s">
        <v>31</v>
      </c>
      <c r="Q274" s="63" t="s">
        <v>31</v>
      </c>
      <c r="R274" s="259" t="s">
        <v>696</v>
      </c>
    </row>
    <row r="275" hidden="1">
      <c r="A275" s="77" t="s">
        <v>135</v>
      </c>
      <c r="B275" s="59">
        <v>1.0</v>
      </c>
      <c r="C275" s="59" t="s">
        <v>133</v>
      </c>
      <c r="D275" s="59" t="s">
        <v>25</v>
      </c>
      <c r="E275" s="59">
        <v>2.0</v>
      </c>
      <c r="F275" s="59">
        <f>'90101_2024'!E18</f>
        <v>0</v>
      </c>
      <c r="G275" s="67">
        <f>'90101_2024'!F18</f>
        <v>2</v>
      </c>
      <c r="H275" s="46" t="s">
        <v>694</v>
      </c>
      <c r="I275" s="46" t="s">
        <v>253</v>
      </c>
      <c r="J275" s="59" t="s">
        <v>719</v>
      </c>
      <c r="K275" s="59" t="s">
        <v>31</v>
      </c>
      <c r="L275" s="59" t="s">
        <v>31</v>
      </c>
      <c r="M275" s="59" t="s">
        <v>31</v>
      </c>
      <c r="N275" s="59" t="s">
        <v>31</v>
      </c>
      <c r="O275" s="59" t="s">
        <v>31</v>
      </c>
      <c r="P275" s="59" t="s">
        <v>31</v>
      </c>
      <c r="Q275" s="70" t="s">
        <v>31</v>
      </c>
      <c r="R275" s="261" t="s">
        <v>696</v>
      </c>
    </row>
    <row r="276" hidden="1">
      <c r="A276" s="79" t="s">
        <v>135</v>
      </c>
      <c r="B276" s="44">
        <v>2.0</v>
      </c>
      <c r="C276" s="44" t="s">
        <v>136</v>
      </c>
      <c r="D276" s="44" t="s">
        <v>57</v>
      </c>
      <c r="E276" s="44">
        <v>1.0</v>
      </c>
      <c r="F276" s="44">
        <f>'90101_2024'!E19</f>
        <v>1</v>
      </c>
      <c r="G276" s="56">
        <f>'90101_2024'!F19</f>
        <v>0</v>
      </c>
      <c r="H276" s="28" t="s">
        <v>694</v>
      </c>
      <c r="I276" s="28" t="s">
        <v>253</v>
      </c>
      <c r="J276" s="44" t="s">
        <v>697</v>
      </c>
      <c r="K276" s="44" t="s">
        <v>31</v>
      </c>
      <c r="L276" s="44" t="s">
        <v>31</v>
      </c>
      <c r="M276" s="44" t="s">
        <v>31</v>
      </c>
      <c r="N276" s="44" t="s">
        <v>31</v>
      </c>
      <c r="O276" s="44" t="s">
        <v>31</v>
      </c>
      <c r="P276" s="44" t="s">
        <v>31</v>
      </c>
      <c r="Q276" s="63" t="s">
        <v>31</v>
      </c>
      <c r="R276" s="259" t="s">
        <v>696</v>
      </c>
    </row>
    <row r="277" hidden="1">
      <c r="A277" s="77" t="s">
        <v>135</v>
      </c>
      <c r="B277" s="59">
        <v>2.0</v>
      </c>
      <c r="C277" s="59" t="s">
        <v>136</v>
      </c>
      <c r="D277" s="59" t="s">
        <v>57</v>
      </c>
      <c r="E277" s="59">
        <v>1.0</v>
      </c>
      <c r="F277" s="59">
        <f>'90101_2024'!E20</f>
        <v>1</v>
      </c>
      <c r="G277" s="67">
        <f>'90101_2024'!F20</f>
        <v>0</v>
      </c>
      <c r="H277" s="46" t="s">
        <v>694</v>
      </c>
      <c r="I277" s="46" t="s">
        <v>253</v>
      </c>
      <c r="J277" s="59" t="s">
        <v>698</v>
      </c>
      <c r="K277" s="59" t="s">
        <v>31</v>
      </c>
      <c r="L277" s="59" t="s">
        <v>31</v>
      </c>
      <c r="M277" s="59" t="s">
        <v>31</v>
      </c>
      <c r="N277" s="59" t="s">
        <v>31</v>
      </c>
      <c r="O277" s="59" t="s">
        <v>31</v>
      </c>
      <c r="P277" s="59" t="s">
        <v>31</v>
      </c>
      <c r="Q277" s="70" t="s">
        <v>31</v>
      </c>
      <c r="R277" s="261" t="s">
        <v>696</v>
      </c>
    </row>
    <row r="278" hidden="1">
      <c r="A278" s="79" t="s">
        <v>135</v>
      </c>
      <c r="B278" s="44">
        <v>2.0</v>
      </c>
      <c r="C278" s="44" t="s">
        <v>136</v>
      </c>
      <c r="D278" s="44" t="s">
        <v>57</v>
      </c>
      <c r="E278" s="44">
        <v>1.0</v>
      </c>
      <c r="F278" s="44">
        <f>'90101_2024'!E21</f>
        <v>1</v>
      </c>
      <c r="G278" s="56">
        <f>'90101_2024'!F21</f>
        <v>0</v>
      </c>
      <c r="H278" s="28" t="s">
        <v>694</v>
      </c>
      <c r="I278" s="28" t="s">
        <v>253</v>
      </c>
      <c r="J278" s="44" t="s">
        <v>699</v>
      </c>
      <c r="K278" s="44" t="s">
        <v>31</v>
      </c>
      <c r="L278" s="44" t="s">
        <v>31</v>
      </c>
      <c r="M278" s="44" t="s">
        <v>31</v>
      </c>
      <c r="N278" s="44" t="s">
        <v>31</v>
      </c>
      <c r="O278" s="44" t="s">
        <v>31</v>
      </c>
      <c r="P278" s="44" t="s">
        <v>31</v>
      </c>
      <c r="Q278" s="63" t="s">
        <v>31</v>
      </c>
      <c r="R278" s="259" t="s">
        <v>696</v>
      </c>
    </row>
    <row r="279" hidden="1">
      <c r="A279" s="77" t="s">
        <v>135</v>
      </c>
      <c r="B279" s="59">
        <v>2.0</v>
      </c>
      <c r="C279" s="59" t="s">
        <v>136</v>
      </c>
      <c r="D279" s="59" t="s">
        <v>57</v>
      </c>
      <c r="E279" s="59">
        <v>1.0</v>
      </c>
      <c r="F279" s="59">
        <f>'90101_2024'!E22</f>
        <v>1</v>
      </c>
      <c r="G279" s="67">
        <f>'90101_2024'!F22</f>
        <v>0</v>
      </c>
      <c r="H279" s="46" t="s">
        <v>694</v>
      </c>
      <c r="I279" s="46" t="s">
        <v>253</v>
      </c>
      <c r="J279" s="59" t="s">
        <v>720</v>
      </c>
      <c r="K279" s="59" t="s">
        <v>31</v>
      </c>
      <c r="L279" s="59" t="s">
        <v>31</v>
      </c>
      <c r="M279" s="59" t="s">
        <v>31</v>
      </c>
      <c r="N279" s="59" t="s">
        <v>31</v>
      </c>
      <c r="O279" s="59" t="s">
        <v>31</v>
      </c>
      <c r="P279" s="59" t="s">
        <v>31</v>
      </c>
      <c r="Q279" s="70" t="s">
        <v>31</v>
      </c>
      <c r="R279" s="261" t="s">
        <v>696</v>
      </c>
    </row>
    <row r="280" hidden="1">
      <c r="A280" s="79" t="s">
        <v>135</v>
      </c>
      <c r="B280" s="44">
        <v>2.0</v>
      </c>
      <c r="C280" s="44" t="s">
        <v>136</v>
      </c>
      <c r="D280" s="44" t="s">
        <v>57</v>
      </c>
      <c r="E280" s="44">
        <v>1.0</v>
      </c>
      <c r="F280" s="44">
        <f>'90101_2024'!E23</f>
        <v>1</v>
      </c>
      <c r="G280" s="56">
        <f>'90101_2024'!F23</f>
        <v>0</v>
      </c>
      <c r="H280" s="28" t="s">
        <v>694</v>
      </c>
      <c r="I280" s="28" t="s">
        <v>253</v>
      </c>
      <c r="J280" s="44" t="s">
        <v>705</v>
      </c>
      <c r="K280" s="44" t="s">
        <v>31</v>
      </c>
      <c r="L280" s="44" t="s">
        <v>31</v>
      </c>
      <c r="M280" s="44" t="s">
        <v>31</v>
      </c>
      <c r="N280" s="44" t="s">
        <v>31</v>
      </c>
      <c r="O280" s="44" t="s">
        <v>31</v>
      </c>
      <c r="P280" s="44" t="s">
        <v>31</v>
      </c>
      <c r="Q280" s="63" t="s">
        <v>31</v>
      </c>
      <c r="R280" s="259" t="s">
        <v>696</v>
      </c>
    </row>
    <row r="281" hidden="1">
      <c r="A281" s="77" t="s">
        <v>135</v>
      </c>
      <c r="B281" s="59">
        <v>2.0</v>
      </c>
      <c r="C281" s="59" t="s">
        <v>136</v>
      </c>
      <c r="D281" s="59" t="s">
        <v>57</v>
      </c>
      <c r="E281" s="59">
        <v>1.0</v>
      </c>
      <c r="F281" s="59">
        <f>'90101_2024'!E24</f>
        <v>1</v>
      </c>
      <c r="G281" s="67">
        <f>'90101_2024'!F24</f>
        <v>0</v>
      </c>
      <c r="H281" s="46" t="s">
        <v>694</v>
      </c>
      <c r="I281" s="46" t="s">
        <v>253</v>
      </c>
      <c r="J281" s="59" t="s">
        <v>708</v>
      </c>
      <c r="K281" s="59" t="s">
        <v>31</v>
      </c>
      <c r="L281" s="59" t="s">
        <v>31</v>
      </c>
      <c r="M281" s="59" t="s">
        <v>31</v>
      </c>
      <c r="N281" s="59" t="s">
        <v>31</v>
      </c>
      <c r="O281" s="59" t="s">
        <v>31</v>
      </c>
      <c r="P281" s="59" t="s">
        <v>31</v>
      </c>
      <c r="Q281" s="70" t="s">
        <v>31</v>
      </c>
      <c r="R281" s="261" t="s">
        <v>696</v>
      </c>
    </row>
    <row r="282" hidden="1">
      <c r="A282" s="79" t="s">
        <v>135</v>
      </c>
      <c r="B282" s="44">
        <v>2.0</v>
      </c>
      <c r="C282" s="44" t="s">
        <v>136</v>
      </c>
      <c r="D282" s="44" t="s">
        <v>57</v>
      </c>
      <c r="E282" s="44">
        <v>1.0</v>
      </c>
      <c r="F282" s="44">
        <f>'90101_2024'!E25</f>
        <v>1</v>
      </c>
      <c r="G282" s="56">
        <f>'90101_2024'!F25</f>
        <v>0</v>
      </c>
      <c r="H282" s="28" t="s">
        <v>694</v>
      </c>
      <c r="I282" s="28" t="s">
        <v>253</v>
      </c>
      <c r="J282" s="44" t="s">
        <v>721</v>
      </c>
      <c r="K282" s="44" t="s">
        <v>31</v>
      </c>
      <c r="L282" s="44" t="s">
        <v>31</v>
      </c>
      <c r="M282" s="44" t="s">
        <v>31</v>
      </c>
      <c r="N282" s="44" t="s">
        <v>31</v>
      </c>
      <c r="O282" s="44" t="s">
        <v>31</v>
      </c>
      <c r="P282" s="44" t="s">
        <v>31</v>
      </c>
      <c r="Q282" s="63" t="s">
        <v>31</v>
      </c>
      <c r="R282" s="259" t="s">
        <v>696</v>
      </c>
    </row>
    <row r="283" hidden="1">
      <c r="A283" s="77" t="s">
        <v>135</v>
      </c>
      <c r="B283" s="59">
        <v>2.0</v>
      </c>
      <c r="C283" s="59" t="s">
        <v>136</v>
      </c>
      <c r="D283" s="59" t="s">
        <v>57</v>
      </c>
      <c r="E283" s="59">
        <v>1.0</v>
      </c>
      <c r="F283" s="59">
        <f>'90101_2024'!E26</f>
        <v>1</v>
      </c>
      <c r="G283" s="67">
        <f>'90101_2024'!F26</f>
        <v>0</v>
      </c>
      <c r="H283" s="46" t="s">
        <v>694</v>
      </c>
      <c r="I283" s="46" t="s">
        <v>253</v>
      </c>
      <c r="J283" s="59" t="s">
        <v>722</v>
      </c>
      <c r="K283" s="59" t="s">
        <v>31</v>
      </c>
      <c r="L283" s="59" t="s">
        <v>31</v>
      </c>
      <c r="M283" s="59" t="s">
        <v>31</v>
      </c>
      <c r="N283" s="59" t="s">
        <v>31</v>
      </c>
      <c r="O283" s="59" t="s">
        <v>31</v>
      </c>
      <c r="P283" s="59" t="s">
        <v>31</v>
      </c>
      <c r="Q283" s="70" t="s">
        <v>31</v>
      </c>
      <c r="R283" s="261" t="s">
        <v>696</v>
      </c>
    </row>
    <row r="284" hidden="1">
      <c r="A284" s="79" t="s">
        <v>135</v>
      </c>
      <c r="B284" s="44">
        <v>2.0</v>
      </c>
      <c r="C284" s="44" t="s">
        <v>136</v>
      </c>
      <c r="D284" s="44" t="s">
        <v>57</v>
      </c>
      <c r="E284" s="44">
        <v>1.0</v>
      </c>
      <c r="F284" s="44">
        <f>'90101_2024'!E27</f>
        <v>1</v>
      </c>
      <c r="G284" s="56">
        <f>'90101_2024'!F27</f>
        <v>0</v>
      </c>
      <c r="H284" s="28" t="s">
        <v>694</v>
      </c>
      <c r="I284" s="28" t="s">
        <v>253</v>
      </c>
      <c r="J284" s="44" t="s">
        <v>711</v>
      </c>
      <c r="K284" s="44" t="s">
        <v>31</v>
      </c>
      <c r="L284" s="44" t="s">
        <v>31</v>
      </c>
      <c r="M284" s="44" t="s">
        <v>31</v>
      </c>
      <c r="N284" s="44" t="s">
        <v>31</v>
      </c>
      <c r="O284" s="44" t="s">
        <v>31</v>
      </c>
      <c r="P284" s="44" t="s">
        <v>31</v>
      </c>
      <c r="Q284" s="63" t="s">
        <v>31</v>
      </c>
      <c r="R284" s="259" t="s">
        <v>696</v>
      </c>
    </row>
    <row r="285" hidden="1">
      <c r="A285" s="77" t="s">
        <v>135</v>
      </c>
      <c r="B285" s="59">
        <v>2.0</v>
      </c>
      <c r="C285" s="59" t="s">
        <v>136</v>
      </c>
      <c r="D285" s="59" t="s">
        <v>57</v>
      </c>
      <c r="E285" s="59">
        <v>1.0</v>
      </c>
      <c r="F285" s="59">
        <f>'90101_2024'!E28</f>
        <v>1</v>
      </c>
      <c r="G285" s="67">
        <f>'90101_2024'!F28</f>
        <v>0</v>
      </c>
      <c r="H285" s="46" t="s">
        <v>694</v>
      </c>
      <c r="I285" s="46" t="s">
        <v>253</v>
      </c>
      <c r="J285" s="59" t="s">
        <v>723</v>
      </c>
      <c r="K285" s="59" t="s">
        <v>31</v>
      </c>
      <c r="L285" s="59" t="s">
        <v>31</v>
      </c>
      <c r="M285" s="59" t="s">
        <v>31</v>
      </c>
      <c r="N285" s="59" t="s">
        <v>31</v>
      </c>
      <c r="O285" s="59" t="s">
        <v>31</v>
      </c>
      <c r="P285" s="59" t="s">
        <v>31</v>
      </c>
      <c r="Q285" s="70" t="s">
        <v>31</v>
      </c>
      <c r="R285" s="261" t="s">
        <v>696</v>
      </c>
    </row>
    <row r="286" hidden="1">
      <c r="A286" s="79" t="s">
        <v>135</v>
      </c>
      <c r="B286" s="44">
        <v>2.0</v>
      </c>
      <c r="C286" s="44" t="s">
        <v>136</v>
      </c>
      <c r="D286" s="44" t="s">
        <v>57</v>
      </c>
      <c r="E286" s="44">
        <v>1.0</v>
      </c>
      <c r="F286" s="44">
        <f>'90101_2024'!E29</f>
        <v>1</v>
      </c>
      <c r="G286" s="56">
        <f>'90101_2024'!F29</f>
        <v>0</v>
      </c>
      <c r="H286" s="28" t="s">
        <v>694</v>
      </c>
      <c r="I286" s="28" t="s">
        <v>253</v>
      </c>
      <c r="J286" s="44" t="s">
        <v>724</v>
      </c>
      <c r="K286" s="44" t="s">
        <v>31</v>
      </c>
      <c r="L286" s="44" t="s">
        <v>31</v>
      </c>
      <c r="M286" s="44" t="s">
        <v>31</v>
      </c>
      <c r="N286" s="44" t="s">
        <v>31</v>
      </c>
      <c r="O286" s="44" t="s">
        <v>31</v>
      </c>
      <c r="P286" s="44" t="s">
        <v>31</v>
      </c>
      <c r="Q286" s="63" t="s">
        <v>31</v>
      </c>
      <c r="R286" s="259" t="s">
        <v>696</v>
      </c>
    </row>
    <row r="287" hidden="1">
      <c r="A287" s="77" t="s">
        <v>135</v>
      </c>
      <c r="B287" s="59">
        <v>2.0</v>
      </c>
      <c r="C287" s="59" t="s">
        <v>136</v>
      </c>
      <c r="D287" s="59" t="s">
        <v>57</v>
      </c>
      <c r="E287" s="59">
        <v>1.0</v>
      </c>
      <c r="F287" s="59">
        <f>'90101_2024'!E30</f>
        <v>1</v>
      </c>
      <c r="G287" s="67">
        <f>'90101_2024'!F30</f>
        <v>0</v>
      </c>
      <c r="H287" s="46" t="s">
        <v>694</v>
      </c>
      <c r="I287" s="46" t="s">
        <v>253</v>
      </c>
      <c r="J287" s="59" t="s">
        <v>717</v>
      </c>
      <c r="K287" s="59" t="s">
        <v>31</v>
      </c>
      <c r="L287" s="59" t="s">
        <v>31</v>
      </c>
      <c r="M287" s="59" t="s">
        <v>31</v>
      </c>
      <c r="N287" s="59" t="s">
        <v>31</v>
      </c>
      <c r="O287" s="59" t="s">
        <v>31</v>
      </c>
      <c r="P287" s="59" t="s">
        <v>31</v>
      </c>
      <c r="Q287" s="70" t="s">
        <v>31</v>
      </c>
      <c r="R287" s="261" t="s">
        <v>696</v>
      </c>
    </row>
    <row r="288" hidden="1">
      <c r="A288" s="79" t="s">
        <v>135</v>
      </c>
      <c r="B288" s="44">
        <v>2.0</v>
      </c>
      <c r="C288" s="44" t="s">
        <v>136</v>
      </c>
      <c r="D288" s="44" t="s">
        <v>57</v>
      </c>
      <c r="E288" s="44">
        <v>1.0</v>
      </c>
      <c r="F288" s="44">
        <f>'90101_2024'!E31</f>
        <v>1</v>
      </c>
      <c r="G288" s="56">
        <f>'90101_2024'!F31</f>
        <v>0</v>
      </c>
      <c r="H288" s="28" t="s">
        <v>694</v>
      </c>
      <c r="I288" s="28" t="s">
        <v>253</v>
      </c>
      <c r="J288" s="44" t="s">
        <v>725</v>
      </c>
      <c r="K288" s="44" t="s">
        <v>31</v>
      </c>
      <c r="L288" s="44" t="s">
        <v>31</v>
      </c>
      <c r="M288" s="44" t="s">
        <v>31</v>
      </c>
      <c r="N288" s="44" t="s">
        <v>31</v>
      </c>
      <c r="O288" s="44" t="s">
        <v>31</v>
      </c>
      <c r="P288" s="44" t="s">
        <v>31</v>
      </c>
      <c r="Q288" s="63" t="s">
        <v>31</v>
      </c>
      <c r="R288" s="259" t="s">
        <v>696</v>
      </c>
    </row>
    <row r="289" hidden="1">
      <c r="A289" s="77" t="s">
        <v>135</v>
      </c>
      <c r="B289" s="59">
        <v>2.0</v>
      </c>
      <c r="C289" s="59" t="s">
        <v>136</v>
      </c>
      <c r="D289" s="59" t="s">
        <v>57</v>
      </c>
      <c r="E289" s="59">
        <v>1.0</v>
      </c>
      <c r="F289" s="59">
        <f>'90101_2024'!E32</f>
        <v>1</v>
      </c>
      <c r="G289" s="67">
        <f>'90101_2024'!F32</f>
        <v>0</v>
      </c>
      <c r="H289" s="46" t="s">
        <v>694</v>
      </c>
      <c r="I289" s="46" t="s">
        <v>253</v>
      </c>
      <c r="J289" s="59" t="s">
        <v>719</v>
      </c>
      <c r="K289" s="59" t="s">
        <v>31</v>
      </c>
      <c r="L289" s="59" t="s">
        <v>31</v>
      </c>
      <c r="M289" s="59" t="s">
        <v>31</v>
      </c>
      <c r="N289" s="59" t="s">
        <v>31</v>
      </c>
      <c r="O289" s="59" t="s">
        <v>31</v>
      </c>
      <c r="P289" s="59" t="s">
        <v>31</v>
      </c>
      <c r="Q289" s="70" t="s">
        <v>31</v>
      </c>
      <c r="R289" s="261" t="s">
        <v>696</v>
      </c>
    </row>
    <row r="290" hidden="1">
      <c r="A290" s="79" t="s">
        <v>135</v>
      </c>
      <c r="B290" s="44">
        <v>3.0</v>
      </c>
      <c r="C290" s="44" t="s">
        <v>137</v>
      </c>
      <c r="D290" s="44" t="s">
        <v>726</v>
      </c>
      <c r="E290" s="44">
        <v>1.0</v>
      </c>
      <c r="F290" s="35">
        <f>'90101_2024'!E33</f>
        <v>0</v>
      </c>
      <c r="G290" s="56">
        <f>'90101_2024'!F33</f>
        <v>1</v>
      </c>
      <c r="H290" s="28" t="s">
        <v>694</v>
      </c>
      <c r="I290" s="28" t="s">
        <v>253</v>
      </c>
      <c r="J290" s="44" t="s">
        <v>276</v>
      </c>
      <c r="K290" s="44" t="s">
        <v>31</v>
      </c>
      <c r="L290" s="44" t="s">
        <v>31</v>
      </c>
      <c r="M290" s="44" t="s">
        <v>31</v>
      </c>
      <c r="N290" s="44" t="s">
        <v>31</v>
      </c>
      <c r="O290" s="44" t="s">
        <v>31</v>
      </c>
      <c r="P290" s="44" t="s">
        <v>31</v>
      </c>
      <c r="Q290" s="63" t="s">
        <v>31</v>
      </c>
      <c r="R290" s="259" t="s">
        <v>696</v>
      </c>
    </row>
    <row r="291" hidden="1">
      <c r="A291" s="77" t="s">
        <v>135</v>
      </c>
      <c r="B291" s="59">
        <v>3.0</v>
      </c>
      <c r="C291" s="59" t="s">
        <v>137</v>
      </c>
      <c r="D291" s="59" t="s">
        <v>726</v>
      </c>
      <c r="E291" s="59">
        <v>1.0</v>
      </c>
      <c r="F291" s="52">
        <f>'90101_2024'!E34</f>
        <v>0</v>
      </c>
      <c r="G291" s="67">
        <f>'90101_2024'!F34</f>
        <v>1</v>
      </c>
      <c r="H291" s="46" t="s">
        <v>694</v>
      </c>
      <c r="I291" s="46" t="s">
        <v>253</v>
      </c>
      <c r="J291" s="59" t="s">
        <v>701</v>
      </c>
      <c r="K291" s="59" t="s">
        <v>31</v>
      </c>
      <c r="L291" s="59" t="s">
        <v>31</v>
      </c>
      <c r="M291" s="59" t="s">
        <v>31</v>
      </c>
      <c r="N291" s="59" t="s">
        <v>31</v>
      </c>
      <c r="O291" s="59" t="s">
        <v>31</v>
      </c>
      <c r="P291" s="59" t="s">
        <v>31</v>
      </c>
      <c r="Q291" s="70" t="s">
        <v>31</v>
      </c>
      <c r="R291" s="261" t="s">
        <v>696</v>
      </c>
    </row>
    <row r="292" hidden="1">
      <c r="A292" s="79" t="s">
        <v>135</v>
      </c>
      <c r="B292" s="44">
        <v>3.0</v>
      </c>
      <c r="C292" s="44" t="s">
        <v>137</v>
      </c>
      <c r="D292" s="44" t="s">
        <v>726</v>
      </c>
      <c r="E292" s="44">
        <v>1.0</v>
      </c>
      <c r="F292" s="35">
        <f>'90101_2024'!E35</f>
        <v>1</v>
      </c>
      <c r="G292" s="56">
        <f>'90101_2024'!F35</f>
        <v>0</v>
      </c>
      <c r="H292" s="28" t="s">
        <v>694</v>
      </c>
      <c r="I292" s="28" t="s">
        <v>253</v>
      </c>
      <c r="J292" s="44" t="s">
        <v>703</v>
      </c>
      <c r="K292" s="44" t="s">
        <v>31</v>
      </c>
      <c r="L292" s="44" t="s">
        <v>31</v>
      </c>
      <c r="M292" s="44" t="s">
        <v>31</v>
      </c>
      <c r="N292" s="44" t="s">
        <v>31</v>
      </c>
      <c r="O292" s="44" t="s">
        <v>31</v>
      </c>
      <c r="P292" s="44" t="s">
        <v>31</v>
      </c>
      <c r="Q292" s="63" t="s">
        <v>31</v>
      </c>
      <c r="R292" s="259" t="s">
        <v>696</v>
      </c>
    </row>
    <row r="293" hidden="1">
      <c r="A293" s="77" t="s">
        <v>135</v>
      </c>
      <c r="B293" s="59">
        <v>3.0</v>
      </c>
      <c r="C293" s="59" t="s">
        <v>137</v>
      </c>
      <c r="D293" s="59" t="s">
        <v>726</v>
      </c>
      <c r="E293" s="59">
        <v>1.0</v>
      </c>
      <c r="F293" s="52">
        <f>'90101_2024'!E36</f>
        <v>1</v>
      </c>
      <c r="G293" s="67">
        <f>'90101_2024'!F36</f>
        <v>0</v>
      </c>
      <c r="H293" s="46" t="s">
        <v>694</v>
      </c>
      <c r="I293" s="46" t="s">
        <v>253</v>
      </c>
      <c r="J293" s="59" t="s">
        <v>721</v>
      </c>
      <c r="K293" s="59" t="s">
        <v>31</v>
      </c>
      <c r="L293" s="59" t="s">
        <v>31</v>
      </c>
      <c r="M293" s="59" t="s">
        <v>31</v>
      </c>
      <c r="N293" s="59" t="s">
        <v>31</v>
      </c>
      <c r="O293" s="59" t="s">
        <v>31</v>
      </c>
      <c r="P293" s="59" t="s">
        <v>31</v>
      </c>
      <c r="Q293" s="70" t="s">
        <v>31</v>
      </c>
      <c r="R293" s="261" t="s">
        <v>696</v>
      </c>
    </row>
    <row r="294" hidden="1">
      <c r="A294" s="79" t="s">
        <v>135</v>
      </c>
      <c r="B294" s="44">
        <v>3.0</v>
      </c>
      <c r="C294" s="44" t="s">
        <v>137</v>
      </c>
      <c r="D294" s="44" t="s">
        <v>726</v>
      </c>
      <c r="E294" s="44">
        <v>1.0</v>
      </c>
      <c r="F294" s="35">
        <f>'90101_2024'!E37</f>
        <v>0</v>
      </c>
      <c r="G294" s="56">
        <f>'90101_2024'!F37</f>
        <v>1</v>
      </c>
      <c r="H294" s="28" t="s">
        <v>694</v>
      </c>
      <c r="I294" s="28" t="s">
        <v>253</v>
      </c>
      <c r="J294" s="44" t="s">
        <v>722</v>
      </c>
      <c r="K294" s="44" t="s">
        <v>31</v>
      </c>
      <c r="L294" s="44" t="s">
        <v>31</v>
      </c>
      <c r="M294" s="44" t="s">
        <v>31</v>
      </c>
      <c r="N294" s="44" t="s">
        <v>31</v>
      </c>
      <c r="O294" s="44" t="s">
        <v>31</v>
      </c>
      <c r="P294" s="44" t="s">
        <v>31</v>
      </c>
      <c r="Q294" s="63" t="s">
        <v>31</v>
      </c>
      <c r="R294" s="259" t="s">
        <v>696</v>
      </c>
    </row>
    <row r="295" hidden="1">
      <c r="A295" s="77" t="s">
        <v>146</v>
      </c>
      <c r="B295" s="59">
        <v>1.0</v>
      </c>
      <c r="C295" s="59" t="s">
        <v>145</v>
      </c>
      <c r="D295" s="59" t="s">
        <v>49</v>
      </c>
      <c r="E295" s="59">
        <v>2.0</v>
      </c>
      <c r="F295" s="167">
        <f>'90103_2024'!E3</f>
        <v>2</v>
      </c>
      <c r="G295" s="293">
        <f>'90103_2024'!F3</f>
        <v>0</v>
      </c>
      <c r="H295" s="46">
        <v>97500.0</v>
      </c>
      <c r="I295" s="46">
        <v>195000.0</v>
      </c>
      <c r="J295" s="59" t="s">
        <v>202</v>
      </c>
      <c r="K295" s="59" t="s">
        <v>712</v>
      </c>
      <c r="L295" s="59" t="s">
        <v>183</v>
      </c>
      <c r="M295" s="59" t="s">
        <v>713</v>
      </c>
      <c r="N295" s="59" t="s">
        <v>714</v>
      </c>
      <c r="O295" s="59" t="s">
        <v>715</v>
      </c>
      <c r="P295" s="294" t="s">
        <v>716</v>
      </c>
      <c r="Q295" s="217" t="s">
        <v>147</v>
      </c>
      <c r="R295" s="59" t="s">
        <v>31</v>
      </c>
    </row>
    <row r="296" hidden="1">
      <c r="A296" s="79" t="s">
        <v>146</v>
      </c>
      <c r="B296" s="44">
        <v>1.0</v>
      </c>
      <c r="C296" s="44" t="s">
        <v>145</v>
      </c>
      <c r="D296" s="44" t="s">
        <v>49</v>
      </c>
      <c r="E296" s="44">
        <v>2.0</v>
      </c>
      <c r="F296" s="198">
        <f>'90103_2024'!E4</f>
        <v>2</v>
      </c>
      <c r="G296" s="295">
        <f>'90103_2024'!F4</f>
        <v>0</v>
      </c>
      <c r="H296" s="28">
        <v>97500.0</v>
      </c>
      <c r="I296" s="28">
        <v>195000.0</v>
      </c>
      <c r="J296" s="44" t="s">
        <v>111</v>
      </c>
      <c r="K296" s="44" t="s">
        <v>712</v>
      </c>
      <c r="L296" s="44" t="s">
        <v>183</v>
      </c>
      <c r="M296" s="44" t="s">
        <v>713</v>
      </c>
      <c r="N296" s="44" t="s">
        <v>714</v>
      </c>
      <c r="O296" s="44" t="s">
        <v>715</v>
      </c>
      <c r="P296" s="296" t="s">
        <v>716</v>
      </c>
      <c r="Q296" s="297" t="s">
        <v>147</v>
      </c>
      <c r="R296" s="44" t="s">
        <v>31</v>
      </c>
    </row>
    <row r="297" hidden="1">
      <c r="A297" s="77" t="s">
        <v>146</v>
      </c>
      <c r="B297" s="59">
        <v>1.0</v>
      </c>
      <c r="C297" s="59" t="s">
        <v>145</v>
      </c>
      <c r="D297" s="59" t="s">
        <v>49</v>
      </c>
      <c r="E297" s="59">
        <v>5.0</v>
      </c>
      <c r="F297" s="167">
        <f>'90103_2024'!E5</f>
        <v>5</v>
      </c>
      <c r="G297" s="293">
        <f>'90103_2024'!F5</f>
        <v>0</v>
      </c>
      <c r="H297" s="46">
        <v>97500.0</v>
      </c>
      <c r="I297" s="46">
        <v>487500.0</v>
      </c>
      <c r="J297" s="59" t="s">
        <v>199</v>
      </c>
      <c r="K297" s="59" t="s">
        <v>712</v>
      </c>
      <c r="L297" s="59" t="s">
        <v>183</v>
      </c>
      <c r="M297" s="59" t="s">
        <v>713</v>
      </c>
      <c r="N297" s="59" t="s">
        <v>714</v>
      </c>
      <c r="O297" s="59" t="s">
        <v>715</v>
      </c>
      <c r="P297" s="294" t="s">
        <v>716</v>
      </c>
      <c r="Q297" s="217" t="s">
        <v>147</v>
      </c>
      <c r="R297" s="59" t="s">
        <v>31</v>
      </c>
    </row>
    <row r="298" hidden="1">
      <c r="A298" s="79" t="s">
        <v>146</v>
      </c>
      <c r="B298" s="44">
        <v>1.0</v>
      </c>
      <c r="C298" s="44" t="s">
        <v>145</v>
      </c>
      <c r="D298" s="44" t="s">
        <v>49</v>
      </c>
      <c r="E298" s="44">
        <v>1.0</v>
      </c>
      <c r="F298" s="198">
        <f>'90103_2024'!E6</f>
        <v>1</v>
      </c>
      <c r="G298" s="295">
        <f>'90103_2024'!F6</f>
        <v>0</v>
      </c>
      <c r="H298" s="28">
        <v>97500.0</v>
      </c>
      <c r="I298" s="28">
        <v>97500.0</v>
      </c>
      <c r="J298" s="44" t="s">
        <v>178</v>
      </c>
      <c r="K298" s="44" t="s">
        <v>712</v>
      </c>
      <c r="L298" s="44" t="s">
        <v>183</v>
      </c>
      <c r="M298" s="44" t="s">
        <v>713</v>
      </c>
      <c r="N298" s="44" t="s">
        <v>714</v>
      </c>
      <c r="O298" s="44" t="s">
        <v>715</v>
      </c>
      <c r="P298" s="296" t="s">
        <v>716</v>
      </c>
      <c r="Q298" s="297" t="s">
        <v>147</v>
      </c>
      <c r="R298" s="44" t="s">
        <v>31</v>
      </c>
    </row>
    <row r="299" hidden="1">
      <c r="A299" s="77" t="s">
        <v>146</v>
      </c>
      <c r="B299" s="59">
        <v>1.0</v>
      </c>
      <c r="C299" s="59" t="s">
        <v>145</v>
      </c>
      <c r="D299" s="59" t="s">
        <v>49</v>
      </c>
      <c r="E299" s="59">
        <v>1.0</v>
      </c>
      <c r="F299" s="167">
        <f>'90103_2024'!E7</f>
        <v>1</v>
      </c>
      <c r="G299" s="293">
        <f>'90103_2024'!F7</f>
        <v>0</v>
      </c>
      <c r="H299" s="46">
        <v>97500.0</v>
      </c>
      <c r="I299" s="46">
        <v>97500.0</v>
      </c>
      <c r="J299" s="59" t="s">
        <v>272</v>
      </c>
      <c r="K299" s="59" t="s">
        <v>712</v>
      </c>
      <c r="L299" s="59" t="s">
        <v>183</v>
      </c>
      <c r="M299" s="59" t="s">
        <v>713</v>
      </c>
      <c r="N299" s="59" t="s">
        <v>714</v>
      </c>
      <c r="O299" s="59" t="s">
        <v>715</v>
      </c>
      <c r="P299" s="294" t="s">
        <v>716</v>
      </c>
      <c r="Q299" s="217" t="s">
        <v>147</v>
      </c>
      <c r="R299" s="59" t="s">
        <v>31</v>
      </c>
    </row>
    <row r="300" hidden="1">
      <c r="A300" s="79" t="s">
        <v>146</v>
      </c>
      <c r="B300" s="44">
        <v>2.0</v>
      </c>
      <c r="C300" s="44" t="s">
        <v>150</v>
      </c>
      <c r="D300" s="44" t="s">
        <v>482</v>
      </c>
      <c r="E300" s="44">
        <v>1.0</v>
      </c>
      <c r="F300" s="198">
        <f>'90103_2024'!E8</f>
        <v>0</v>
      </c>
      <c r="G300" s="295">
        <f>'90103_2024'!F8</f>
        <v>0</v>
      </c>
      <c r="H300" s="28" t="s">
        <v>31</v>
      </c>
      <c r="I300" s="28" t="s">
        <v>253</v>
      </c>
      <c r="J300" s="44" t="s">
        <v>727</v>
      </c>
      <c r="K300" s="44" t="s">
        <v>728</v>
      </c>
      <c r="L300" s="44" t="s">
        <v>728</v>
      </c>
      <c r="M300" s="44" t="s">
        <v>728</v>
      </c>
      <c r="N300" s="44" t="s">
        <v>728</v>
      </c>
      <c r="O300" s="44" t="s">
        <v>728</v>
      </c>
      <c r="P300" s="44" t="s">
        <v>48</v>
      </c>
      <c r="Q300" s="63" t="s">
        <v>48</v>
      </c>
      <c r="R300" s="44" t="s">
        <v>48</v>
      </c>
    </row>
    <row r="301" hidden="1">
      <c r="A301" s="77" t="s">
        <v>170</v>
      </c>
      <c r="B301" s="59">
        <v>1.0</v>
      </c>
      <c r="C301" s="59" t="s">
        <v>172</v>
      </c>
      <c r="D301" s="59" t="s">
        <v>368</v>
      </c>
      <c r="E301" s="59">
        <v>3.0</v>
      </c>
      <c r="F301" s="59">
        <f>'90121_2024'!E3</f>
        <v>1</v>
      </c>
      <c r="G301" s="67">
        <f>'90121_2024'!F3</f>
        <v>2</v>
      </c>
      <c r="H301" s="46">
        <v>825000.0</v>
      </c>
      <c r="I301" s="46">
        <v>2475000.0</v>
      </c>
      <c r="J301" s="59" t="s">
        <v>221</v>
      </c>
      <c r="K301" s="59" t="s">
        <v>729</v>
      </c>
      <c r="L301" s="59" t="s">
        <v>325</v>
      </c>
      <c r="M301" s="59" t="s">
        <v>236</v>
      </c>
      <c r="N301" s="59" t="s">
        <v>730</v>
      </c>
      <c r="O301" s="69" t="s">
        <v>731</v>
      </c>
      <c r="P301" s="298" t="s">
        <v>732</v>
      </c>
      <c r="Q301" s="217" t="s">
        <v>174</v>
      </c>
      <c r="R301" s="167" t="s">
        <v>733</v>
      </c>
    </row>
    <row r="302" hidden="1">
      <c r="A302" s="79" t="s">
        <v>170</v>
      </c>
      <c r="B302" s="44">
        <v>1.0</v>
      </c>
      <c r="C302" s="44" t="s">
        <v>172</v>
      </c>
      <c r="D302" s="44" t="s">
        <v>368</v>
      </c>
      <c r="E302" s="44">
        <v>1.0</v>
      </c>
      <c r="F302" s="44">
        <f>'90121_2024'!E4</f>
        <v>0</v>
      </c>
      <c r="G302" s="56">
        <f>'90121_2024'!F4</f>
        <v>1</v>
      </c>
      <c r="H302" s="28">
        <v>825000.0</v>
      </c>
      <c r="I302" s="28">
        <v>825000.0</v>
      </c>
      <c r="J302" s="44" t="s">
        <v>89</v>
      </c>
      <c r="K302" s="44" t="s">
        <v>729</v>
      </c>
      <c r="L302" s="44" t="s">
        <v>325</v>
      </c>
      <c r="M302" s="44" t="s">
        <v>236</v>
      </c>
      <c r="N302" s="44" t="s">
        <v>730</v>
      </c>
      <c r="O302" s="34" t="s">
        <v>731</v>
      </c>
      <c r="P302" s="300" t="s">
        <v>732</v>
      </c>
      <c r="Q302" s="297" t="s">
        <v>174</v>
      </c>
      <c r="R302" s="198" t="s">
        <v>733</v>
      </c>
    </row>
    <row r="303" hidden="1">
      <c r="A303" s="77" t="s">
        <v>170</v>
      </c>
      <c r="B303" s="59">
        <v>1.0</v>
      </c>
      <c r="C303" s="59" t="s">
        <v>172</v>
      </c>
      <c r="D303" s="59" t="s">
        <v>368</v>
      </c>
      <c r="E303" s="59">
        <v>3.0</v>
      </c>
      <c r="F303" s="59">
        <f>'90121_2024'!E5</f>
        <v>0</v>
      </c>
      <c r="G303" s="67">
        <f>'90121_2024'!F5</f>
        <v>3</v>
      </c>
      <c r="H303" s="46">
        <v>825000.0</v>
      </c>
      <c r="I303" s="46">
        <v>2475000.0</v>
      </c>
      <c r="J303" s="59" t="s">
        <v>179</v>
      </c>
      <c r="K303" s="59" t="s">
        <v>729</v>
      </c>
      <c r="L303" s="59" t="s">
        <v>325</v>
      </c>
      <c r="M303" s="59" t="s">
        <v>236</v>
      </c>
      <c r="N303" s="59" t="s">
        <v>730</v>
      </c>
      <c r="O303" s="69" t="s">
        <v>731</v>
      </c>
      <c r="P303" s="298" t="s">
        <v>732</v>
      </c>
      <c r="Q303" s="217" t="s">
        <v>174</v>
      </c>
      <c r="R303" s="167" t="s">
        <v>733</v>
      </c>
    </row>
    <row r="304" hidden="1">
      <c r="A304" s="79" t="s">
        <v>170</v>
      </c>
      <c r="B304" s="44">
        <v>1.0</v>
      </c>
      <c r="C304" s="44" t="s">
        <v>172</v>
      </c>
      <c r="D304" s="44" t="s">
        <v>368</v>
      </c>
      <c r="E304" s="44">
        <v>1.0</v>
      </c>
      <c r="F304" s="44">
        <f>'90121_2024'!E6</f>
        <v>0</v>
      </c>
      <c r="G304" s="56">
        <f>'90121_2024'!F6</f>
        <v>1</v>
      </c>
      <c r="H304" s="28">
        <v>825000.0</v>
      </c>
      <c r="I304" s="28">
        <v>825000.0</v>
      </c>
      <c r="J304" s="44" t="s">
        <v>167</v>
      </c>
      <c r="K304" s="44" t="s">
        <v>729</v>
      </c>
      <c r="L304" s="44" t="s">
        <v>325</v>
      </c>
      <c r="M304" s="44" t="s">
        <v>236</v>
      </c>
      <c r="N304" s="44" t="s">
        <v>730</v>
      </c>
      <c r="O304" s="34" t="s">
        <v>731</v>
      </c>
      <c r="P304" s="300" t="s">
        <v>732</v>
      </c>
      <c r="Q304" s="297" t="s">
        <v>174</v>
      </c>
      <c r="R304" s="198" t="s">
        <v>733</v>
      </c>
    </row>
    <row r="305" hidden="1">
      <c r="A305" s="77" t="s">
        <v>170</v>
      </c>
      <c r="B305" s="59">
        <v>1.0</v>
      </c>
      <c r="C305" s="59" t="s">
        <v>172</v>
      </c>
      <c r="D305" s="59" t="s">
        <v>368</v>
      </c>
      <c r="E305" s="59">
        <v>1.0</v>
      </c>
      <c r="F305" s="59">
        <f>'90121_2024'!E7</f>
        <v>0</v>
      </c>
      <c r="G305" s="67">
        <f>'90121_2024'!F7</f>
        <v>1</v>
      </c>
      <c r="H305" s="46">
        <v>825000.0</v>
      </c>
      <c r="I305" s="46">
        <v>825000.0</v>
      </c>
      <c r="J305" s="59" t="s">
        <v>735</v>
      </c>
      <c r="K305" s="59" t="s">
        <v>729</v>
      </c>
      <c r="L305" s="59" t="s">
        <v>325</v>
      </c>
      <c r="M305" s="59" t="s">
        <v>236</v>
      </c>
      <c r="N305" s="59" t="s">
        <v>730</v>
      </c>
      <c r="O305" s="69" t="s">
        <v>731</v>
      </c>
      <c r="P305" s="298" t="s">
        <v>732</v>
      </c>
      <c r="Q305" s="217" t="s">
        <v>174</v>
      </c>
      <c r="R305" s="167" t="s">
        <v>733</v>
      </c>
    </row>
    <row r="306" hidden="1">
      <c r="A306" s="79" t="s">
        <v>170</v>
      </c>
      <c r="B306" s="44">
        <v>1.0</v>
      </c>
      <c r="C306" s="44" t="s">
        <v>172</v>
      </c>
      <c r="D306" s="44" t="s">
        <v>368</v>
      </c>
      <c r="E306" s="44">
        <v>1.0</v>
      </c>
      <c r="F306" s="44">
        <f>'90121_2024'!E8</f>
        <v>0</v>
      </c>
      <c r="G306" s="56">
        <f>'90121_2024'!F8</f>
        <v>1</v>
      </c>
      <c r="H306" s="28">
        <v>825000.0</v>
      </c>
      <c r="I306" s="28">
        <v>825000.0</v>
      </c>
      <c r="J306" s="44" t="s">
        <v>201</v>
      </c>
      <c r="K306" s="44" t="s">
        <v>729</v>
      </c>
      <c r="L306" s="44" t="s">
        <v>325</v>
      </c>
      <c r="M306" s="44" t="s">
        <v>236</v>
      </c>
      <c r="N306" s="44" t="s">
        <v>730</v>
      </c>
      <c r="O306" s="34" t="s">
        <v>731</v>
      </c>
      <c r="P306" s="300" t="s">
        <v>732</v>
      </c>
      <c r="Q306" s="297" t="s">
        <v>174</v>
      </c>
      <c r="R306" s="198" t="s">
        <v>733</v>
      </c>
    </row>
    <row r="307" hidden="1">
      <c r="A307" s="77" t="s">
        <v>170</v>
      </c>
      <c r="B307" s="59">
        <v>1.0</v>
      </c>
      <c r="C307" s="59" t="s">
        <v>172</v>
      </c>
      <c r="D307" s="59" t="s">
        <v>368</v>
      </c>
      <c r="E307" s="59">
        <v>1.0</v>
      </c>
      <c r="F307" s="59">
        <f>'90121_2024'!E9</f>
        <v>0</v>
      </c>
      <c r="G307" s="67">
        <f>'90121_2024'!F9</f>
        <v>1</v>
      </c>
      <c r="H307" s="46">
        <v>825000.0</v>
      </c>
      <c r="I307" s="46">
        <v>825000.0</v>
      </c>
      <c r="J307" s="59" t="s">
        <v>192</v>
      </c>
      <c r="K307" s="59" t="s">
        <v>729</v>
      </c>
      <c r="L307" s="59" t="s">
        <v>325</v>
      </c>
      <c r="M307" s="59" t="s">
        <v>236</v>
      </c>
      <c r="N307" s="59" t="s">
        <v>730</v>
      </c>
      <c r="O307" s="69" t="s">
        <v>731</v>
      </c>
      <c r="P307" s="298" t="s">
        <v>732</v>
      </c>
      <c r="Q307" s="217" t="s">
        <v>174</v>
      </c>
      <c r="R307" s="167" t="s">
        <v>733</v>
      </c>
    </row>
    <row r="308" hidden="1">
      <c r="A308" s="79" t="s">
        <v>170</v>
      </c>
      <c r="B308" s="44">
        <v>1.0</v>
      </c>
      <c r="C308" s="44" t="s">
        <v>172</v>
      </c>
      <c r="D308" s="44" t="s">
        <v>368</v>
      </c>
      <c r="E308" s="44">
        <v>1.0</v>
      </c>
      <c r="F308" s="44">
        <f>'90121_2024'!E10</f>
        <v>1</v>
      </c>
      <c r="G308" s="56">
        <f>'90121_2024'!F10</f>
        <v>0</v>
      </c>
      <c r="H308" s="28">
        <v>825000.0</v>
      </c>
      <c r="I308" s="28">
        <v>825000.0</v>
      </c>
      <c r="J308" s="44" t="s">
        <v>739</v>
      </c>
      <c r="K308" s="44" t="s">
        <v>729</v>
      </c>
      <c r="L308" s="44" t="s">
        <v>325</v>
      </c>
      <c r="M308" s="44" t="s">
        <v>236</v>
      </c>
      <c r="N308" s="44" t="s">
        <v>730</v>
      </c>
      <c r="O308" s="34" t="s">
        <v>731</v>
      </c>
      <c r="P308" s="300" t="s">
        <v>732</v>
      </c>
      <c r="Q308" s="297" t="s">
        <v>174</v>
      </c>
      <c r="R308" s="198" t="s">
        <v>733</v>
      </c>
    </row>
    <row r="309" hidden="1">
      <c r="A309" s="77" t="s">
        <v>170</v>
      </c>
      <c r="B309" s="59">
        <v>1.0</v>
      </c>
      <c r="C309" s="59" t="s">
        <v>172</v>
      </c>
      <c r="D309" s="59" t="s">
        <v>368</v>
      </c>
      <c r="E309" s="59">
        <v>1.0</v>
      </c>
      <c r="F309" s="59">
        <f>'90121_2024'!E11</f>
        <v>0</v>
      </c>
      <c r="G309" s="67">
        <f>'90121_2024'!F11</f>
        <v>1</v>
      </c>
      <c r="H309" s="46">
        <v>825000.0</v>
      </c>
      <c r="I309" s="46">
        <v>825000.0</v>
      </c>
      <c r="J309" s="59" t="s">
        <v>304</v>
      </c>
      <c r="K309" s="59" t="s">
        <v>729</v>
      </c>
      <c r="L309" s="59" t="s">
        <v>325</v>
      </c>
      <c r="M309" s="59" t="s">
        <v>236</v>
      </c>
      <c r="N309" s="59" t="s">
        <v>730</v>
      </c>
      <c r="O309" s="69" t="s">
        <v>731</v>
      </c>
      <c r="P309" s="298" t="s">
        <v>732</v>
      </c>
      <c r="Q309" s="217" t="s">
        <v>174</v>
      </c>
      <c r="R309" s="167" t="s">
        <v>733</v>
      </c>
    </row>
    <row r="310" hidden="1">
      <c r="A310" s="79" t="s">
        <v>170</v>
      </c>
      <c r="B310" s="44">
        <v>2.0</v>
      </c>
      <c r="C310" s="44" t="s">
        <v>169</v>
      </c>
      <c r="D310" s="44" t="s">
        <v>347</v>
      </c>
      <c r="E310" s="44">
        <v>5.0</v>
      </c>
      <c r="F310" s="44">
        <f>'90121_2024'!E12</f>
        <v>2</v>
      </c>
      <c r="G310" s="56">
        <f>'90121_2024'!F12</f>
        <v>3</v>
      </c>
      <c r="H310" s="28">
        <v>132825.0</v>
      </c>
      <c r="I310" s="28">
        <v>664125.0</v>
      </c>
      <c r="J310" s="44" t="s">
        <v>221</v>
      </c>
      <c r="K310" s="44" t="s">
        <v>740</v>
      </c>
      <c r="L310" s="44" t="s">
        <v>741</v>
      </c>
      <c r="M310" s="44" t="s">
        <v>742</v>
      </c>
      <c r="N310" s="44" t="s">
        <v>743</v>
      </c>
      <c r="O310" s="44" t="s">
        <v>744</v>
      </c>
      <c r="P310" s="198"/>
      <c r="Q310" s="297"/>
      <c r="R310" s="198" t="s">
        <v>745</v>
      </c>
    </row>
    <row r="311" hidden="1">
      <c r="A311" s="77" t="s">
        <v>170</v>
      </c>
      <c r="B311" s="59">
        <v>2.0</v>
      </c>
      <c r="C311" s="59" t="s">
        <v>169</v>
      </c>
      <c r="D311" s="59" t="s">
        <v>347</v>
      </c>
      <c r="E311" s="59">
        <v>1.0</v>
      </c>
      <c r="F311" s="59">
        <f>'90121_2024'!E13</f>
        <v>0</v>
      </c>
      <c r="G311" s="67">
        <f>'90121_2024'!F13</f>
        <v>1</v>
      </c>
      <c r="H311" s="46">
        <v>132825.0</v>
      </c>
      <c r="I311" s="46">
        <v>132825.0</v>
      </c>
      <c r="J311" s="59" t="s">
        <v>85</v>
      </c>
      <c r="K311" s="59" t="s">
        <v>740</v>
      </c>
      <c r="L311" s="59" t="s">
        <v>741</v>
      </c>
      <c r="M311" s="59" t="s">
        <v>742</v>
      </c>
      <c r="N311" s="59" t="s">
        <v>743</v>
      </c>
      <c r="O311" s="59" t="s">
        <v>744</v>
      </c>
      <c r="P311" s="167"/>
      <c r="Q311" s="217"/>
      <c r="R311" s="167" t="s">
        <v>745</v>
      </c>
    </row>
    <row r="312" hidden="1">
      <c r="A312" s="79" t="s">
        <v>170</v>
      </c>
      <c r="B312" s="44">
        <v>2.0</v>
      </c>
      <c r="C312" s="44" t="s">
        <v>169</v>
      </c>
      <c r="D312" s="44" t="s">
        <v>347</v>
      </c>
      <c r="E312" s="44">
        <v>1.0</v>
      </c>
      <c r="F312" s="44">
        <f>'90121_2024'!E14</f>
        <v>0</v>
      </c>
      <c r="G312" s="56">
        <f>'90121_2024'!F14</f>
        <v>1</v>
      </c>
      <c r="H312" s="28">
        <v>132825.0</v>
      </c>
      <c r="I312" s="28">
        <v>132825.0</v>
      </c>
      <c r="J312" s="44" t="s">
        <v>113</v>
      </c>
      <c r="K312" s="44" t="s">
        <v>740</v>
      </c>
      <c r="L312" s="44" t="s">
        <v>741</v>
      </c>
      <c r="M312" s="44" t="s">
        <v>742</v>
      </c>
      <c r="N312" s="44" t="s">
        <v>743</v>
      </c>
      <c r="O312" s="44" t="s">
        <v>744</v>
      </c>
      <c r="P312" s="198"/>
      <c r="Q312" s="297"/>
      <c r="R312" s="198" t="s">
        <v>745</v>
      </c>
    </row>
    <row r="313" hidden="1">
      <c r="A313" s="77" t="s">
        <v>170</v>
      </c>
      <c r="B313" s="59">
        <v>2.0</v>
      </c>
      <c r="C313" s="59" t="s">
        <v>169</v>
      </c>
      <c r="D313" s="59" t="s">
        <v>347</v>
      </c>
      <c r="E313" s="59">
        <v>1.0</v>
      </c>
      <c r="F313" s="59">
        <f>'90121_2024'!E15</f>
        <v>0</v>
      </c>
      <c r="G313" s="67">
        <f>'90121_2024'!F15</f>
        <v>1</v>
      </c>
      <c r="H313" s="46">
        <v>132825.0</v>
      </c>
      <c r="I313" s="46">
        <v>132825.0</v>
      </c>
      <c r="J313" s="59" t="s">
        <v>161</v>
      </c>
      <c r="K313" s="59" t="s">
        <v>740</v>
      </c>
      <c r="L313" s="59" t="s">
        <v>741</v>
      </c>
      <c r="M313" s="59" t="s">
        <v>742</v>
      </c>
      <c r="N313" s="59" t="s">
        <v>743</v>
      </c>
      <c r="O313" s="59" t="s">
        <v>744</v>
      </c>
      <c r="P313" s="167"/>
      <c r="Q313" s="217"/>
      <c r="R313" s="167" t="s">
        <v>745</v>
      </c>
    </row>
    <row r="314" hidden="1">
      <c r="A314" s="79" t="s">
        <v>170</v>
      </c>
      <c r="B314" s="44">
        <v>2.0</v>
      </c>
      <c r="C314" s="44" t="s">
        <v>169</v>
      </c>
      <c r="D314" s="44" t="s">
        <v>347</v>
      </c>
      <c r="E314" s="44">
        <v>5.0</v>
      </c>
      <c r="F314" s="44">
        <f>'90121_2024'!E16</f>
        <v>0</v>
      </c>
      <c r="G314" s="56">
        <f>'90121_2024'!F16</f>
        <v>5</v>
      </c>
      <c r="H314" s="28">
        <v>132825.0</v>
      </c>
      <c r="I314" s="28">
        <v>664125.0</v>
      </c>
      <c r="J314" s="44" t="s">
        <v>89</v>
      </c>
      <c r="K314" s="44" t="s">
        <v>740</v>
      </c>
      <c r="L314" s="44" t="s">
        <v>741</v>
      </c>
      <c r="M314" s="44" t="s">
        <v>742</v>
      </c>
      <c r="N314" s="44" t="s">
        <v>743</v>
      </c>
      <c r="O314" s="44" t="s">
        <v>744</v>
      </c>
      <c r="P314" s="198"/>
      <c r="Q314" s="297"/>
      <c r="R314" s="198" t="s">
        <v>745</v>
      </c>
    </row>
    <row r="315" hidden="1">
      <c r="A315" s="77" t="s">
        <v>170</v>
      </c>
      <c r="B315" s="59">
        <v>2.0</v>
      </c>
      <c r="C315" s="59" t="s">
        <v>169</v>
      </c>
      <c r="D315" s="59" t="s">
        <v>347</v>
      </c>
      <c r="E315" s="59">
        <v>2.0</v>
      </c>
      <c r="F315" s="59">
        <f>'90121_2024'!E17</f>
        <v>0</v>
      </c>
      <c r="G315" s="67">
        <f>'90121_2024'!F17</f>
        <v>2</v>
      </c>
      <c r="H315" s="46">
        <v>132825.0</v>
      </c>
      <c r="I315" s="46">
        <v>265650.0</v>
      </c>
      <c r="J315" s="59" t="s">
        <v>179</v>
      </c>
      <c r="K315" s="59" t="s">
        <v>740</v>
      </c>
      <c r="L315" s="59" t="s">
        <v>741</v>
      </c>
      <c r="M315" s="59" t="s">
        <v>742</v>
      </c>
      <c r="N315" s="59" t="s">
        <v>743</v>
      </c>
      <c r="O315" s="59" t="s">
        <v>744</v>
      </c>
      <c r="P315" s="167"/>
      <c r="Q315" s="217"/>
      <c r="R315" s="167" t="s">
        <v>745</v>
      </c>
    </row>
    <row r="316" hidden="1">
      <c r="A316" s="79" t="s">
        <v>170</v>
      </c>
      <c r="B316" s="44">
        <v>2.0</v>
      </c>
      <c r="C316" s="44" t="s">
        <v>169</v>
      </c>
      <c r="D316" s="44" t="s">
        <v>347</v>
      </c>
      <c r="E316" s="44">
        <v>3.0</v>
      </c>
      <c r="F316" s="44">
        <f>'90121_2024'!E18</f>
        <v>0</v>
      </c>
      <c r="G316" s="56">
        <f>'90121_2024'!F18</f>
        <v>3</v>
      </c>
      <c r="H316" s="28">
        <v>132825.0</v>
      </c>
      <c r="I316" s="28">
        <v>398475.0</v>
      </c>
      <c r="J316" s="44" t="s">
        <v>167</v>
      </c>
      <c r="K316" s="44" t="s">
        <v>740</v>
      </c>
      <c r="L316" s="44" t="s">
        <v>741</v>
      </c>
      <c r="M316" s="44" t="s">
        <v>742</v>
      </c>
      <c r="N316" s="44" t="s">
        <v>743</v>
      </c>
      <c r="O316" s="44" t="s">
        <v>744</v>
      </c>
      <c r="P316" s="198"/>
      <c r="Q316" s="297"/>
      <c r="R316" s="198" t="s">
        <v>745</v>
      </c>
    </row>
    <row r="317" hidden="1">
      <c r="A317" s="77" t="s">
        <v>170</v>
      </c>
      <c r="B317" s="59">
        <v>2.0</v>
      </c>
      <c r="C317" s="59" t="s">
        <v>169</v>
      </c>
      <c r="D317" s="59" t="s">
        <v>347</v>
      </c>
      <c r="E317" s="59">
        <v>3.0</v>
      </c>
      <c r="F317" s="59">
        <f>'90121_2024'!E19</f>
        <v>0</v>
      </c>
      <c r="G317" s="67">
        <f>'90121_2024'!F19</f>
        <v>3</v>
      </c>
      <c r="H317" s="46">
        <v>132825.0</v>
      </c>
      <c r="I317" s="46">
        <v>398475.0</v>
      </c>
      <c r="J317" s="59" t="s">
        <v>202</v>
      </c>
      <c r="K317" s="59" t="s">
        <v>740</v>
      </c>
      <c r="L317" s="59" t="s">
        <v>741</v>
      </c>
      <c r="M317" s="59" t="s">
        <v>742</v>
      </c>
      <c r="N317" s="59" t="s">
        <v>743</v>
      </c>
      <c r="O317" s="59" t="s">
        <v>744</v>
      </c>
      <c r="P317" s="167"/>
      <c r="Q317" s="217"/>
      <c r="R317" s="167" t="s">
        <v>745</v>
      </c>
    </row>
    <row r="318" hidden="1">
      <c r="A318" s="79" t="s">
        <v>170</v>
      </c>
      <c r="B318" s="44">
        <v>2.0</v>
      </c>
      <c r="C318" s="44" t="s">
        <v>169</v>
      </c>
      <c r="D318" s="44" t="s">
        <v>347</v>
      </c>
      <c r="E318" s="44">
        <v>1.0</v>
      </c>
      <c r="F318" s="44">
        <f>'90121_2024'!E20</f>
        <v>0</v>
      </c>
      <c r="G318" s="56">
        <f>'90121_2024'!F20</f>
        <v>1</v>
      </c>
      <c r="H318" s="28">
        <v>132825.0</v>
      </c>
      <c r="I318" s="28">
        <v>132825.0</v>
      </c>
      <c r="J318" s="44" t="s">
        <v>228</v>
      </c>
      <c r="K318" s="44" t="s">
        <v>740</v>
      </c>
      <c r="L318" s="44" t="s">
        <v>741</v>
      </c>
      <c r="M318" s="44" t="s">
        <v>742</v>
      </c>
      <c r="N318" s="44" t="s">
        <v>743</v>
      </c>
      <c r="O318" s="44" t="s">
        <v>744</v>
      </c>
      <c r="P318" s="198"/>
      <c r="Q318" s="297"/>
      <c r="R318" s="198" t="s">
        <v>745</v>
      </c>
    </row>
    <row r="319" hidden="1">
      <c r="A319" s="77" t="s">
        <v>170</v>
      </c>
      <c r="B319" s="59">
        <v>2.0</v>
      </c>
      <c r="C319" s="59" t="s">
        <v>169</v>
      </c>
      <c r="D319" s="59" t="s">
        <v>347</v>
      </c>
      <c r="E319" s="59">
        <v>1.0</v>
      </c>
      <c r="F319" s="59">
        <f>'90121_2024'!E21</f>
        <v>0</v>
      </c>
      <c r="G319" s="67">
        <f>'90121_2024'!F21</f>
        <v>1</v>
      </c>
      <c r="H319" s="46">
        <v>132825.0</v>
      </c>
      <c r="I319" s="46">
        <v>132825.0</v>
      </c>
      <c r="J319" s="59" t="s">
        <v>188</v>
      </c>
      <c r="K319" s="59" t="s">
        <v>740</v>
      </c>
      <c r="L319" s="59" t="s">
        <v>741</v>
      </c>
      <c r="M319" s="59" t="s">
        <v>742</v>
      </c>
      <c r="N319" s="59" t="s">
        <v>743</v>
      </c>
      <c r="O319" s="59" t="s">
        <v>744</v>
      </c>
      <c r="P319" s="167"/>
      <c r="Q319" s="217"/>
      <c r="R319" s="167" t="s">
        <v>745</v>
      </c>
    </row>
    <row r="320" hidden="1">
      <c r="A320" s="79" t="s">
        <v>170</v>
      </c>
      <c r="B320" s="44">
        <v>2.0</v>
      </c>
      <c r="C320" s="44" t="s">
        <v>169</v>
      </c>
      <c r="D320" s="44" t="s">
        <v>347</v>
      </c>
      <c r="E320" s="44">
        <v>1.0</v>
      </c>
      <c r="F320" s="44">
        <f>'90121_2024'!E22</f>
        <v>0</v>
      </c>
      <c r="G320" s="56">
        <f>'90121_2024'!F22</f>
        <v>1</v>
      </c>
      <c r="H320" s="28">
        <v>132825.0</v>
      </c>
      <c r="I320" s="28">
        <v>132825.0</v>
      </c>
      <c r="J320" s="44" t="s">
        <v>197</v>
      </c>
      <c r="K320" s="44" t="s">
        <v>740</v>
      </c>
      <c r="L320" s="44" t="s">
        <v>741</v>
      </c>
      <c r="M320" s="44" t="s">
        <v>742</v>
      </c>
      <c r="N320" s="44" t="s">
        <v>743</v>
      </c>
      <c r="O320" s="44" t="s">
        <v>744</v>
      </c>
      <c r="P320" s="198"/>
      <c r="Q320" s="297"/>
      <c r="R320" s="198" t="s">
        <v>745</v>
      </c>
    </row>
    <row r="321" hidden="1">
      <c r="A321" s="77" t="s">
        <v>170</v>
      </c>
      <c r="B321" s="59">
        <v>2.0</v>
      </c>
      <c r="C321" s="59" t="s">
        <v>169</v>
      </c>
      <c r="D321" s="59" t="s">
        <v>347</v>
      </c>
      <c r="E321" s="59">
        <v>1.0</v>
      </c>
      <c r="F321" s="59">
        <f>'90121_2024'!E23</f>
        <v>0</v>
      </c>
      <c r="G321" s="67">
        <f>'90121_2024'!F23</f>
        <v>1</v>
      </c>
      <c r="H321" s="46">
        <v>132825.0</v>
      </c>
      <c r="I321" s="46">
        <v>132825.0</v>
      </c>
      <c r="J321" s="59" t="s">
        <v>160</v>
      </c>
      <c r="K321" s="59" t="s">
        <v>740</v>
      </c>
      <c r="L321" s="59" t="s">
        <v>741</v>
      </c>
      <c r="M321" s="59" t="s">
        <v>742</v>
      </c>
      <c r="N321" s="59" t="s">
        <v>743</v>
      </c>
      <c r="O321" s="59" t="s">
        <v>744</v>
      </c>
      <c r="P321" s="167"/>
      <c r="Q321" s="217"/>
      <c r="R321" s="167" t="s">
        <v>745</v>
      </c>
    </row>
    <row r="322" hidden="1">
      <c r="A322" s="79" t="s">
        <v>170</v>
      </c>
      <c r="B322" s="44">
        <v>2.0</v>
      </c>
      <c r="C322" s="44" t="s">
        <v>169</v>
      </c>
      <c r="D322" s="44" t="s">
        <v>347</v>
      </c>
      <c r="E322" s="44">
        <v>1.0</v>
      </c>
      <c r="F322" s="44">
        <f>'90121_2024'!E24</f>
        <v>0</v>
      </c>
      <c r="G322" s="56">
        <f>'90121_2024'!F24</f>
        <v>1</v>
      </c>
      <c r="H322" s="28">
        <v>132825.0</v>
      </c>
      <c r="I322" s="28">
        <v>132825.0</v>
      </c>
      <c r="J322" s="44" t="s">
        <v>189</v>
      </c>
      <c r="K322" s="44" t="s">
        <v>740</v>
      </c>
      <c r="L322" s="44" t="s">
        <v>741</v>
      </c>
      <c r="M322" s="44" t="s">
        <v>742</v>
      </c>
      <c r="N322" s="44" t="s">
        <v>743</v>
      </c>
      <c r="O322" s="44" t="s">
        <v>744</v>
      </c>
      <c r="P322" s="198"/>
      <c r="Q322" s="297"/>
      <c r="R322" s="198" t="s">
        <v>745</v>
      </c>
    </row>
    <row r="323" hidden="1">
      <c r="A323" s="77" t="s">
        <v>170</v>
      </c>
      <c r="B323" s="59">
        <v>2.0</v>
      </c>
      <c r="C323" s="59" t="s">
        <v>169</v>
      </c>
      <c r="D323" s="59" t="s">
        <v>347</v>
      </c>
      <c r="E323" s="59">
        <v>1.0</v>
      </c>
      <c r="F323" s="59">
        <f>'90121_2024'!E25</f>
        <v>0</v>
      </c>
      <c r="G323" s="67">
        <f>'90121_2024'!F25</f>
        <v>1</v>
      </c>
      <c r="H323" s="46">
        <v>132825.0</v>
      </c>
      <c r="I323" s="46">
        <v>132825.0</v>
      </c>
      <c r="J323" s="59" t="s">
        <v>304</v>
      </c>
      <c r="K323" s="59" t="s">
        <v>740</v>
      </c>
      <c r="L323" s="59" t="s">
        <v>741</v>
      </c>
      <c r="M323" s="59" t="s">
        <v>742</v>
      </c>
      <c r="N323" s="59" t="s">
        <v>743</v>
      </c>
      <c r="O323" s="59" t="s">
        <v>744</v>
      </c>
      <c r="P323" s="167"/>
      <c r="Q323" s="217"/>
      <c r="R323" s="167" t="s">
        <v>745</v>
      </c>
    </row>
    <row r="324" hidden="1">
      <c r="A324" s="79" t="s">
        <v>170</v>
      </c>
      <c r="B324" s="44">
        <v>2.0</v>
      </c>
      <c r="C324" s="44" t="s">
        <v>169</v>
      </c>
      <c r="D324" s="44" t="s">
        <v>347</v>
      </c>
      <c r="E324" s="44">
        <v>1.0</v>
      </c>
      <c r="F324" s="44">
        <f>'90121_2024'!E26</f>
        <v>0</v>
      </c>
      <c r="G324" s="56">
        <f>'90121_2024'!F26</f>
        <v>1</v>
      </c>
      <c r="H324" s="28">
        <v>132825.0</v>
      </c>
      <c r="I324" s="28">
        <v>132825.0</v>
      </c>
      <c r="J324" s="44" t="s">
        <v>760</v>
      </c>
      <c r="K324" s="44" t="s">
        <v>740</v>
      </c>
      <c r="L324" s="44" t="s">
        <v>741</v>
      </c>
      <c r="M324" s="44" t="s">
        <v>742</v>
      </c>
      <c r="N324" s="44" t="s">
        <v>743</v>
      </c>
      <c r="O324" s="44" t="s">
        <v>744</v>
      </c>
      <c r="P324" s="198"/>
      <c r="Q324" s="297"/>
      <c r="R324" s="198" t="s">
        <v>745</v>
      </c>
    </row>
    <row r="325" hidden="1">
      <c r="A325" s="77" t="s">
        <v>170</v>
      </c>
      <c r="B325" s="59">
        <v>2.0</v>
      </c>
      <c r="C325" s="59" t="s">
        <v>169</v>
      </c>
      <c r="D325" s="59" t="s">
        <v>347</v>
      </c>
      <c r="E325" s="59">
        <v>7.0</v>
      </c>
      <c r="F325" s="59">
        <f>'90121_2024'!E27</f>
        <v>0</v>
      </c>
      <c r="G325" s="67">
        <f>'90121_2024'!F27</f>
        <v>7</v>
      </c>
      <c r="H325" s="46">
        <v>132825.0</v>
      </c>
      <c r="I325" s="46">
        <v>929775.0</v>
      </c>
      <c r="J325" s="59" t="s">
        <v>727</v>
      </c>
      <c r="K325" s="59" t="s">
        <v>740</v>
      </c>
      <c r="L325" s="59" t="s">
        <v>741</v>
      </c>
      <c r="M325" s="59" t="s">
        <v>742</v>
      </c>
      <c r="N325" s="59" t="s">
        <v>743</v>
      </c>
      <c r="O325" s="59" t="s">
        <v>744</v>
      </c>
      <c r="P325" s="167"/>
      <c r="Q325" s="217"/>
      <c r="R325" s="167" t="s">
        <v>745</v>
      </c>
    </row>
    <row r="326" hidden="1">
      <c r="A326" s="79" t="s">
        <v>139</v>
      </c>
      <c r="B326" s="44">
        <v>1.0</v>
      </c>
      <c r="C326" s="44" t="s">
        <v>141</v>
      </c>
      <c r="D326" s="44" t="s">
        <v>767</v>
      </c>
      <c r="E326" s="44">
        <v>1.0</v>
      </c>
      <c r="F326" s="44">
        <f>'90091_2024'!D3</f>
        <v>1</v>
      </c>
      <c r="G326" s="56">
        <f>'90091_2024'!E3</f>
        <v>0</v>
      </c>
      <c r="H326" s="28">
        <v>130000.0</v>
      </c>
      <c r="I326" s="28">
        <f t="shared" ref="I326:I341" si="1">H326*G326</f>
        <v>0</v>
      </c>
      <c r="J326" s="103" t="s">
        <v>276</v>
      </c>
      <c r="K326" s="198" t="s">
        <v>768</v>
      </c>
      <c r="L326" s="198" t="s">
        <v>769</v>
      </c>
      <c r="M326" s="198" t="s">
        <v>770</v>
      </c>
      <c r="N326" s="198" t="s">
        <v>772</v>
      </c>
      <c r="O326" s="34" t="s">
        <v>774</v>
      </c>
      <c r="P326" s="300" t="s">
        <v>776</v>
      </c>
      <c r="Q326" s="297" t="s">
        <v>140</v>
      </c>
      <c r="R326" s="44"/>
    </row>
    <row r="327" hidden="1">
      <c r="A327" s="77" t="s">
        <v>139</v>
      </c>
      <c r="B327" s="59">
        <v>1.0</v>
      </c>
      <c r="C327" s="59" t="s">
        <v>141</v>
      </c>
      <c r="D327" s="59" t="s">
        <v>767</v>
      </c>
      <c r="E327" s="59">
        <v>1.0</v>
      </c>
      <c r="F327" s="59">
        <f>'90091_2024'!D4</f>
        <v>1</v>
      </c>
      <c r="G327" s="67">
        <f>'90091_2024'!E4</f>
        <v>0</v>
      </c>
      <c r="H327" s="46">
        <v>130000.0</v>
      </c>
      <c r="I327" s="46">
        <f t="shared" si="1"/>
        <v>0</v>
      </c>
      <c r="J327" s="160" t="s">
        <v>178</v>
      </c>
      <c r="K327" s="167" t="s">
        <v>768</v>
      </c>
      <c r="L327" s="167" t="s">
        <v>769</v>
      </c>
      <c r="M327" s="167" t="s">
        <v>770</v>
      </c>
      <c r="N327" s="167" t="s">
        <v>772</v>
      </c>
      <c r="O327" s="69" t="s">
        <v>774</v>
      </c>
      <c r="P327" s="298" t="s">
        <v>776</v>
      </c>
      <c r="Q327" s="217" t="s">
        <v>140</v>
      </c>
      <c r="R327" s="59"/>
    </row>
    <row r="328" hidden="1">
      <c r="A328" s="79" t="s">
        <v>139</v>
      </c>
      <c r="B328" s="44">
        <v>1.0</v>
      </c>
      <c r="C328" s="44" t="s">
        <v>141</v>
      </c>
      <c r="D328" s="44" t="s">
        <v>767</v>
      </c>
      <c r="E328" s="44">
        <v>1.0</v>
      </c>
      <c r="F328" s="44">
        <f>'90091_2024'!D5</f>
        <v>1</v>
      </c>
      <c r="G328" s="56">
        <f>'90091_2024'!E5</f>
        <v>0</v>
      </c>
      <c r="H328" s="28">
        <v>130000.0</v>
      </c>
      <c r="I328" s="28">
        <f t="shared" si="1"/>
        <v>0</v>
      </c>
      <c r="J328" s="103" t="s">
        <v>160</v>
      </c>
      <c r="K328" s="198" t="s">
        <v>768</v>
      </c>
      <c r="L328" s="198" t="s">
        <v>769</v>
      </c>
      <c r="M328" s="198" t="s">
        <v>770</v>
      </c>
      <c r="N328" s="198" t="s">
        <v>772</v>
      </c>
      <c r="O328" s="34" t="s">
        <v>774</v>
      </c>
      <c r="P328" s="300" t="s">
        <v>776</v>
      </c>
      <c r="Q328" s="297" t="s">
        <v>140</v>
      </c>
      <c r="R328" s="44"/>
    </row>
    <row r="329" hidden="1">
      <c r="A329" s="77" t="s">
        <v>139</v>
      </c>
      <c r="B329" s="59">
        <v>1.0</v>
      </c>
      <c r="C329" s="59" t="s">
        <v>141</v>
      </c>
      <c r="D329" s="59" t="s">
        <v>767</v>
      </c>
      <c r="E329" s="59">
        <v>1.0</v>
      </c>
      <c r="F329" s="313">
        <f>'90091_2024'!D6</f>
        <v>1</v>
      </c>
      <c r="G329" s="67">
        <f>'90091_2024'!E6</f>
        <v>0</v>
      </c>
      <c r="H329" s="46">
        <v>130000.0</v>
      </c>
      <c r="I329" s="46">
        <f t="shared" si="1"/>
        <v>0</v>
      </c>
      <c r="J329" s="160" t="s">
        <v>134</v>
      </c>
      <c r="K329" s="167" t="s">
        <v>768</v>
      </c>
      <c r="L329" s="167" t="s">
        <v>769</v>
      </c>
      <c r="M329" s="167" t="s">
        <v>770</v>
      </c>
      <c r="N329" s="167" t="s">
        <v>772</v>
      </c>
      <c r="O329" s="69" t="s">
        <v>774</v>
      </c>
      <c r="P329" s="298" t="s">
        <v>776</v>
      </c>
      <c r="Q329" s="217" t="s">
        <v>140</v>
      </c>
      <c r="R329" s="59"/>
    </row>
    <row r="330" hidden="1">
      <c r="A330" s="79" t="s">
        <v>139</v>
      </c>
      <c r="B330" s="314">
        <v>1.0</v>
      </c>
      <c r="C330" s="314" t="s">
        <v>141</v>
      </c>
      <c r="D330" s="314" t="s">
        <v>767</v>
      </c>
      <c r="E330" s="44">
        <v>1.0</v>
      </c>
      <c r="F330" s="44">
        <f>'90091_2024'!D7</f>
        <v>1</v>
      </c>
      <c r="G330" s="56">
        <f>'90091_2024'!E7</f>
        <v>0</v>
      </c>
      <c r="H330" s="28">
        <v>130000.0</v>
      </c>
      <c r="I330" s="28">
        <f t="shared" si="1"/>
        <v>0</v>
      </c>
      <c r="J330" s="314" t="s">
        <v>341</v>
      </c>
      <c r="K330" s="198" t="s">
        <v>768</v>
      </c>
      <c r="L330" s="198" t="s">
        <v>769</v>
      </c>
      <c r="M330" s="198" t="s">
        <v>770</v>
      </c>
      <c r="N330" s="198" t="s">
        <v>772</v>
      </c>
      <c r="O330" s="34" t="s">
        <v>774</v>
      </c>
      <c r="P330" s="300" t="s">
        <v>776</v>
      </c>
      <c r="Q330" s="297" t="s">
        <v>140</v>
      </c>
      <c r="R330" s="44"/>
    </row>
    <row r="331" hidden="1">
      <c r="A331" s="77" t="s">
        <v>139</v>
      </c>
      <c r="B331" s="59">
        <v>1.0</v>
      </c>
      <c r="C331" s="59" t="s">
        <v>141</v>
      </c>
      <c r="D331" s="59" t="s">
        <v>767</v>
      </c>
      <c r="E331" s="59">
        <v>1.0</v>
      </c>
      <c r="F331" s="313">
        <f>'90091_2024'!D8</f>
        <v>1</v>
      </c>
      <c r="G331" s="67">
        <f>'90091_2024'!E8</f>
        <v>0</v>
      </c>
      <c r="H331" s="46">
        <v>130000.0</v>
      </c>
      <c r="I331" s="46">
        <f t="shared" si="1"/>
        <v>0</v>
      </c>
      <c r="J331" s="160" t="s">
        <v>154</v>
      </c>
      <c r="K331" s="167" t="s">
        <v>768</v>
      </c>
      <c r="L331" s="167" t="s">
        <v>769</v>
      </c>
      <c r="M331" s="167" t="s">
        <v>770</v>
      </c>
      <c r="N331" s="167" t="s">
        <v>772</v>
      </c>
      <c r="O331" s="69" t="s">
        <v>774</v>
      </c>
      <c r="P331" s="298" t="s">
        <v>776</v>
      </c>
      <c r="Q331" s="217" t="s">
        <v>140</v>
      </c>
      <c r="R331" s="59"/>
    </row>
    <row r="332" hidden="1">
      <c r="A332" s="79" t="s">
        <v>139</v>
      </c>
      <c r="B332" s="44">
        <v>1.0</v>
      </c>
      <c r="C332" s="44" t="s">
        <v>141</v>
      </c>
      <c r="D332" s="44" t="s">
        <v>767</v>
      </c>
      <c r="E332" s="44">
        <v>1.0</v>
      </c>
      <c r="F332" s="44">
        <f>'90091_2024'!D9</f>
        <v>0</v>
      </c>
      <c r="G332" s="56">
        <f>'90091_2024'!E9</f>
        <v>1</v>
      </c>
      <c r="H332" s="28">
        <v>130000.0</v>
      </c>
      <c r="I332" s="28">
        <f t="shared" si="1"/>
        <v>130000</v>
      </c>
      <c r="J332" s="317" t="s">
        <v>196</v>
      </c>
      <c r="K332" s="198" t="s">
        <v>768</v>
      </c>
      <c r="L332" s="198" t="s">
        <v>769</v>
      </c>
      <c r="M332" s="198" t="s">
        <v>770</v>
      </c>
      <c r="N332" s="198" t="s">
        <v>772</v>
      </c>
      <c r="O332" s="34" t="s">
        <v>774</v>
      </c>
      <c r="P332" s="300" t="s">
        <v>776</v>
      </c>
      <c r="Q332" s="297" t="s">
        <v>140</v>
      </c>
      <c r="R332" s="44"/>
    </row>
    <row r="333" hidden="1">
      <c r="A333" s="77" t="s">
        <v>139</v>
      </c>
      <c r="B333" s="59">
        <v>1.0</v>
      </c>
      <c r="C333" s="59" t="s">
        <v>141</v>
      </c>
      <c r="D333" s="59" t="s">
        <v>767</v>
      </c>
      <c r="E333" s="59">
        <v>1.0</v>
      </c>
      <c r="F333" s="59">
        <f>'90091_2024'!D10</f>
        <v>0</v>
      </c>
      <c r="G333" s="67">
        <f>'90091_2024'!E10</f>
        <v>1</v>
      </c>
      <c r="H333" s="46">
        <v>130000.0</v>
      </c>
      <c r="I333" s="46">
        <f t="shared" si="1"/>
        <v>130000</v>
      </c>
      <c r="J333" s="160" t="s">
        <v>111</v>
      </c>
      <c r="K333" s="167" t="s">
        <v>768</v>
      </c>
      <c r="L333" s="167" t="s">
        <v>769</v>
      </c>
      <c r="M333" s="167" t="s">
        <v>770</v>
      </c>
      <c r="N333" s="167" t="s">
        <v>772</v>
      </c>
      <c r="O333" s="69" t="s">
        <v>774</v>
      </c>
      <c r="P333" s="298" t="s">
        <v>776</v>
      </c>
      <c r="Q333" s="217" t="s">
        <v>140</v>
      </c>
      <c r="R333" s="59"/>
    </row>
    <row r="334" hidden="1">
      <c r="A334" s="79" t="s">
        <v>139</v>
      </c>
      <c r="B334" s="44">
        <v>2.0</v>
      </c>
      <c r="C334" s="44" t="s">
        <v>138</v>
      </c>
      <c r="D334" s="44" t="s">
        <v>767</v>
      </c>
      <c r="E334" s="44">
        <v>1.0</v>
      </c>
      <c r="F334" s="44">
        <f>'90091_2024'!D11</f>
        <v>1</v>
      </c>
      <c r="G334" s="56">
        <f>'90091_2024'!E11</f>
        <v>0</v>
      </c>
      <c r="H334" s="28">
        <v>105000.0</v>
      </c>
      <c r="I334" s="28">
        <f t="shared" si="1"/>
        <v>0</v>
      </c>
      <c r="J334" s="103" t="s">
        <v>276</v>
      </c>
      <c r="K334" s="198" t="s">
        <v>768</v>
      </c>
      <c r="L334" s="198" t="s">
        <v>769</v>
      </c>
      <c r="M334" s="198" t="s">
        <v>770</v>
      </c>
      <c r="N334" s="198" t="s">
        <v>772</v>
      </c>
      <c r="O334" s="34" t="s">
        <v>774</v>
      </c>
      <c r="P334" s="300" t="s">
        <v>776</v>
      </c>
      <c r="Q334" s="297" t="s">
        <v>140</v>
      </c>
      <c r="R334" s="44"/>
    </row>
    <row r="335" hidden="1">
      <c r="A335" s="77" t="s">
        <v>139</v>
      </c>
      <c r="B335" s="59">
        <v>2.0</v>
      </c>
      <c r="C335" s="59" t="s">
        <v>138</v>
      </c>
      <c r="D335" s="59" t="s">
        <v>767</v>
      </c>
      <c r="E335" s="59">
        <v>1.0</v>
      </c>
      <c r="F335" s="59">
        <f>'90091_2024'!D12</f>
        <v>1</v>
      </c>
      <c r="G335" s="67">
        <f>'90091_2024'!E12</f>
        <v>0</v>
      </c>
      <c r="H335" s="46">
        <v>105000.0</v>
      </c>
      <c r="I335" s="46">
        <f t="shared" si="1"/>
        <v>0</v>
      </c>
      <c r="J335" s="160" t="s">
        <v>178</v>
      </c>
      <c r="K335" s="167" t="s">
        <v>768</v>
      </c>
      <c r="L335" s="167" t="s">
        <v>769</v>
      </c>
      <c r="M335" s="167" t="s">
        <v>770</v>
      </c>
      <c r="N335" s="167" t="s">
        <v>772</v>
      </c>
      <c r="O335" s="69" t="s">
        <v>774</v>
      </c>
      <c r="P335" s="298" t="s">
        <v>776</v>
      </c>
      <c r="Q335" s="217" t="s">
        <v>140</v>
      </c>
      <c r="R335" s="59"/>
    </row>
    <row r="336" hidden="1">
      <c r="A336" s="79" t="s">
        <v>139</v>
      </c>
      <c r="B336" s="44">
        <v>2.0</v>
      </c>
      <c r="C336" s="44" t="s">
        <v>138</v>
      </c>
      <c r="D336" s="44" t="s">
        <v>767</v>
      </c>
      <c r="E336" s="44">
        <v>1.0</v>
      </c>
      <c r="F336" s="44">
        <f>'90091_2024'!D13</f>
        <v>1</v>
      </c>
      <c r="G336" s="56">
        <f>'90091_2024'!E13</f>
        <v>0</v>
      </c>
      <c r="H336" s="28">
        <v>105000.0</v>
      </c>
      <c r="I336" s="28">
        <f t="shared" si="1"/>
        <v>0</v>
      </c>
      <c r="J336" s="103" t="s">
        <v>160</v>
      </c>
      <c r="K336" s="198" t="s">
        <v>768</v>
      </c>
      <c r="L336" s="198" t="s">
        <v>769</v>
      </c>
      <c r="M336" s="198" t="s">
        <v>770</v>
      </c>
      <c r="N336" s="198" t="s">
        <v>772</v>
      </c>
      <c r="O336" s="34" t="s">
        <v>774</v>
      </c>
      <c r="P336" s="300" t="s">
        <v>776</v>
      </c>
      <c r="Q336" s="297" t="s">
        <v>140</v>
      </c>
      <c r="R336" s="44"/>
    </row>
    <row r="337" hidden="1">
      <c r="A337" s="77" t="s">
        <v>139</v>
      </c>
      <c r="B337" s="59">
        <v>2.0</v>
      </c>
      <c r="C337" s="59" t="s">
        <v>138</v>
      </c>
      <c r="D337" s="59" t="s">
        <v>767</v>
      </c>
      <c r="E337" s="59">
        <v>1.0</v>
      </c>
      <c r="F337" s="59">
        <f>'90091_2024'!D14</f>
        <v>1</v>
      </c>
      <c r="G337" s="67">
        <f>'90091_2024'!E14</f>
        <v>0</v>
      </c>
      <c r="H337" s="46">
        <v>105000.0</v>
      </c>
      <c r="I337" s="46">
        <f t="shared" si="1"/>
        <v>0</v>
      </c>
      <c r="J337" s="160" t="s">
        <v>134</v>
      </c>
      <c r="K337" s="167" t="s">
        <v>768</v>
      </c>
      <c r="L337" s="167" t="s">
        <v>769</v>
      </c>
      <c r="M337" s="167" t="s">
        <v>770</v>
      </c>
      <c r="N337" s="167" t="s">
        <v>772</v>
      </c>
      <c r="O337" s="69" t="s">
        <v>774</v>
      </c>
      <c r="P337" s="298" t="s">
        <v>776</v>
      </c>
      <c r="Q337" s="217" t="s">
        <v>140</v>
      </c>
      <c r="R337" s="59"/>
    </row>
    <row r="338" hidden="1">
      <c r="A338" s="79" t="s">
        <v>139</v>
      </c>
      <c r="B338" s="44">
        <v>2.0</v>
      </c>
      <c r="C338" s="44" t="s">
        <v>138</v>
      </c>
      <c r="D338" s="44" t="s">
        <v>767</v>
      </c>
      <c r="E338" s="44">
        <v>1.0</v>
      </c>
      <c r="F338" s="44">
        <f>'90091_2024'!D15</f>
        <v>1</v>
      </c>
      <c r="G338" s="56">
        <f>'90091_2024'!E15</f>
        <v>0</v>
      </c>
      <c r="H338" s="28">
        <v>105000.0</v>
      </c>
      <c r="I338" s="28">
        <f t="shared" si="1"/>
        <v>0</v>
      </c>
      <c r="J338" s="103" t="s">
        <v>341</v>
      </c>
      <c r="K338" s="198" t="s">
        <v>768</v>
      </c>
      <c r="L338" s="198" t="s">
        <v>769</v>
      </c>
      <c r="M338" s="198" t="s">
        <v>770</v>
      </c>
      <c r="N338" s="198" t="s">
        <v>772</v>
      </c>
      <c r="O338" s="34" t="s">
        <v>774</v>
      </c>
      <c r="P338" s="300" t="s">
        <v>776</v>
      </c>
      <c r="Q338" s="297" t="s">
        <v>140</v>
      </c>
      <c r="R338" s="44"/>
    </row>
    <row r="339" hidden="1">
      <c r="A339" s="77" t="s">
        <v>139</v>
      </c>
      <c r="B339" s="59">
        <v>2.0</v>
      </c>
      <c r="C339" s="59" t="s">
        <v>138</v>
      </c>
      <c r="D339" s="59" t="s">
        <v>767</v>
      </c>
      <c r="E339" s="59">
        <v>1.0</v>
      </c>
      <c r="F339" s="313">
        <f>'90091_2024'!D16</f>
        <v>1</v>
      </c>
      <c r="G339" s="67">
        <f>'90091_2024'!E16</f>
        <v>0</v>
      </c>
      <c r="H339" s="46">
        <v>105000.0</v>
      </c>
      <c r="I339" s="46">
        <f t="shared" si="1"/>
        <v>0</v>
      </c>
      <c r="J339" s="160" t="s">
        <v>154</v>
      </c>
      <c r="K339" s="167" t="s">
        <v>768</v>
      </c>
      <c r="L339" s="167" t="s">
        <v>769</v>
      </c>
      <c r="M339" s="167" t="s">
        <v>770</v>
      </c>
      <c r="N339" s="167" t="s">
        <v>772</v>
      </c>
      <c r="O339" s="69" t="s">
        <v>774</v>
      </c>
      <c r="P339" s="298" t="s">
        <v>776</v>
      </c>
      <c r="Q339" s="217" t="s">
        <v>140</v>
      </c>
      <c r="R339" s="59"/>
    </row>
    <row r="340" hidden="1">
      <c r="A340" s="79" t="s">
        <v>139</v>
      </c>
      <c r="B340" s="44">
        <v>2.0</v>
      </c>
      <c r="C340" s="44" t="s">
        <v>138</v>
      </c>
      <c r="D340" s="44" t="s">
        <v>767</v>
      </c>
      <c r="E340" s="44">
        <v>1.0</v>
      </c>
      <c r="F340" s="44">
        <f>'90091_2024'!D17</f>
        <v>0</v>
      </c>
      <c r="G340" s="56">
        <f>'90091_2024'!E17</f>
        <v>1</v>
      </c>
      <c r="H340" s="28">
        <v>105000.0</v>
      </c>
      <c r="I340" s="28">
        <f t="shared" si="1"/>
        <v>105000</v>
      </c>
      <c r="J340" s="103" t="s">
        <v>196</v>
      </c>
      <c r="K340" s="198" t="s">
        <v>768</v>
      </c>
      <c r="L340" s="198" t="s">
        <v>769</v>
      </c>
      <c r="M340" s="198" t="s">
        <v>770</v>
      </c>
      <c r="N340" s="198" t="s">
        <v>772</v>
      </c>
      <c r="O340" s="34" t="s">
        <v>774</v>
      </c>
      <c r="P340" s="300" t="s">
        <v>776</v>
      </c>
      <c r="Q340" s="297" t="s">
        <v>140</v>
      </c>
      <c r="R340" s="44"/>
    </row>
    <row r="341" hidden="1">
      <c r="A341" s="77" t="s">
        <v>139</v>
      </c>
      <c r="B341" s="59">
        <v>2.0</v>
      </c>
      <c r="C341" s="59" t="s">
        <v>138</v>
      </c>
      <c r="D341" s="59" t="s">
        <v>767</v>
      </c>
      <c r="E341" s="59">
        <v>1.0</v>
      </c>
      <c r="F341" s="59">
        <f>'90091_2024'!D18</f>
        <v>0</v>
      </c>
      <c r="G341" s="67">
        <f>'90091_2024'!E18</f>
        <v>1</v>
      </c>
      <c r="H341" s="46">
        <v>105000.0</v>
      </c>
      <c r="I341" s="46">
        <f t="shared" si="1"/>
        <v>105000</v>
      </c>
      <c r="J341" s="160" t="s">
        <v>111</v>
      </c>
      <c r="K341" s="167" t="s">
        <v>768</v>
      </c>
      <c r="L341" s="167" t="s">
        <v>769</v>
      </c>
      <c r="M341" s="167" t="s">
        <v>770</v>
      </c>
      <c r="N341" s="167" t="s">
        <v>772</v>
      </c>
      <c r="O341" s="69" t="s">
        <v>774</v>
      </c>
      <c r="P341" s="320" t="s">
        <v>776</v>
      </c>
      <c r="Q341" s="217" t="s">
        <v>140</v>
      </c>
      <c r="R341" s="59"/>
    </row>
    <row r="342" hidden="1">
      <c r="A342" s="79" t="s">
        <v>39</v>
      </c>
      <c r="B342" s="35">
        <f>'90186_2024'!A3</f>
        <v>1</v>
      </c>
      <c r="C342" s="35" t="str">
        <f>'90186_2024'!B3</f>
        <v>C-5/02A/DTS</v>
      </c>
      <c r="D342" s="35" t="str">
        <f>'90186_2024'!C3</f>
        <v>CAMINHÃO BAÚ</v>
      </c>
      <c r="E342" s="35">
        <f>'90186_2024'!D3</f>
        <v>1</v>
      </c>
      <c r="F342" s="321">
        <f>'90186_2024'!E3</f>
        <v>1</v>
      </c>
      <c r="G342" s="56">
        <f>'90186_2024'!F3</f>
        <v>0</v>
      </c>
      <c r="H342" s="28">
        <f>'90186_2024'!G3</f>
        <v>574575</v>
      </c>
      <c r="I342" s="28">
        <f>'90186_2024'!H3</f>
        <v>574575</v>
      </c>
      <c r="J342" s="35" t="str">
        <f>'90186_2024'!I3</f>
        <v>CINDACTA 2</v>
      </c>
      <c r="K342" s="35" t="str">
        <f>'90186_2024'!J3</f>
        <v>VOLVO / VM</v>
      </c>
      <c r="L342" s="35" t="str">
        <f>'90186_2024'!K3</f>
        <v>03.093.776/0018-30 </v>
      </c>
      <c r="M342" s="35" t="str">
        <f>'90186_2024'!L3</f>
        <v>MANUPA COMERCIO EXPORTACAO IMPORTACAO DE EQUIPAMENTOS E VEICULOS ADAPTADOS LTDA</v>
      </c>
      <c r="N342" s="35" t="str">
        <f>'90186_2024'!M3</f>
        <v/>
      </c>
      <c r="O342" s="35" t="str">
        <f>'90186_2024'!N3</f>
        <v/>
      </c>
      <c r="P342" s="35" t="str">
        <f>'90186_2024'!O3</f>
        <v/>
      </c>
      <c r="Q342" s="63">
        <f>'90186_2024'!P3</f>
        <v>45975</v>
      </c>
      <c r="R342" s="35" t="str">
        <f>'90186_2024'!Q3</f>
        <v>HOMOLOGADO</v>
      </c>
    </row>
    <row r="343" hidden="1">
      <c r="A343" s="77" t="s">
        <v>39</v>
      </c>
      <c r="B343" s="52">
        <f>'90186_2024'!A4</f>
        <v>1</v>
      </c>
      <c r="C343" s="52" t="str">
        <f>'90186_2024'!B4</f>
        <v>C-5/02A/DTS</v>
      </c>
      <c r="D343" s="52" t="str">
        <f>'90186_2024'!C4</f>
        <v>CAMINHÃO BAÚ</v>
      </c>
      <c r="E343" s="52">
        <f>'90186_2024'!D4</f>
        <v>1</v>
      </c>
      <c r="F343" s="321">
        <f>'90186_2024'!E4</f>
        <v>1</v>
      </c>
      <c r="G343" s="67">
        <f>'90186_2024'!F4</f>
        <v>0</v>
      </c>
      <c r="H343" s="46">
        <f>'90186_2024'!G4</f>
        <v>574575</v>
      </c>
      <c r="I343" s="46">
        <f>'90186_2024'!H4</f>
        <v>574575</v>
      </c>
      <c r="J343" s="52" t="str">
        <f>'90186_2024'!I4</f>
        <v>CINDACTA 4</v>
      </c>
      <c r="K343" s="52" t="str">
        <f>'90186_2024'!J4</f>
        <v>VOLVO / VM</v>
      </c>
      <c r="L343" s="52" t="str">
        <f>'90186_2024'!K4</f>
        <v>03.093.776/0018-30 </v>
      </c>
      <c r="M343" s="52" t="str">
        <f>'90186_2024'!L4</f>
        <v>MANUPA COMERCIO EXPORTACAO IMPORTACAO DE EQUIPAMENTOS E VEICULOS ADAPTADOS LTDA</v>
      </c>
      <c r="N343" s="52" t="str">
        <f>'90186_2024'!M4</f>
        <v/>
      </c>
      <c r="O343" s="52" t="str">
        <f>'90186_2024'!N4</f>
        <v/>
      </c>
      <c r="P343" s="52" t="str">
        <f>'90186_2024'!O4</f>
        <v/>
      </c>
      <c r="Q343" s="70">
        <f>'90186_2024'!P4</f>
        <v>45975</v>
      </c>
      <c r="R343" s="52" t="str">
        <f>'90186_2024'!Q4</f>
        <v>HOMOLOGADO</v>
      </c>
    </row>
    <row r="344" hidden="1">
      <c r="A344" s="79" t="s">
        <v>39</v>
      </c>
      <c r="B344" s="35">
        <f>'90186_2024'!A5</f>
        <v>1</v>
      </c>
      <c r="C344" s="35" t="str">
        <f>'90186_2024'!B5</f>
        <v>C-5/02A/DTS</v>
      </c>
      <c r="D344" s="35" t="str">
        <f>'90186_2024'!C5</f>
        <v>CAMINHÃO BAÚ</v>
      </c>
      <c r="E344" s="35">
        <f>'90186_2024'!D5</f>
        <v>1</v>
      </c>
      <c r="F344" s="35">
        <f>'90186_2024'!E5</f>
        <v>0</v>
      </c>
      <c r="G344" s="56">
        <f>'90186_2024'!F5</f>
        <v>1</v>
      </c>
      <c r="H344" s="28">
        <f>'90186_2024'!G5</f>
        <v>574575</v>
      </c>
      <c r="I344" s="28">
        <f>'90186_2024'!H5</f>
        <v>574575</v>
      </c>
      <c r="J344" s="35" t="str">
        <f>'90186_2024'!I5</f>
        <v>CRCEA-SE</v>
      </c>
      <c r="K344" s="35" t="str">
        <f>'90186_2024'!J5</f>
        <v>VOLVO / VM</v>
      </c>
      <c r="L344" s="35" t="str">
        <f>'90186_2024'!K5</f>
        <v>03.093.776/0018-30 </v>
      </c>
      <c r="M344" s="35" t="str">
        <f>'90186_2024'!L5</f>
        <v>MANUPA COMERCIO EXPORTACAO IMPORTACAO DE EQUIPAMENTOS E VEICULOS ADAPTADOS LTDA</v>
      </c>
      <c r="N344" s="35" t="str">
        <f>'90186_2024'!M5</f>
        <v/>
      </c>
      <c r="O344" s="35" t="str">
        <f>'90186_2024'!N5</f>
        <v/>
      </c>
      <c r="P344" s="35" t="str">
        <f>'90186_2024'!O5</f>
        <v/>
      </c>
      <c r="Q344" s="63">
        <f>'90186_2024'!P5</f>
        <v>45975</v>
      </c>
      <c r="R344" s="35" t="str">
        <f>'90186_2024'!Q5</f>
        <v>HOMOLOGADO</v>
      </c>
    </row>
    <row r="345" hidden="1">
      <c r="A345" s="77" t="s">
        <v>39</v>
      </c>
      <c r="B345" s="52">
        <f>'90186_2024'!A6</f>
        <v>1</v>
      </c>
      <c r="C345" s="52" t="str">
        <f>'90186_2024'!B6</f>
        <v>C-5/02A/DTS</v>
      </c>
      <c r="D345" s="52" t="str">
        <f>'90186_2024'!C6</f>
        <v>CAMINHÃO BAÚ</v>
      </c>
      <c r="E345" s="52">
        <f>'90186_2024'!D6</f>
        <v>1</v>
      </c>
      <c r="F345" s="52">
        <f>'90186_2024'!E6</f>
        <v>1</v>
      </c>
      <c r="G345" s="67">
        <f>'90186_2024'!F6</f>
        <v>0</v>
      </c>
      <c r="H345" s="46">
        <f>'90186_2024'!G6</f>
        <v>574575</v>
      </c>
      <c r="I345" s="46">
        <f>'90186_2024'!H6</f>
        <v>574575</v>
      </c>
      <c r="J345" s="52" t="str">
        <f>'90186_2024'!I6</f>
        <v>DECEA</v>
      </c>
      <c r="K345" s="52" t="str">
        <f>'90186_2024'!J6</f>
        <v>VOLVO / VM</v>
      </c>
      <c r="L345" s="52" t="str">
        <f>'90186_2024'!K6</f>
        <v>03.093.776/0018-30 </v>
      </c>
      <c r="M345" s="52" t="str">
        <f>'90186_2024'!L6</f>
        <v>MANUPA COMERCIO EXPORTACAO IMPORTACAO DE EQUIPAMENTOS E VEICULOS ADAPTADOS LTDA</v>
      </c>
      <c r="N345" s="52" t="str">
        <f>'90186_2024'!M6</f>
        <v/>
      </c>
      <c r="O345" s="52" t="str">
        <f>'90186_2024'!N6</f>
        <v/>
      </c>
      <c r="P345" s="52" t="str">
        <f>'90186_2024'!O6</f>
        <v/>
      </c>
      <c r="Q345" s="70">
        <f>'90186_2024'!P6</f>
        <v>45975</v>
      </c>
      <c r="R345" s="52" t="str">
        <f>'90186_2024'!Q6</f>
        <v>HOMOLOGADO</v>
      </c>
    </row>
    <row r="346" hidden="1">
      <c r="A346" s="79" t="s">
        <v>39</v>
      </c>
      <c r="B346" s="35">
        <f>'90186_2024'!A7</f>
        <v>1</v>
      </c>
      <c r="C346" s="35" t="str">
        <f>'90186_2024'!B7</f>
        <v>C-5/02A/DTS</v>
      </c>
      <c r="D346" s="35" t="str">
        <f>'90186_2024'!C7</f>
        <v>CAMINHÃO BAÚ</v>
      </c>
      <c r="E346" s="35">
        <f>'90186_2024'!D7</f>
        <v>1</v>
      </c>
      <c r="F346" s="323">
        <f>'90186_2024'!E7</f>
        <v>1</v>
      </c>
      <c r="G346" s="56">
        <f>'90186_2024'!F7</f>
        <v>0</v>
      </c>
      <c r="H346" s="28">
        <f>'90186_2024'!G7</f>
        <v>574575</v>
      </c>
      <c r="I346" s="28">
        <f>'90186_2024'!H7</f>
        <v>574575</v>
      </c>
      <c r="J346" s="35" t="str">
        <f>'90186_2024'!I7</f>
        <v>GABAER</v>
      </c>
      <c r="K346" s="35" t="str">
        <f>'90186_2024'!J7</f>
        <v>VOLVO / VM</v>
      </c>
      <c r="L346" s="35" t="str">
        <f>'90186_2024'!K7</f>
        <v>03.093.776/0018-30 </v>
      </c>
      <c r="M346" s="35" t="str">
        <f>'90186_2024'!L7</f>
        <v> MANUPA COMERCIO EXPORTACAO IMPORTACAO DE EQUIPAMENTOS E VEICULOS ADAPTADOS LTDA
</v>
      </c>
      <c r="N346" s="35" t="str">
        <f>'90186_2024'!M7</f>
        <v/>
      </c>
      <c r="O346" s="35" t="str">
        <f>'90186_2024'!N7</f>
        <v/>
      </c>
      <c r="P346" s="35" t="str">
        <f>'90186_2024'!O7</f>
        <v/>
      </c>
      <c r="Q346" s="63">
        <f>'90186_2024'!P7</f>
        <v>45975</v>
      </c>
      <c r="R346" s="35" t="str">
        <f>'90186_2024'!Q7</f>
        <v>HOMOLOGADO</v>
      </c>
    </row>
    <row r="347" hidden="1">
      <c r="A347" s="77" t="s">
        <v>39</v>
      </c>
      <c r="B347" s="52">
        <f>'90186_2024'!A8</f>
        <v>2</v>
      </c>
      <c r="C347" s="52" t="str">
        <f>'90186_2024'!B8</f>
        <v>C-8-01A-DTS</v>
      </c>
      <c r="D347" s="52" t="str">
        <f>'90186_2024'!C8</f>
        <v>CAMINHÃO BAÚ TRUCADO</v>
      </c>
      <c r="E347" s="52">
        <f>'90186_2024'!D8</f>
        <v>4</v>
      </c>
      <c r="F347" s="52">
        <f>'90186_2024'!E8</f>
        <v>4</v>
      </c>
      <c r="G347" s="67">
        <f>'90186_2024'!F8</f>
        <v>0</v>
      </c>
      <c r="H347" s="46">
        <f>'90186_2024'!G8</f>
        <v>659633.19</v>
      </c>
      <c r="I347" s="46">
        <f>'90186_2024'!H8</f>
        <v>2638532.76</v>
      </c>
      <c r="J347" s="52" t="str">
        <f>'90186_2024'!I8</f>
        <v>GAP-AF</v>
      </c>
      <c r="K347" s="52" t="str">
        <f>'90186_2024'!J8</f>
        <v>VOLVO</v>
      </c>
      <c r="L347" s="52" t="str">
        <f>'90186_2024'!K8</f>
        <v>03.093.776/0018-30
</v>
      </c>
      <c r="M347" s="52" t="str">
        <f>'90186_2024'!L8</f>
        <v>MANUPA 
</v>
      </c>
      <c r="N347" s="52" t="str">
        <f>'90186_2024'!M8</f>
        <v/>
      </c>
      <c r="O347" s="52" t="str">
        <f>'90186_2024'!N8</f>
        <v/>
      </c>
      <c r="P347" s="52" t="str">
        <f>'90186_2024'!O8</f>
        <v/>
      </c>
      <c r="Q347" s="70">
        <f>'90186_2024'!P8</f>
        <v>45975</v>
      </c>
      <c r="R347" s="52" t="str">
        <f>'90186_2024'!Q8</f>
        <v>HOMOLOGADO</v>
      </c>
    </row>
    <row r="348" hidden="1">
      <c r="A348" s="79" t="s">
        <v>39</v>
      </c>
      <c r="B348" s="35">
        <f>'90186_2024'!A9</f>
        <v>3</v>
      </c>
      <c r="C348" s="35" t="str">
        <f>'90186_2024'!B9</f>
        <v>E-16-01A-DTS</v>
      </c>
      <c r="D348" s="35" t="str">
        <f>'90186_2024'!C9</f>
        <v>CAMINHÃO EQUIPADO COM ELEVADOR HIDRÁULICO E CESTO AÉREO</v>
      </c>
      <c r="E348" s="35">
        <f>'90186_2024'!D9</f>
        <v>1</v>
      </c>
      <c r="F348" s="35">
        <f>'90186_2024'!E9</f>
        <v>0</v>
      </c>
      <c r="G348" s="56">
        <f>'90186_2024'!F9</f>
        <v>1</v>
      </c>
      <c r="H348" s="28">
        <f>'90186_2024'!G9</f>
        <v>558500</v>
      </c>
      <c r="I348" s="28">
        <f>'90186_2024'!H9</f>
        <v>558500</v>
      </c>
      <c r="J348" s="35" t="str">
        <f>'90186_2024'!I9</f>
        <v>GAP-DF</v>
      </c>
      <c r="K348" s="35" t="str">
        <f>'90186_2024'!J9</f>
        <v>MERCEDES-BENS
</v>
      </c>
      <c r="L348" s="35" t="str">
        <f>'90186_2024'!K9</f>
        <v>08.206.867/0001-00
</v>
      </c>
      <c r="M348" s="35" t="str">
        <f>'90186_2024'!L9</f>
        <v>ECS COMERCIO DE VEICULOS</v>
      </c>
      <c r="N348" s="35" t="str">
        <f>'90186_2024'!M9</f>
        <v/>
      </c>
      <c r="O348" s="35" t="str">
        <f>'90186_2024'!N9</f>
        <v/>
      </c>
      <c r="P348" s="35" t="str">
        <f>'90186_2024'!O9</f>
        <v/>
      </c>
      <c r="Q348" s="63" t="str">
        <f>'90186_2024'!P9</f>
        <v/>
      </c>
      <c r="R348" s="35" t="str">
        <f>'90186_2024'!Q9</f>
        <v>HOMOLOGADO</v>
      </c>
    </row>
    <row r="349" hidden="1">
      <c r="A349" s="218" t="s">
        <v>39</v>
      </c>
      <c r="B349" s="324">
        <f>'90186_2024'!A10</f>
        <v>3</v>
      </c>
      <c r="C349" s="324" t="str">
        <f>'90186_2024'!B10</f>
        <v>E-16-01A-DTS</v>
      </c>
      <c r="D349" s="324" t="str">
        <f>'90186_2024'!C10</f>
        <v>CAMINHÃO EQUIPADO COM ELEVADOR HIDRÁULICO E CESTO AÉREO</v>
      </c>
      <c r="E349" s="324">
        <f>'90186_2024'!D10</f>
        <v>1</v>
      </c>
      <c r="F349" s="228">
        <v>1.0</v>
      </c>
      <c r="G349" s="325">
        <v>0.0</v>
      </c>
      <c r="H349" s="223">
        <f>'90186_2024'!G10</f>
        <v>558500</v>
      </c>
      <c r="I349" s="223">
        <f>'90186_2024'!H10</f>
        <v>558500</v>
      </c>
      <c r="J349" s="324" t="str">
        <f>'90186_2024'!I10</f>
        <v>GAP-GL</v>
      </c>
      <c r="K349" s="324" t="str">
        <f>'90186_2024'!J10</f>
        <v>MERCEDES-BENS
</v>
      </c>
      <c r="L349" s="324" t="str">
        <f>'90186_2024'!K10</f>
        <v>03.093.776/0018-30</v>
      </c>
      <c r="M349" s="324" t="str">
        <f>'90186_2024'!L10</f>
        <v>ECS COMERCIO DE VEICULOS</v>
      </c>
      <c r="N349" s="324" t="str">
        <f>'90186_2024'!M10</f>
        <v>(62) 9 9145-5883</v>
      </c>
      <c r="O349" s="324" t="str">
        <f>'90186_2024'!N10</f>
        <v>temporarioforza@gmail.com</v>
      </c>
      <c r="P349" s="324" t="str">
        <f>'90186_2024'!O10</f>
        <v/>
      </c>
      <c r="Q349" s="242" t="str">
        <f>'90186_2024'!P10</f>
        <v/>
      </c>
      <c r="R349" s="324" t="str">
        <f>'90186_2024'!Q10</f>
        <v>HOMOLOGADO </v>
      </c>
      <c r="S349" s="226"/>
      <c r="T349" s="226"/>
      <c r="U349" s="226"/>
      <c r="V349" s="226"/>
      <c r="W349" s="226"/>
      <c r="X349" s="226"/>
      <c r="Y349" s="226"/>
      <c r="Z349" s="226"/>
    </row>
    <row r="350" hidden="1">
      <c r="A350" s="79" t="s">
        <v>39</v>
      </c>
      <c r="B350" s="35">
        <f>'90186_2024'!A11</f>
        <v>4</v>
      </c>
      <c r="C350" s="35" t="str">
        <f>'90186_2024'!B11</f>
        <v>E-15-01A-DTS</v>
      </c>
      <c r="D350" s="35" t="str">
        <f>'90186_2024'!C11</f>
        <v>CAMINHÃO EQUIPADO COM GUINDASTE HIDRÁULICO</v>
      </c>
      <c r="E350" s="35">
        <f>'90186_2024'!D11</f>
        <v>1</v>
      </c>
      <c r="F350" s="35">
        <f>'90186_2024'!E11</f>
        <v>0</v>
      </c>
      <c r="G350" s="56">
        <f>'90186_2024'!F11</f>
        <v>1</v>
      </c>
      <c r="H350" s="28">
        <f>'90186_2024'!G11</f>
        <v>979500</v>
      </c>
      <c r="I350" s="28">
        <f>'90186_2024'!H11</f>
        <v>979500</v>
      </c>
      <c r="J350" s="35" t="str">
        <f>'90186_2024'!I11</f>
        <v>CINDACTA 1</v>
      </c>
      <c r="K350" s="35" t="str">
        <f>'90186_2024'!J11</f>
        <v>VOLVO</v>
      </c>
      <c r="L350" s="35" t="str">
        <f>'90186_2024'!K11</f>
        <v>46.135.499/0001-45
</v>
      </c>
      <c r="M350" s="35" t="str">
        <f>'90186_2024'!L11</f>
        <v>FORZA DISTRIBUIDORA LTDA
</v>
      </c>
      <c r="N350" s="35" t="str">
        <f>'90186_2024'!M11</f>
        <v>(62) 9 9145-5883</v>
      </c>
      <c r="O350" s="35" t="str">
        <f>'90186_2024'!N11</f>
        <v>temporarioforza@gmail.com</v>
      </c>
      <c r="P350" s="35" t="str">
        <f>'90186_2024'!O11</f>
        <v/>
      </c>
      <c r="Q350" s="63" t="str">
        <f>'90186_2024'!P11</f>
        <v/>
      </c>
      <c r="R350" s="35" t="str">
        <f>'90186_2024'!Q11</f>
        <v>HOMOLOGADO VENCEDOR NOVO HORIZONTE ITEM REABERTO</v>
      </c>
    </row>
    <row r="351" hidden="1">
      <c r="A351" s="77" t="s">
        <v>39</v>
      </c>
      <c r="B351" s="52">
        <f>'90186_2024'!A12</f>
        <v>4</v>
      </c>
      <c r="C351" s="52" t="str">
        <f>'90186_2024'!B12</f>
        <v>E-15-01A-DTS</v>
      </c>
      <c r="D351" s="52" t="str">
        <f>'90186_2024'!C12</f>
        <v>CAMINHÃO EQUIPADO COM GUINDASTE HIDRÁULICO</v>
      </c>
      <c r="E351" s="52">
        <f>'90186_2024'!D12</f>
        <v>1</v>
      </c>
      <c r="F351" s="52">
        <f>'90186_2024'!E12</f>
        <v>0</v>
      </c>
      <c r="G351" s="67">
        <f>'90186_2024'!F12</f>
        <v>1</v>
      </c>
      <c r="H351" s="46">
        <f>'90186_2024'!G12</f>
        <v>979500</v>
      </c>
      <c r="I351" s="46">
        <f>'90186_2024'!H12</f>
        <v>979500</v>
      </c>
      <c r="J351" s="52" t="str">
        <f>'90186_2024'!I12</f>
        <v>CINDACTA 2</v>
      </c>
      <c r="K351" s="52" t="str">
        <f>'90186_2024'!J12</f>
        <v>VOLVO</v>
      </c>
      <c r="L351" s="52" t="str">
        <f>'90186_2024'!K12</f>
        <v>46.135.499/0001-45
</v>
      </c>
      <c r="M351" s="52" t="str">
        <f>'90186_2024'!L12</f>
        <v>FORZA DISTRIBUIDORA LTDA</v>
      </c>
      <c r="N351" s="52" t="str">
        <f>'90186_2024'!M12</f>
        <v>(62) 9 9145-5883</v>
      </c>
      <c r="O351" s="52" t="str">
        <f>'90186_2024'!N12</f>
        <v>temporarioforza@gmail.com</v>
      </c>
      <c r="P351" s="52" t="str">
        <f>'90186_2024'!O12</f>
        <v/>
      </c>
      <c r="Q351" s="70" t="str">
        <f>'90186_2024'!P12</f>
        <v/>
      </c>
      <c r="R351" s="52" t="str">
        <f>'90186_2024'!Q12</f>
        <v>HOMOLOGADO VENCEDOR NOVO HORIZONTE ITEM REABERTO</v>
      </c>
    </row>
    <row r="352" hidden="1">
      <c r="A352" s="79" t="s">
        <v>39</v>
      </c>
      <c r="B352" s="35">
        <f>'90186_2024'!A13</f>
        <v>4</v>
      </c>
      <c r="C352" s="35" t="str">
        <f>'90186_2024'!B13</f>
        <v>E-15-01A-DTS</v>
      </c>
      <c r="D352" s="35" t="str">
        <f>'90186_2024'!C13</f>
        <v>CAMINHÃO EQUIPADO COM GUINDASTE HIDRÁULICO</v>
      </c>
      <c r="E352" s="35">
        <f>'90186_2024'!D13</f>
        <v>1</v>
      </c>
      <c r="F352" s="35">
        <f>'90186_2024'!E13</f>
        <v>0</v>
      </c>
      <c r="G352" s="56">
        <f>'90186_2024'!F13</f>
        <v>1</v>
      </c>
      <c r="H352" s="28">
        <f>'90186_2024'!G13</f>
        <v>979500</v>
      </c>
      <c r="I352" s="28">
        <f>'90186_2024'!H13</f>
        <v>979500</v>
      </c>
      <c r="J352" s="35" t="str">
        <f>'90186_2024'!I13</f>
        <v>CINDACTA 3</v>
      </c>
      <c r="K352" s="35" t="str">
        <f>'90186_2024'!J13</f>
        <v>VOLVO</v>
      </c>
      <c r="L352" s="35" t="str">
        <f>'90186_2024'!K13</f>
        <v>46.135.499/0001-45
</v>
      </c>
      <c r="M352" s="35" t="str">
        <f>'90186_2024'!L13</f>
        <v>FORZA DISTRIBUIDORA LTDA</v>
      </c>
      <c r="N352" s="35" t="str">
        <f>'90186_2024'!M13</f>
        <v>(62) 9 9145-5883</v>
      </c>
      <c r="O352" s="35" t="str">
        <f>'90186_2024'!N13</f>
        <v>temporarioforza@gmail.com</v>
      </c>
      <c r="P352" s="35" t="str">
        <f>'90186_2024'!O13</f>
        <v/>
      </c>
      <c r="Q352" s="63" t="str">
        <f>'90186_2024'!P13</f>
        <v/>
      </c>
      <c r="R352" s="35" t="str">
        <f>'90186_2024'!Q13</f>
        <v>HOMOLOGADO VENCEDOR NOVO HORIZONTE ITEM REABERTO</v>
      </c>
    </row>
    <row r="353" hidden="1">
      <c r="A353" s="77" t="s">
        <v>39</v>
      </c>
      <c r="B353" s="52">
        <f>'90186_2024'!A14</f>
        <v>4</v>
      </c>
      <c r="C353" s="52" t="str">
        <f>'90186_2024'!B14</f>
        <v>E-15-01A-DTS</v>
      </c>
      <c r="D353" s="52" t="str">
        <f>'90186_2024'!C14</f>
        <v>CAMINHÃO EQUIPADO COM GUINDASTE HIDRÁULICO</v>
      </c>
      <c r="E353" s="52">
        <f>'90186_2024'!D14</f>
        <v>1</v>
      </c>
      <c r="F353" s="52">
        <f>'90186_2024'!E14</f>
        <v>0</v>
      </c>
      <c r="G353" s="67">
        <f>'90186_2024'!F14</f>
        <v>1</v>
      </c>
      <c r="H353" s="46">
        <f>'90186_2024'!G14</f>
        <v>979500</v>
      </c>
      <c r="I353" s="46">
        <f>'90186_2024'!H14</f>
        <v>979500</v>
      </c>
      <c r="J353" s="52" t="str">
        <f>'90186_2024'!I14</f>
        <v>GAP-BE</v>
      </c>
      <c r="K353" s="52" t="str">
        <f>'90186_2024'!J14</f>
        <v>VOLVO</v>
      </c>
      <c r="L353" s="52" t="str">
        <f>'90186_2024'!K14</f>
        <v>46.135.499/0001-45
</v>
      </c>
      <c r="M353" s="52" t="str">
        <f>'90186_2024'!L14</f>
        <v>FORZA DISTRIBUIDORA LTDA</v>
      </c>
      <c r="N353" s="52" t="str">
        <f>'90186_2024'!M14</f>
        <v>(62) 9 9145-5883</v>
      </c>
      <c r="O353" s="52" t="str">
        <f>'90186_2024'!N14</f>
        <v>temporarioforza@gmail.com</v>
      </c>
      <c r="P353" s="52" t="str">
        <f>'90186_2024'!O14</f>
        <v/>
      </c>
      <c r="Q353" s="70" t="str">
        <f>'90186_2024'!P14</f>
        <v/>
      </c>
      <c r="R353" s="52" t="str">
        <f>'90186_2024'!Q14</f>
        <v>HOMOLOGADO VENCEDOR NOVO HORIZONTE ITEM REABERTO</v>
      </c>
    </row>
    <row r="354" hidden="1">
      <c r="A354" s="326" t="s">
        <v>39</v>
      </c>
      <c r="B354" s="35">
        <f>'90186_2024'!A15</f>
        <v>5</v>
      </c>
      <c r="C354" s="35" t="str">
        <f>'90186_2024'!B15</f>
        <v>C-1-01A-DTS</v>
      </c>
      <c r="D354" s="35" t="str">
        <f>'90186_2024'!C15</f>
        <v>CAMINHÃO LEVE</v>
      </c>
      <c r="E354" s="35">
        <f>'90186_2024'!D15</f>
        <v>1</v>
      </c>
      <c r="F354" s="321">
        <f>'90186_2024'!E15</f>
        <v>1</v>
      </c>
      <c r="G354" s="56">
        <f>'90186_2024'!F15</f>
        <v>0</v>
      </c>
      <c r="H354" s="28">
        <f>'90186_2024'!G15</f>
        <v>364128.52</v>
      </c>
      <c r="I354" s="28">
        <f>'90186_2024'!H15</f>
        <v>364128.52</v>
      </c>
      <c r="J354" s="35" t="str">
        <f>'90186_2024'!I15</f>
        <v>CINDACTA 1</v>
      </c>
      <c r="K354" s="35" t="str">
        <f>'90186_2024'!J15</f>
        <v>Foton Aumark 916</v>
      </c>
      <c r="L354" s="35" t="str">
        <f>'90186_2024'!K15</f>
        <v>03.093.776/0018-30 </v>
      </c>
      <c r="M354" s="35" t="str">
        <f>'90186_2024'!L15</f>
        <v>MANUPA COMERCIO EXPORTACAO IMPORTACAO DE EQUIPAMENTOS E VEICULOS ADAPTADOS LTDA</v>
      </c>
      <c r="N354" s="35" t="str">
        <f>'90186_2024'!M15</f>
        <v/>
      </c>
      <c r="O354" s="35" t="str">
        <f>'90186_2024'!N15</f>
        <v/>
      </c>
      <c r="P354" s="35" t="str">
        <f>'90186_2024'!O15</f>
        <v/>
      </c>
      <c r="Q354" s="63" t="str">
        <f>'90186_2024'!P15</f>
        <v/>
      </c>
      <c r="R354" s="35" t="str">
        <f>'90186_2024'!Q15</f>
        <v>HOMOLOGADO</v>
      </c>
    </row>
    <row r="355" hidden="1">
      <c r="A355" s="77" t="s">
        <v>39</v>
      </c>
      <c r="B355" s="52">
        <f>'90186_2024'!A16</f>
        <v>5</v>
      </c>
      <c r="C355" s="52" t="str">
        <f>'90186_2024'!B16</f>
        <v>C-1-01A-DTS</v>
      </c>
      <c r="D355" s="52" t="str">
        <f>'90186_2024'!C16</f>
        <v>CAMINHÃO LEVE</v>
      </c>
      <c r="E355" s="52">
        <f>'90186_2024'!D16</f>
        <v>1</v>
      </c>
      <c r="F355" s="321">
        <f>'90186_2024'!E16</f>
        <v>1</v>
      </c>
      <c r="G355" s="67">
        <f>'90186_2024'!F16</f>
        <v>0</v>
      </c>
      <c r="H355" s="46">
        <f>'90186_2024'!G16</f>
        <v>364128.52</v>
      </c>
      <c r="I355" s="46">
        <f>'90186_2024'!H16</f>
        <v>364128.52</v>
      </c>
      <c r="J355" s="52" t="str">
        <f>'90186_2024'!I16</f>
        <v>CINDACTA3</v>
      </c>
      <c r="K355" s="52" t="str">
        <f>'90186_2024'!J16</f>
        <v>Foton Aumark 916</v>
      </c>
      <c r="L355" s="52" t="str">
        <f>'90186_2024'!K16</f>
        <v>03.093.776/0018-30 </v>
      </c>
      <c r="M355" s="52" t="str">
        <f>'90186_2024'!L16</f>
        <v>MANUPA COMERCIO EXPORTACAO IMPORTACAO DE EQUIPAMENTOS E VEICULOS ADAPTADOS LTDA</v>
      </c>
      <c r="N355" s="52" t="str">
        <f>'90186_2024'!M16</f>
        <v/>
      </c>
      <c r="O355" s="52" t="str">
        <f>'90186_2024'!N16</f>
        <v/>
      </c>
      <c r="P355" s="52" t="str">
        <f>'90186_2024'!O16</f>
        <v/>
      </c>
      <c r="Q355" s="70" t="str">
        <f>'90186_2024'!P16</f>
        <v/>
      </c>
      <c r="R355" s="52" t="str">
        <f>'90186_2024'!Q16</f>
        <v>HOMOLOGADO</v>
      </c>
    </row>
    <row r="356" hidden="1">
      <c r="A356" s="79" t="s">
        <v>39</v>
      </c>
      <c r="B356" s="35">
        <f>'90186_2024'!A17</f>
        <v>5</v>
      </c>
      <c r="C356" s="35" t="str">
        <f>'90186_2024'!B17</f>
        <v>C-1-01A-DTS</v>
      </c>
      <c r="D356" s="35" t="str">
        <f>'90186_2024'!C17</f>
        <v>CAMINHÃO LEVE</v>
      </c>
      <c r="E356" s="35">
        <f>'90186_2024'!D17</f>
        <v>3</v>
      </c>
      <c r="F356" s="321">
        <f>'90186_2024'!E17</f>
        <v>3</v>
      </c>
      <c r="G356" s="56">
        <f>'90186_2024'!F17</f>
        <v>0</v>
      </c>
      <c r="H356" s="28">
        <f>'90186_2024'!G17</f>
        <v>364128.52</v>
      </c>
      <c r="I356" s="28">
        <f>'90186_2024'!H17</f>
        <v>1092385.56</v>
      </c>
      <c r="J356" s="35" t="str">
        <f>'90186_2024'!I17</f>
        <v>COMARA</v>
      </c>
      <c r="K356" s="35" t="str">
        <f>'90186_2024'!J17</f>
        <v>Foton Aumark 916</v>
      </c>
      <c r="L356" s="35" t="str">
        <f>'90186_2024'!K17</f>
        <v>03.093.776/0018-30 </v>
      </c>
      <c r="M356" s="35" t="str">
        <f>'90186_2024'!L17</f>
        <v>MANUPA COMERCIO EXPORTACAO IMPORTACAO DE EQUIPAMENTOS E VEICULOS ADAPTADOS LTDA</v>
      </c>
      <c r="N356" s="35" t="str">
        <f>'90186_2024'!M17</f>
        <v/>
      </c>
      <c r="O356" s="35" t="str">
        <f>'90186_2024'!N17</f>
        <v/>
      </c>
      <c r="P356" s="35" t="str">
        <f>'90186_2024'!O17</f>
        <v/>
      </c>
      <c r="Q356" s="63" t="str">
        <f>'90186_2024'!P17</f>
        <v/>
      </c>
      <c r="R356" s="35" t="str">
        <f>'90186_2024'!Q17</f>
        <v>HOMOLOGADO</v>
      </c>
    </row>
    <row r="357" hidden="1">
      <c r="A357" s="77" t="s">
        <v>39</v>
      </c>
      <c r="B357" s="52">
        <f>'90186_2024'!A18</f>
        <v>5</v>
      </c>
      <c r="C357" s="52" t="str">
        <f>'90186_2024'!B18</f>
        <v>C-1-01A-DTS</v>
      </c>
      <c r="D357" s="52" t="str">
        <f>'90186_2024'!C18</f>
        <v>CAMINHÃO LEVE</v>
      </c>
      <c r="E357" s="52">
        <f>'90186_2024'!D18</f>
        <v>1</v>
      </c>
      <c r="F357" s="52">
        <f>'90186_2024'!E18</f>
        <v>0</v>
      </c>
      <c r="G357" s="67">
        <f>'90186_2024'!F18</f>
        <v>1</v>
      </c>
      <c r="H357" s="46">
        <f>'90186_2024'!G18</f>
        <v>364128.52</v>
      </c>
      <c r="I357" s="46">
        <f>'90186_2024'!H18</f>
        <v>364128.52</v>
      </c>
      <c r="J357" s="52" t="str">
        <f>'90186_2024'!I18</f>
        <v>GAP-GL</v>
      </c>
      <c r="K357" s="52" t="str">
        <f>'90186_2024'!J18</f>
        <v>Foton Aumark 916</v>
      </c>
      <c r="L357" s="52" t="str">
        <f>'90186_2024'!K18</f>
        <v>03.093.776/0018-30 </v>
      </c>
      <c r="M357" s="52" t="str">
        <f>'90186_2024'!L18</f>
        <v>MANUPA COMERCIO EXPORTACAO IMPORTACAO DE EQUIPAMENTOS E VEICULOS ADAPTADOS LTDA</v>
      </c>
      <c r="N357" s="52" t="str">
        <f>'90186_2024'!M18</f>
        <v/>
      </c>
      <c r="O357" s="52" t="str">
        <f>'90186_2024'!N18</f>
        <v/>
      </c>
      <c r="P357" s="52" t="str">
        <f>'90186_2024'!O18</f>
        <v/>
      </c>
      <c r="Q357" s="70">
        <f>'90186_2024'!P18</f>
        <v>46003</v>
      </c>
      <c r="R357" s="52" t="str">
        <f>'90186_2024'!Q18</f>
        <v>HOMOLOGADO</v>
      </c>
    </row>
    <row r="358" hidden="1">
      <c r="A358" s="79" t="s">
        <v>39</v>
      </c>
      <c r="B358" s="35">
        <f>'90186_2024'!A19</f>
        <v>6</v>
      </c>
      <c r="C358" s="35" t="str">
        <f>'90186_2024'!B19</f>
        <v>C-2-01A-DTS</v>
      </c>
      <c r="D358" s="35" t="str">
        <f>'90186_2024'!C19</f>
        <v>CAMINHÃO MÉDIO/PESADO</v>
      </c>
      <c r="E358" s="35">
        <f>'90186_2024'!D19</f>
        <v>1</v>
      </c>
      <c r="F358" s="35">
        <f>'90186_2024'!E19</f>
        <v>0</v>
      </c>
      <c r="G358" s="56">
        <f>'90186_2024'!F19</f>
        <v>1</v>
      </c>
      <c r="H358" s="28">
        <f>'90186_2024'!G19</f>
        <v>517000</v>
      </c>
      <c r="I358" s="28">
        <f>'90186_2024'!H19</f>
        <v>517000</v>
      </c>
      <c r="J358" s="35" t="str">
        <f>'90186_2024'!I19</f>
        <v>BANT</v>
      </c>
      <c r="K358" s="35" t="str">
        <f>'90186_2024'!J19</f>
        <v>Volkswagen Truck &amp; bus / 14210 com carroceria metalica </v>
      </c>
      <c r="L358" s="35" t="str">
        <f>'90186_2024'!K19</f>
        <v>11.726.521/0001-47 </v>
      </c>
      <c r="M358" s="35" t="str">
        <f>'90186_2024'!L19</f>
        <v>TRANSRIO CAMINHOES, ONIBUS, MAQUINAS E MOTORES LTDA</v>
      </c>
      <c r="N358" s="35" t="str">
        <f>'90186_2024'!M19</f>
        <v/>
      </c>
      <c r="O358" s="35" t="str">
        <f>'90186_2024'!N19</f>
        <v/>
      </c>
      <c r="P358" s="35" t="str">
        <f>'90186_2024'!O19</f>
        <v/>
      </c>
      <c r="Q358" s="63">
        <f>'90186_2024'!P19</f>
        <v>45975</v>
      </c>
      <c r="R358" s="35" t="str">
        <f>'90186_2024'!Q19</f>
        <v>HOMOLOGADO</v>
      </c>
    </row>
    <row r="359" hidden="1">
      <c r="A359" s="77" t="s">
        <v>39</v>
      </c>
      <c r="B359" s="52">
        <f>'90186_2024'!A20</f>
        <v>6</v>
      </c>
      <c r="C359" s="52" t="str">
        <f>'90186_2024'!B20</f>
        <v>C-2-01A-DTS</v>
      </c>
      <c r="D359" s="52" t="str">
        <f>'90186_2024'!C20</f>
        <v>CAMINHÃO MÉDIO/PESADO</v>
      </c>
      <c r="E359" s="52">
        <f>'90186_2024'!D20</f>
        <v>1</v>
      </c>
      <c r="F359" s="321">
        <f>'90186_2024'!E20</f>
        <v>1</v>
      </c>
      <c r="G359" s="67">
        <f>E359-F359</f>
        <v>0</v>
      </c>
      <c r="H359" s="46">
        <f>'90186_2024'!G20</f>
        <v>517000</v>
      </c>
      <c r="I359" s="46">
        <f>'90186_2024'!H20</f>
        <v>517000</v>
      </c>
      <c r="J359" s="52" t="str">
        <f>'90186_2024'!I20</f>
        <v>CRCEA-SE</v>
      </c>
      <c r="K359" s="52" t="str">
        <f>'90186_2024'!J20</f>
        <v>Volkswagen Truck &amp; bus / 14210 com carroceria metalica </v>
      </c>
      <c r="L359" s="52" t="str">
        <f>'90186_2024'!K20</f>
        <v>11.726.521/0001-47 </v>
      </c>
      <c r="M359" s="52" t="str">
        <f>'90186_2024'!L20</f>
        <v>TRANSRIO CAMINHOES, ONIBUS, MAQUINAS E MOTORES LTDA</v>
      </c>
      <c r="N359" s="52" t="str">
        <f>'90186_2024'!M20</f>
        <v/>
      </c>
      <c r="O359" s="52" t="str">
        <f>'90186_2024'!N20</f>
        <v/>
      </c>
      <c r="P359" s="52" t="str">
        <f>'90186_2024'!O20</f>
        <v/>
      </c>
      <c r="Q359" s="70">
        <f>'90186_2024'!P20</f>
        <v>45975</v>
      </c>
      <c r="R359" s="52" t="str">
        <f>'90186_2024'!Q20</f>
        <v>HOMOLOGADO</v>
      </c>
    </row>
    <row r="360" hidden="1">
      <c r="A360" s="79" t="s">
        <v>39</v>
      </c>
      <c r="B360" s="35">
        <f>'90186_2024'!A21</f>
        <v>7</v>
      </c>
      <c r="C360" s="35" t="str">
        <f>'90186_2024'!B21</f>
        <v>P-7-01A-DTS</v>
      </c>
      <c r="D360" s="35" t="str">
        <f>'90186_2024'!C21</f>
        <v>CAMINHÃO MILITAR</v>
      </c>
      <c r="E360" s="35">
        <f>'90186_2024'!D21</f>
        <v>1</v>
      </c>
      <c r="F360" s="35">
        <f>'90186_2024'!E21</f>
        <v>0</v>
      </c>
      <c r="G360" s="56">
        <f>'90186_2024'!F21</f>
        <v>1</v>
      </c>
      <c r="H360" s="28">
        <f>'90186_2024'!G21</f>
        <v>880000</v>
      </c>
      <c r="I360" s="28">
        <f>'90186_2024'!H21</f>
        <v>880000</v>
      </c>
      <c r="J360" s="35" t="str">
        <f>'90186_2024'!I21</f>
        <v>GAP-AF</v>
      </c>
      <c r="K360" s="35" t="str">
        <f>'90186_2024'!J21</f>
        <v>VOLKSWAGEN 11180 4X4
</v>
      </c>
      <c r="L360" s="35" t="str">
        <f>'90186_2024'!K21</f>
        <v>03.093.776/0018-30
</v>
      </c>
      <c r="M360" s="35" t="str">
        <f>'90186_2024'!L21</f>
        <v>TRANSRIO CAMINHOES, ONIBUS, MAQUINAS E MOTORES LTDA
</v>
      </c>
      <c r="N360" s="35" t="str">
        <f>'90186_2024'!M21</f>
        <v/>
      </c>
      <c r="O360" s="35" t="str">
        <f>'90186_2024'!N21</f>
        <v/>
      </c>
      <c r="P360" s="35" t="str">
        <f>'90186_2024'!O21</f>
        <v/>
      </c>
      <c r="Q360" s="63">
        <f>'90186_2024'!P21</f>
        <v>46007</v>
      </c>
      <c r="R360" s="35" t="str">
        <f>'90186_2024'!Q21</f>
        <v>Julgado e habilitado (aberto para recursos)</v>
      </c>
    </row>
    <row r="361" hidden="1">
      <c r="A361" s="77" t="s">
        <v>39</v>
      </c>
      <c r="B361" s="52">
        <f>'90186_2024'!A22</f>
        <v>7</v>
      </c>
      <c r="C361" s="52" t="str">
        <f>'90186_2024'!B22</f>
        <v>P-7-01A-DTS</v>
      </c>
      <c r="D361" s="52" t="str">
        <f>'90186_2024'!C22</f>
        <v>CAMINHÃO MILITAR</v>
      </c>
      <c r="E361" s="52">
        <f>'90186_2024'!D22</f>
        <v>1</v>
      </c>
      <c r="F361" s="52">
        <f>'90186_2024'!E22</f>
        <v>0</v>
      </c>
      <c r="G361" s="67">
        <f>'90186_2024'!F22</f>
        <v>1</v>
      </c>
      <c r="H361" s="46">
        <f>'90186_2024'!G22</f>
        <v>880000</v>
      </c>
      <c r="I361" s="46">
        <f>'90186_2024'!H22</f>
        <v>880000</v>
      </c>
      <c r="J361" s="52" t="str">
        <f>'90186_2024'!I22</f>
        <v>GAP-BE</v>
      </c>
      <c r="K361" s="52" t="str">
        <f>'90186_2024'!J22</f>
        <v>VOLKSWAGEN 11180 4X4
</v>
      </c>
      <c r="L361" s="52" t="str">
        <f>'90186_2024'!K22</f>
        <v>03.093.776/0018-30
</v>
      </c>
      <c r="M361" s="52" t="str">
        <f>'90186_2024'!L22</f>
        <v>TRANSRIO CAMINHOES, ONIBUS, MAQUINAS E MOTORES LTDA
</v>
      </c>
      <c r="N361" s="52" t="str">
        <f>'90186_2024'!M22</f>
        <v/>
      </c>
      <c r="O361" s="52" t="str">
        <f>'90186_2024'!N22</f>
        <v/>
      </c>
      <c r="P361" s="52" t="str">
        <f>'90186_2024'!O22</f>
        <v/>
      </c>
      <c r="Q361" s="70">
        <f>'90186_2024'!P22</f>
        <v>46007</v>
      </c>
      <c r="R361" s="52" t="str">
        <f>'90186_2024'!Q22</f>
        <v>Julgado e habilitado (aberto para recursos)</v>
      </c>
    </row>
    <row r="362" hidden="1">
      <c r="A362" s="79" t="s">
        <v>39</v>
      </c>
      <c r="B362" s="35">
        <f>'90186_2024'!A23</f>
        <v>7</v>
      </c>
      <c r="C362" s="35" t="str">
        <f>'90186_2024'!B23</f>
        <v>P-7-01A-DTS</v>
      </c>
      <c r="D362" s="35" t="str">
        <f>'90186_2024'!C23</f>
        <v>CAMINHÃO MILITAR</v>
      </c>
      <c r="E362" s="35">
        <f>'90186_2024'!D23</f>
        <v>1</v>
      </c>
      <c r="F362" s="35">
        <f>'90186_2024'!E23</f>
        <v>0</v>
      </c>
      <c r="G362" s="56">
        <f>'90186_2024'!F23</f>
        <v>1</v>
      </c>
      <c r="H362" s="28">
        <f>'90186_2024'!G23</f>
        <v>880000</v>
      </c>
      <c r="I362" s="28">
        <f>'90186_2024'!H23</f>
        <v>880000</v>
      </c>
      <c r="J362" s="35" t="str">
        <f>'90186_2024'!I23</f>
        <v>GAP-CO</v>
      </c>
      <c r="K362" s="35" t="str">
        <f>'90186_2024'!J23</f>
        <v>VOLKSWAGEN 11180 4X4
</v>
      </c>
      <c r="L362" s="35" t="str">
        <f>'90186_2024'!K23</f>
        <v>03.093.776/0018-30
</v>
      </c>
      <c r="M362" s="35" t="str">
        <f>'90186_2024'!L23</f>
        <v>TRANSRIO CAMINHOES, ONIBUS, MAQUINAS E MOTORES LTDA
</v>
      </c>
      <c r="N362" s="35" t="str">
        <f>'90186_2024'!M23</f>
        <v/>
      </c>
      <c r="O362" s="35" t="str">
        <f>'90186_2024'!N23</f>
        <v/>
      </c>
      <c r="P362" s="35" t="str">
        <f>'90186_2024'!O23</f>
        <v/>
      </c>
      <c r="Q362" s="63">
        <f>'90186_2024'!P23</f>
        <v>46007</v>
      </c>
      <c r="R362" s="35" t="str">
        <f>'90186_2024'!Q23</f>
        <v>Julgado e habilitado (aberto para recursos)</v>
      </c>
    </row>
    <row r="363" hidden="1">
      <c r="A363" s="77" t="s">
        <v>39</v>
      </c>
      <c r="B363" s="52">
        <f>'90186_2024'!A24</f>
        <v>7</v>
      </c>
      <c r="C363" s="52" t="str">
        <f>'90186_2024'!B24</f>
        <v>P-7-01A-DTS</v>
      </c>
      <c r="D363" s="52" t="str">
        <f>'90186_2024'!C24</f>
        <v>CAMINHÃO MILITAR</v>
      </c>
      <c r="E363" s="52">
        <f>'90186_2024'!D24</f>
        <v>1</v>
      </c>
      <c r="F363" s="52">
        <f>'90186_2024'!E24</f>
        <v>0</v>
      </c>
      <c r="G363" s="67">
        <f>'90186_2024'!F24</f>
        <v>1</v>
      </c>
      <c r="H363" s="46">
        <f>'90186_2024'!G24</f>
        <v>880000</v>
      </c>
      <c r="I363" s="46">
        <f>'90186_2024'!H24</f>
        <v>880000</v>
      </c>
      <c r="J363" s="52" t="str">
        <f>'90186_2024'!I24</f>
        <v>GAP-DF</v>
      </c>
      <c r="K363" s="52" t="str">
        <f>'90186_2024'!J24</f>
        <v>VOLKSWAGEN 11180 4X4
</v>
      </c>
      <c r="L363" s="52" t="str">
        <f>'90186_2024'!K24</f>
        <v>03.093.776/0018-30
</v>
      </c>
      <c r="M363" s="52" t="str">
        <f>'90186_2024'!L24</f>
        <v>TRANSRIO CAMINHOES, ONIBUS, MAQUINAS E MOTORES LTDA
</v>
      </c>
      <c r="N363" s="52" t="str">
        <f>'90186_2024'!M24</f>
        <v/>
      </c>
      <c r="O363" s="52" t="str">
        <f>'90186_2024'!N24</f>
        <v/>
      </c>
      <c r="P363" s="52" t="str">
        <f>'90186_2024'!O24</f>
        <v/>
      </c>
      <c r="Q363" s="70">
        <f>'90186_2024'!P24</f>
        <v>46007</v>
      </c>
      <c r="R363" s="52" t="str">
        <f>'90186_2024'!Q24</f>
        <v>Julgado e habilitado (aberto para recursos)</v>
      </c>
    </row>
    <row r="364" hidden="1">
      <c r="A364" s="79" t="s">
        <v>39</v>
      </c>
      <c r="B364" s="35">
        <f>'90186_2024'!A25</f>
        <v>7</v>
      </c>
      <c r="C364" s="35" t="str">
        <f>'90186_2024'!B25</f>
        <v>P-7-01A-DTS</v>
      </c>
      <c r="D364" s="35" t="str">
        <f>'90186_2024'!C25</f>
        <v>CAMINHÃO MILITAR</v>
      </c>
      <c r="E364" s="35">
        <f>'90186_2024'!D25</f>
        <v>1</v>
      </c>
      <c r="F364" s="35">
        <f>'90186_2024'!E25</f>
        <v>0</v>
      </c>
      <c r="G364" s="56">
        <f>'90186_2024'!F25</f>
        <v>1</v>
      </c>
      <c r="H364" s="28">
        <f>'90186_2024'!G25</f>
        <v>880000</v>
      </c>
      <c r="I364" s="28">
        <f>'90186_2024'!H25</f>
        <v>880000</v>
      </c>
      <c r="J364" s="35" t="str">
        <f>'90186_2024'!I25</f>
        <v>GAP-GL</v>
      </c>
      <c r="K364" s="35" t="str">
        <f>'90186_2024'!J25</f>
        <v>VOLKSWAGEN 11180 4X4
</v>
      </c>
      <c r="L364" s="35" t="str">
        <f>'90186_2024'!K25</f>
        <v>03.093.776/0018-30
</v>
      </c>
      <c r="M364" s="35" t="str">
        <f>'90186_2024'!L25</f>
        <v>TRANSRIO CAMINHOES, ONIBUS, MAQUINAS E MOTORES LTDA
</v>
      </c>
      <c r="N364" s="35" t="str">
        <f>'90186_2024'!M25</f>
        <v/>
      </c>
      <c r="O364" s="35" t="str">
        <f>'90186_2024'!N25</f>
        <v/>
      </c>
      <c r="P364" s="35" t="str">
        <f>'90186_2024'!O25</f>
        <v/>
      </c>
      <c r="Q364" s="63">
        <f>'90186_2024'!P25</f>
        <v>46007</v>
      </c>
      <c r="R364" s="35" t="str">
        <f>'90186_2024'!Q25</f>
        <v>Julgado e habilitado (aberto para recursos)</v>
      </c>
    </row>
    <row r="365" hidden="1">
      <c r="A365" s="77" t="s">
        <v>39</v>
      </c>
      <c r="B365" s="52">
        <f>'90186_2024'!A26</f>
        <v>7</v>
      </c>
      <c r="C365" s="52" t="str">
        <f>'90186_2024'!B26</f>
        <v>P-7-01A-DTS</v>
      </c>
      <c r="D365" s="52" t="str">
        <f>'90186_2024'!C26</f>
        <v>CAMINHÃO MILITAR</v>
      </c>
      <c r="E365" s="52">
        <f>'90186_2024'!D26</f>
        <v>1</v>
      </c>
      <c r="F365" s="52">
        <f>'90186_2024'!E26</f>
        <v>0</v>
      </c>
      <c r="G365" s="67">
        <f>'90186_2024'!F26</f>
        <v>1</v>
      </c>
      <c r="H365" s="46">
        <f>'90186_2024'!G26</f>
        <v>880000</v>
      </c>
      <c r="I365" s="46">
        <f>'90186_2024'!H26</f>
        <v>880000</v>
      </c>
      <c r="J365" s="52" t="str">
        <f>'90186_2024'!I26</f>
        <v>GAP-MN</v>
      </c>
      <c r="K365" s="52" t="str">
        <f>'90186_2024'!J26</f>
        <v>VOLKSWAGEN 11180 4X4
</v>
      </c>
      <c r="L365" s="52" t="str">
        <f>'90186_2024'!K26</f>
        <v>03.093.776/0018-30
</v>
      </c>
      <c r="M365" s="52" t="str">
        <f>'90186_2024'!L26</f>
        <v>TRANSRIO CAMINHOES, ONIBUS, MAQUINAS E MOTORES LTDA
</v>
      </c>
      <c r="N365" s="52" t="str">
        <f>'90186_2024'!M26</f>
        <v/>
      </c>
      <c r="O365" s="52" t="str">
        <f>'90186_2024'!N26</f>
        <v/>
      </c>
      <c r="P365" s="52" t="str">
        <f>'90186_2024'!O26</f>
        <v/>
      </c>
      <c r="Q365" s="70">
        <f>'90186_2024'!P26</f>
        <v>46007</v>
      </c>
      <c r="R365" s="52" t="str">
        <f>'90186_2024'!Q26</f>
        <v>Julgado e habilitado (aberto para recursos)</v>
      </c>
    </row>
    <row r="366" hidden="1">
      <c r="A366" s="79" t="s">
        <v>39</v>
      </c>
      <c r="B366" s="35">
        <f>'90186_2024'!A27</f>
        <v>7</v>
      </c>
      <c r="C366" s="35" t="str">
        <f>'90186_2024'!B27</f>
        <v>P-7-01A-DTS</v>
      </c>
      <c r="D366" s="35" t="str">
        <f>'90186_2024'!C27</f>
        <v>CAMINHÃO MILITAR</v>
      </c>
      <c r="E366" s="35">
        <f>'90186_2024'!D27</f>
        <v>1</v>
      </c>
      <c r="F366" s="35">
        <f>'90186_2024'!E27</f>
        <v>0</v>
      </c>
      <c r="G366" s="56">
        <f>'90186_2024'!F27</f>
        <v>1</v>
      </c>
      <c r="H366" s="28">
        <f>'90186_2024'!G27</f>
        <v>880000</v>
      </c>
      <c r="I366" s="28">
        <f>'90186_2024'!H27</f>
        <v>880000</v>
      </c>
      <c r="J366" s="35" t="str">
        <f>'90186_2024'!I27</f>
        <v>GAP-RF</v>
      </c>
      <c r="K366" s="35" t="str">
        <f>'90186_2024'!J27</f>
        <v>VOLKSWAGEN 11180 4X4
</v>
      </c>
      <c r="L366" s="35" t="str">
        <f>'90186_2024'!K27</f>
        <v>03.093.776/0018-30
</v>
      </c>
      <c r="M366" s="35" t="str">
        <f>'90186_2024'!L27</f>
        <v>TRANSRIO CAMINHOES, ONIBUS, MAQUINAS E MOTORES LTDA
</v>
      </c>
      <c r="N366" s="35" t="str">
        <f>'90186_2024'!M27</f>
        <v/>
      </c>
      <c r="O366" s="35" t="str">
        <f>'90186_2024'!N27</f>
        <v/>
      </c>
      <c r="P366" s="35" t="str">
        <f>'90186_2024'!O27</f>
        <v/>
      </c>
      <c r="Q366" s="63">
        <f>'90186_2024'!P27</f>
        <v>46007</v>
      </c>
      <c r="R366" s="35" t="str">
        <f>'90186_2024'!Q27</f>
        <v>Julgado e habilitado (aberto para recursos)</v>
      </c>
    </row>
    <row r="367" hidden="1">
      <c r="A367" s="77" t="s">
        <v>39</v>
      </c>
      <c r="B367" s="52">
        <f>'90186_2024'!A28</f>
        <v>7</v>
      </c>
      <c r="C367" s="52" t="str">
        <f>'90186_2024'!B28</f>
        <v>P-7-01A-DTS</v>
      </c>
      <c r="D367" s="52" t="str">
        <f>'90186_2024'!C28</f>
        <v>CAMINHÃO MILITAR</v>
      </c>
      <c r="E367" s="52">
        <f>'90186_2024'!D28</f>
        <v>1</v>
      </c>
      <c r="F367" s="52">
        <f>'90186_2024'!E28</f>
        <v>0</v>
      </c>
      <c r="G367" s="67">
        <f>'90186_2024'!F28</f>
        <v>1</v>
      </c>
      <c r="H367" s="46">
        <f>'90186_2024'!G28</f>
        <v>880000</v>
      </c>
      <c r="I367" s="46">
        <f>'90186_2024'!H28</f>
        <v>880000</v>
      </c>
      <c r="J367" s="52" t="str">
        <f>'90186_2024'!I28</f>
        <v>BANT</v>
      </c>
      <c r="K367" s="52" t="str">
        <f>'90186_2024'!J28</f>
        <v>VOLKSWAGEN 11180 4X4
</v>
      </c>
      <c r="L367" s="52" t="str">
        <f>'90186_2024'!K28</f>
        <v>03.093.776/0018-30
</v>
      </c>
      <c r="M367" s="52" t="str">
        <f>'90186_2024'!L28</f>
        <v>TRANSRIO CAMINHOES, ONIBUS, MAQUINAS E MOTORES LTDA
</v>
      </c>
      <c r="N367" s="52" t="str">
        <f>'90186_2024'!M28</f>
        <v/>
      </c>
      <c r="O367" s="52" t="str">
        <f>'90186_2024'!N28</f>
        <v/>
      </c>
      <c r="P367" s="52" t="str">
        <f>'90186_2024'!O28</f>
        <v/>
      </c>
      <c r="Q367" s="70">
        <f>'90186_2024'!P28</f>
        <v>46007</v>
      </c>
      <c r="R367" s="52" t="str">
        <f>'90186_2024'!Q28</f>
        <v>Julgado e habilitado (aberto para recursos)</v>
      </c>
    </row>
    <row r="368" hidden="1">
      <c r="A368" s="79" t="s">
        <v>39</v>
      </c>
      <c r="B368" s="35">
        <f>'90186_2024'!A29</f>
        <v>7</v>
      </c>
      <c r="C368" s="35" t="str">
        <f>'90186_2024'!B29</f>
        <v>P-7-01A-DTS</v>
      </c>
      <c r="D368" s="35" t="str">
        <f>'90186_2024'!C29</f>
        <v>CAMINHÃO MILITAR</v>
      </c>
      <c r="E368" s="35">
        <f>'90186_2024'!D29</f>
        <v>1</v>
      </c>
      <c r="F368" s="35">
        <f>'90186_2024'!E29</f>
        <v>0</v>
      </c>
      <c r="G368" s="56">
        <f>'90186_2024'!F29</f>
        <v>1</v>
      </c>
      <c r="H368" s="28">
        <f>'90186_2024'!G29</f>
        <v>880000</v>
      </c>
      <c r="I368" s="28">
        <f>'90186_2024'!H29</f>
        <v>880000</v>
      </c>
      <c r="J368" s="35" t="str">
        <f>'90186_2024'!I29</f>
        <v>GAP-RJ</v>
      </c>
      <c r="K368" s="35" t="str">
        <f>'90186_2024'!J29</f>
        <v>VOLKSWAGEN 11180 4X4
</v>
      </c>
      <c r="L368" s="35" t="str">
        <f>'90186_2024'!K29</f>
        <v>03.093.776/0018-30
</v>
      </c>
      <c r="M368" s="35" t="str">
        <f>'90186_2024'!L29</f>
        <v>TRANSRIO CAMINHOES, ONIBUS, MAQUINAS E MOTORES LTDA
</v>
      </c>
      <c r="N368" s="35" t="str">
        <f>'90186_2024'!M29</f>
        <v/>
      </c>
      <c r="O368" s="35" t="str">
        <f>'90186_2024'!N29</f>
        <v/>
      </c>
      <c r="P368" s="35" t="str">
        <f>'90186_2024'!O29</f>
        <v/>
      </c>
      <c r="Q368" s="63">
        <f>'90186_2024'!P29</f>
        <v>46007</v>
      </c>
      <c r="R368" s="35" t="str">
        <f>'90186_2024'!Q29</f>
        <v>Julgado e habilitado (aberto para recursos)</v>
      </c>
    </row>
    <row r="369" hidden="1">
      <c r="A369" s="77" t="s">
        <v>39</v>
      </c>
      <c r="B369" s="52">
        <f>'90186_2024'!A30</f>
        <v>7</v>
      </c>
      <c r="C369" s="52" t="str">
        <f>'90186_2024'!B30</f>
        <v>P-7-01A-DTS</v>
      </c>
      <c r="D369" s="52" t="str">
        <f>'90186_2024'!C30</f>
        <v>CAMINHÃO MILITAR</v>
      </c>
      <c r="E369" s="52">
        <f>'90186_2024'!D30</f>
        <v>1</v>
      </c>
      <c r="F369" s="52">
        <f>'90186_2024'!E30</f>
        <v>0</v>
      </c>
      <c r="G369" s="67">
        <f>'90186_2024'!F30</f>
        <v>1</v>
      </c>
      <c r="H369" s="46">
        <f>'90186_2024'!G30</f>
        <v>880000</v>
      </c>
      <c r="I369" s="46">
        <f>'90186_2024'!H30</f>
        <v>880000</v>
      </c>
      <c r="J369" s="52" t="str">
        <f>'90186_2024'!I30</f>
        <v>GAP-SJ</v>
      </c>
      <c r="K369" s="52" t="str">
        <f>'90186_2024'!J30</f>
        <v>VOLKSWAGEN 11180 4X4
</v>
      </c>
      <c r="L369" s="52" t="str">
        <f>'90186_2024'!K30</f>
        <v>03.093.776/0018-30
</v>
      </c>
      <c r="M369" s="52" t="str">
        <f>'90186_2024'!L30</f>
        <v>TRANSRIO CAMINHOES, ONIBUS, MAQUINAS E MOTORES LTDA
</v>
      </c>
      <c r="N369" s="52" t="str">
        <f>'90186_2024'!M30</f>
        <v/>
      </c>
      <c r="O369" s="52" t="str">
        <f>'90186_2024'!N30</f>
        <v/>
      </c>
      <c r="P369" s="52" t="str">
        <f>'90186_2024'!O30</f>
        <v/>
      </c>
      <c r="Q369" s="70">
        <f>'90186_2024'!P30</f>
        <v>46007</v>
      </c>
      <c r="R369" s="52" t="str">
        <f>'90186_2024'!Q30</f>
        <v>Julgado e habilitado (aberto para recursos)</v>
      </c>
    </row>
    <row r="370" hidden="1">
      <c r="A370" s="79" t="s">
        <v>39</v>
      </c>
      <c r="B370" s="35">
        <f>'90186_2024'!A31</f>
        <v>7</v>
      </c>
      <c r="C370" s="35" t="str">
        <f>'90186_2024'!B31</f>
        <v>P-7-01A-DTS</v>
      </c>
      <c r="D370" s="35" t="str">
        <f>'90186_2024'!C31</f>
        <v>CAMINHÃO MILITAR</v>
      </c>
      <c r="E370" s="35">
        <f>'90186_2024'!D31</f>
        <v>1</v>
      </c>
      <c r="F370" s="35">
        <f>'90186_2024'!E31</f>
        <v>0</v>
      </c>
      <c r="G370" s="56">
        <f>'90186_2024'!F31</f>
        <v>1</v>
      </c>
      <c r="H370" s="28">
        <f>'90186_2024'!G31</f>
        <v>880000</v>
      </c>
      <c r="I370" s="28">
        <f>'90186_2024'!H31</f>
        <v>880000</v>
      </c>
      <c r="J370" s="35" t="str">
        <f>'90186_2024'!I31</f>
        <v>GAP-SP</v>
      </c>
      <c r="K370" s="35" t="str">
        <f>'90186_2024'!J31</f>
        <v>VOLKSWAGEN 11180 4X4
</v>
      </c>
      <c r="L370" s="35" t="str">
        <f>'90186_2024'!K31</f>
        <v>03.093.776/0018-30
</v>
      </c>
      <c r="M370" s="35" t="str">
        <f>'90186_2024'!L31</f>
        <v>TRANSRIO CAMINHOES, ONIBUS, MAQUINAS E MOTORES LTDA
</v>
      </c>
      <c r="N370" s="35" t="str">
        <f>'90186_2024'!M31</f>
        <v/>
      </c>
      <c r="O370" s="35" t="str">
        <f>'90186_2024'!N31</f>
        <v/>
      </c>
      <c r="P370" s="35" t="str">
        <f>'90186_2024'!O31</f>
        <v/>
      </c>
      <c r="Q370" s="63" t="str">
        <f>'90186_2024'!P31</f>
        <v/>
      </c>
      <c r="R370" s="35" t="str">
        <f>'90186_2024'!Q31</f>
        <v>Julgado e habilitado (aberto para recursos)</v>
      </c>
    </row>
    <row r="371" hidden="1">
      <c r="A371" s="77" t="s">
        <v>39</v>
      </c>
      <c r="B371" s="52">
        <f>'90186_2024'!A32</f>
        <v>8</v>
      </c>
      <c r="C371" s="52" t="str">
        <f>'90186_2024'!B32</f>
        <v>C-7-01A-DTS</v>
      </c>
      <c r="D371" s="52" t="str">
        <f>'90186_2024'!C32</f>
        <v>CAMINHÃO TRUCADO</v>
      </c>
      <c r="E371" s="52">
        <f>'90186_2024'!D32</f>
        <v>1</v>
      </c>
      <c r="F371" s="52">
        <f>'90186_2024'!E32</f>
        <v>0</v>
      </c>
      <c r="G371" s="67">
        <f>'90186_2024'!F32</f>
        <v>1</v>
      </c>
      <c r="H371" s="46">
        <f>'90186_2024'!G32</f>
        <v>594480</v>
      </c>
      <c r="I371" s="46">
        <f>'90186_2024'!H32</f>
        <v>594480</v>
      </c>
      <c r="J371" s="52" t="str">
        <f>'90186_2024'!I32</f>
        <v>PAME-RJ</v>
      </c>
      <c r="K371" s="52" t="str">
        <f>'90186_2024'!J32</f>
        <v>MERCEDES-BENS/ ATEGO 2429</v>
      </c>
      <c r="L371" s="52" t="str">
        <f>'90186_2024'!K32</f>
        <v>08.206.867/0001-00 </v>
      </c>
      <c r="M371" s="52" t="str">
        <f>'90186_2024'!L32</f>
        <v>ECS COMERCIO DE VEICULOS E EQUIPAMENTOS LTDA</v>
      </c>
      <c r="N371" s="52" t="str">
        <f>'90186_2024'!M32</f>
        <v/>
      </c>
      <c r="O371" s="52" t="str">
        <f>'90186_2024'!N32</f>
        <v/>
      </c>
      <c r="P371" s="52" t="str">
        <f>'90186_2024'!O32</f>
        <v/>
      </c>
      <c r="Q371" s="70">
        <f>'90186_2024'!P32</f>
        <v>45975</v>
      </c>
      <c r="R371" s="52" t="str">
        <f>'90186_2024'!Q32</f>
        <v>HOMOLOGADO</v>
      </c>
    </row>
    <row r="372" hidden="1">
      <c r="A372" s="79" t="s">
        <v>39</v>
      </c>
      <c r="B372" s="35">
        <f>'90186_2024'!A33</f>
        <v>9</v>
      </c>
      <c r="C372" s="35" t="str">
        <f>'90186_2024'!B33</f>
        <v>P-19-01A-DTS</v>
      </c>
      <c r="D372" s="35" t="str">
        <f>'90186_2024'!C33</f>
        <v>CAMINHONETE MILITAR</v>
      </c>
      <c r="E372" s="35">
        <f>'90186_2024'!D33</f>
        <v>1</v>
      </c>
      <c r="F372" s="35">
        <f>'90186_2024'!E33</f>
        <v>0</v>
      </c>
      <c r="G372" s="56">
        <f>'90186_2024'!F33</f>
        <v>1</v>
      </c>
      <c r="H372" s="28">
        <f>'90186_2024'!G33</f>
        <v>617000</v>
      </c>
      <c r="I372" s="28">
        <f>'90186_2024'!H33</f>
        <v>617000</v>
      </c>
      <c r="J372" s="35" t="str">
        <f>'90186_2024'!I33</f>
        <v>AFA</v>
      </c>
      <c r="K372" s="35" t="str">
        <f>'90186_2024'!J33</f>
        <v>AGRALE MARRUÁ AM23 G2 - MILITAR
</v>
      </c>
      <c r="L372" s="35" t="str">
        <f>'90186_2024'!K33</f>
        <v>88.610.324/0001-92
</v>
      </c>
      <c r="M372" s="35" t="str">
        <f>'90186_2024'!L33</f>
        <v>AGRALE</v>
      </c>
      <c r="N372" s="35" t="str">
        <f>'90186_2024'!M33</f>
        <v/>
      </c>
      <c r="O372" s="35" t="str">
        <f>'90186_2024'!N33</f>
        <v/>
      </c>
      <c r="P372" s="35" t="str">
        <f>'90186_2024'!O33</f>
        <v/>
      </c>
      <c r="Q372" s="63" t="str">
        <f>'90186_2024'!P33</f>
        <v/>
      </c>
      <c r="R372" s="35" t="str">
        <f>'90186_2024'!Q33</f>
        <v>Aguardando julgamento</v>
      </c>
    </row>
    <row r="373" hidden="1">
      <c r="A373" s="77" t="s">
        <v>39</v>
      </c>
      <c r="B373" s="52">
        <f>'90186_2024'!A34</f>
        <v>9</v>
      </c>
      <c r="C373" s="52" t="str">
        <f>'90186_2024'!B34</f>
        <v>P-19-01A-DTS</v>
      </c>
      <c r="D373" s="52" t="str">
        <f>'90186_2024'!C34</f>
        <v>CAMINHONETE MILITAR</v>
      </c>
      <c r="E373" s="52">
        <f>'90186_2024'!D34</f>
        <v>2</v>
      </c>
      <c r="F373" s="52">
        <f>'90186_2024'!E34</f>
        <v>0</v>
      </c>
      <c r="G373" s="67">
        <f>'90186_2024'!F34</f>
        <v>2</v>
      </c>
      <c r="H373" s="46">
        <f>'90186_2024'!G34</f>
        <v>617000</v>
      </c>
      <c r="I373" s="46">
        <f>'90186_2024'!H34</f>
        <v>1234000</v>
      </c>
      <c r="J373" s="52" t="str">
        <f>'90186_2024'!I34</f>
        <v>BAAN</v>
      </c>
      <c r="K373" s="52" t="str">
        <f>'90186_2024'!J34</f>
        <v>AGRALE MARRUÁ AM23 G2 - MILITAR
</v>
      </c>
      <c r="L373" s="52" t="str">
        <f>'90186_2024'!K34</f>
        <v>88.610.324/0001-92
</v>
      </c>
      <c r="M373" s="52" t="str">
        <f>'90186_2024'!L34</f>
        <v>AGRALE</v>
      </c>
      <c r="N373" s="52" t="str">
        <f>'90186_2024'!M34</f>
        <v/>
      </c>
      <c r="O373" s="52" t="str">
        <f>'90186_2024'!N34</f>
        <v/>
      </c>
      <c r="P373" s="52" t="str">
        <f>'90186_2024'!O34</f>
        <v/>
      </c>
      <c r="Q373" s="70" t="str">
        <f>'90186_2024'!P34</f>
        <v/>
      </c>
      <c r="R373" s="52" t="str">
        <f>'90186_2024'!Q34</f>
        <v>Aguardando julgamento</v>
      </c>
    </row>
    <row r="374" hidden="1">
      <c r="A374" s="79" t="s">
        <v>39</v>
      </c>
      <c r="B374" s="35">
        <f>'90186_2024'!A35</f>
        <v>9</v>
      </c>
      <c r="C374" s="35" t="str">
        <f>'90186_2024'!B35</f>
        <v>P-19-01A-DTS</v>
      </c>
      <c r="D374" s="35" t="str">
        <f>'90186_2024'!C35</f>
        <v>CAMINHONETE MILITAR</v>
      </c>
      <c r="E374" s="35">
        <f>'90186_2024'!D35</f>
        <v>2</v>
      </c>
      <c r="F374" s="35">
        <f>'90186_2024'!E35</f>
        <v>0</v>
      </c>
      <c r="G374" s="56">
        <f>'90186_2024'!F35</f>
        <v>2</v>
      </c>
      <c r="H374" s="28">
        <f>'90186_2024'!G35</f>
        <v>617000</v>
      </c>
      <c r="I374" s="28">
        <f>'90186_2024'!H35</f>
        <v>1234000</v>
      </c>
      <c r="J374" s="35" t="str">
        <f>'90186_2024'!I35</f>
        <v>BACG</v>
      </c>
      <c r="K374" s="35" t="str">
        <f>'90186_2024'!J35</f>
        <v>AGRALE MARRUÁ AM23 G2 - MILITAR
</v>
      </c>
      <c r="L374" s="35" t="str">
        <f>'90186_2024'!K35</f>
        <v>88.610.324/0001-92
</v>
      </c>
      <c r="M374" s="35" t="str">
        <f>'90186_2024'!L35</f>
        <v>AGRALE</v>
      </c>
      <c r="N374" s="35" t="str">
        <f>'90186_2024'!M35</f>
        <v/>
      </c>
      <c r="O374" s="35" t="str">
        <f>'90186_2024'!N35</f>
        <v/>
      </c>
      <c r="P374" s="35" t="str">
        <f>'90186_2024'!O35</f>
        <v/>
      </c>
      <c r="Q374" s="63" t="str">
        <f>'90186_2024'!P35</f>
        <v/>
      </c>
      <c r="R374" s="35" t="str">
        <f>'90186_2024'!Q35</f>
        <v>Aguardando julgamento</v>
      </c>
    </row>
    <row r="375" hidden="1">
      <c r="A375" s="77" t="s">
        <v>39</v>
      </c>
      <c r="B375" s="52">
        <f>'90186_2024'!A36</f>
        <v>9</v>
      </c>
      <c r="C375" s="52" t="str">
        <f>'90186_2024'!B36</f>
        <v>P-19-01A-DTS</v>
      </c>
      <c r="D375" s="52" t="str">
        <f>'90186_2024'!C36</f>
        <v>CAMINHONETE MILITAR</v>
      </c>
      <c r="E375" s="52">
        <f>'90186_2024'!D36</f>
        <v>1</v>
      </c>
      <c r="F375" s="52">
        <f>'90186_2024'!E36</f>
        <v>0</v>
      </c>
      <c r="G375" s="67">
        <f>'90186_2024'!F36</f>
        <v>1</v>
      </c>
      <c r="H375" s="46">
        <f>'90186_2024'!G36</f>
        <v>617000</v>
      </c>
      <c r="I375" s="46">
        <f>'90186_2024'!H36</f>
        <v>617000</v>
      </c>
      <c r="J375" s="52" t="str">
        <f>'90186_2024'!I36</f>
        <v>CPBV</v>
      </c>
      <c r="K375" s="52" t="str">
        <f>'90186_2024'!J36</f>
        <v>AGRALE MARRUÁ AM23 G2 - MILITAR
</v>
      </c>
      <c r="L375" s="52" t="str">
        <f>'90186_2024'!K36</f>
        <v>88.610.324/0001-92
</v>
      </c>
      <c r="M375" s="52" t="str">
        <f>'90186_2024'!L36</f>
        <v>AGRALE</v>
      </c>
      <c r="N375" s="52" t="str">
        <f>'90186_2024'!M36</f>
        <v/>
      </c>
      <c r="O375" s="52" t="str">
        <f>'90186_2024'!N36</f>
        <v/>
      </c>
      <c r="P375" s="52" t="str">
        <f>'90186_2024'!O36</f>
        <v/>
      </c>
      <c r="Q375" s="70" t="str">
        <f>'90186_2024'!P36</f>
        <v/>
      </c>
      <c r="R375" s="52" t="str">
        <f>'90186_2024'!Q36</f>
        <v>Aguardando julgamento</v>
      </c>
    </row>
    <row r="376" hidden="1">
      <c r="A376" s="79" t="s">
        <v>39</v>
      </c>
      <c r="B376" s="35">
        <f>'90186_2024'!A37</f>
        <v>9</v>
      </c>
      <c r="C376" s="35" t="str">
        <f>'90186_2024'!B37</f>
        <v>P-19-01A-DTS</v>
      </c>
      <c r="D376" s="35" t="str">
        <f>'90186_2024'!C37</f>
        <v>CAMINHONETE MILITAR</v>
      </c>
      <c r="E376" s="35">
        <f>'90186_2024'!D37</f>
        <v>2</v>
      </c>
      <c r="F376" s="35">
        <f>'90186_2024'!E37</f>
        <v>0</v>
      </c>
      <c r="G376" s="56">
        <f>'90186_2024'!F37</f>
        <v>2</v>
      </c>
      <c r="H376" s="28">
        <f>'90186_2024'!G37</f>
        <v>617000</v>
      </c>
      <c r="I376" s="28">
        <f>'90186_2024'!H37</f>
        <v>1234000</v>
      </c>
      <c r="J376" s="35" t="str">
        <f>'90186_2024'!I37</f>
        <v>GAP-CO</v>
      </c>
      <c r="K376" s="35" t="str">
        <f>'90186_2024'!J37</f>
        <v>AGRALE MARRUÁ AM23 G2 - MILITAR
</v>
      </c>
      <c r="L376" s="35" t="str">
        <f>'90186_2024'!K37</f>
        <v>88.610.324/0001-92
</v>
      </c>
      <c r="M376" s="35" t="str">
        <f>'90186_2024'!L37</f>
        <v>AGRALE</v>
      </c>
      <c r="N376" s="35" t="str">
        <f>'90186_2024'!M37</f>
        <v/>
      </c>
      <c r="O376" s="35" t="str">
        <f>'90186_2024'!N37</f>
        <v/>
      </c>
      <c r="P376" s="35" t="str">
        <f>'90186_2024'!O37</f>
        <v/>
      </c>
      <c r="Q376" s="63" t="str">
        <f>'90186_2024'!P37</f>
        <v/>
      </c>
      <c r="R376" s="35" t="str">
        <f>'90186_2024'!Q37</f>
        <v>Aguardando julgamento</v>
      </c>
    </row>
    <row r="377" hidden="1">
      <c r="A377" s="77" t="s">
        <v>39</v>
      </c>
      <c r="B377" s="52">
        <f>'90186_2024'!A38</f>
        <v>9</v>
      </c>
      <c r="C377" s="52" t="str">
        <f>'90186_2024'!B38</f>
        <v>P-19-01A-DTS</v>
      </c>
      <c r="D377" s="52" t="str">
        <f>'90186_2024'!C38</f>
        <v>CAMINHONETE MILITAR</v>
      </c>
      <c r="E377" s="52">
        <f>'90186_2024'!D38</f>
        <v>2</v>
      </c>
      <c r="F377" s="52">
        <f>'90186_2024'!E38</f>
        <v>0</v>
      </c>
      <c r="G377" s="67">
        <f>'90186_2024'!F38</f>
        <v>2</v>
      </c>
      <c r="H377" s="46">
        <f>'90186_2024'!G38</f>
        <v>617000</v>
      </c>
      <c r="I377" s="46">
        <f>'90186_2024'!H38</f>
        <v>1234000</v>
      </c>
      <c r="J377" s="52" t="str">
        <f>'90186_2024'!I38</f>
        <v>GAP-MN</v>
      </c>
      <c r="K377" s="52" t="str">
        <f>'90186_2024'!J38</f>
        <v>AGRALE MARRUÁ AM23 G2 - MILITAR
</v>
      </c>
      <c r="L377" s="52" t="str">
        <f>'90186_2024'!K38</f>
        <v>88.610.324/0001-92
</v>
      </c>
      <c r="M377" s="52" t="str">
        <f>'90186_2024'!L38</f>
        <v>AGRALE</v>
      </c>
      <c r="N377" s="52" t="str">
        <f>'90186_2024'!M38</f>
        <v/>
      </c>
      <c r="O377" s="52" t="str">
        <f>'90186_2024'!N38</f>
        <v/>
      </c>
      <c r="P377" s="52" t="str">
        <f>'90186_2024'!O38</f>
        <v/>
      </c>
      <c r="Q377" s="70" t="str">
        <f>'90186_2024'!P38</f>
        <v/>
      </c>
      <c r="R377" s="52" t="str">
        <f>'90186_2024'!Q38</f>
        <v>Aguardando julgamento</v>
      </c>
    </row>
    <row r="378" hidden="1">
      <c r="A378" s="79" t="s">
        <v>39</v>
      </c>
      <c r="B378" s="35">
        <f>'90186_2024'!A39</f>
        <v>10</v>
      </c>
      <c r="C378" s="35" t="str">
        <f>'90186_2024'!B39</f>
        <v>P-12-02A-DTS</v>
      </c>
      <c r="D378" s="35" t="str">
        <f>'90186_2024'!C39</f>
        <v>CARRO DE OPERAÇÕES</v>
      </c>
      <c r="E378" s="35">
        <f>'90186_2024'!D39</f>
        <v>1</v>
      </c>
      <c r="F378" s="35">
        <f>'90186_2024'!E39</f>
        <v>1</v>
      </c>
      <c r="G378" s="56">
        <f>'90186_2024'!F39</f>
        <v>0</v>
      </c>
      <c r="H378" s="28">
        <f>'90186_2024'!G39</f>
        <v>244000</v>
      </c>
      <c r="I378" s="28">
        <f>'90186_2024'!H39</f>
        <v>244000</v>
      </c>
      <c r="J378" s="35" t="str">
        <f>'90186_2024'!I39</f>
        <v>BABV</v>
      </c>
      <c r="K378" s="35" t="str">
        <f>'90186_2024'!J39</f>
        <v>MITSUBISHI / L200 TRITON GL</v>
      </c>
      <c r="L378" s="35" t="str">
        <f>'90186_2024'!K39</f>
        <v>54.305.743/0011-70</v>
      </c>
      <c r="M378" s="35" t="str">
        <f>'90186_2024'!L39</f>
        <v>HPE AUTOMOTORES DO BRASIL LTDA</v>
      </c>
      <c r="N378" s="35" t="str">
        <f>'90186_2024'!M39</f>
        <v/>
      </c>
      <c r="O378" s="35" t="str">
        <f>'90186_2024'!N39</f>
        <v/>
      </c>
      <c r="P378" s="35" t="str">
        <f>'90186_2024'!O39</f>
        <v/>
      </c>
      <c r="Q378" s="63">
        <f>'90186_2024'!P39</f>
        <v>45975</v>
      </c>
      <c r="R378" s="35" t="str">
        <f>'90186_2024'!Q39</f>
        <v>HOMOLOGADO</v>
      </c>
    </row>
    <row r="379" hidden="1">
      <c r="A379" s="77" t="s">
        <v>39</v>
      </c>
      <c r="B379" s="52">
        <f>'90186_2024'!A40</f>
        <v>10</v>
      </c>
      <c r="C379" s="52" t="str">
        <f>'90186_2024'!B40</f>
        <v>P-12-02A-DTS</v>
      </c>
      <c r="D379" s="52" t="str">
        <f>'90186_2024'!C40</f>
        <v>CARRO DE OPERAÇÕES</v>
      </c>
      <c r="E379" s="52">
        <f>'90186_2024'!D40</f>
        <v>1</v>
      </c>
      <c r="F379" s="52">
        <f>'90186_2024'!E40</f>
        <v>1</v>
      </c>
      <c r="G379" s="67">
        <f>'90186_2024'!F40</f>
        <v>0</v>
      </c>
      <c r="H379" s="46">
        <f>'90186_2024'!G40</f>
        <v>244000</v>
      </c>
      <c r="I379" s="46">
        <f>'90186_2024'!H40</f>
        <v>244000</v>
      </c>
      <c r="J379" s="52" t="str">
        <f>'90186_2024'!I40</f>
        <v>CINDACTA 4</v>
      </c>
      <c r="K379" s="52" t="str">
        <f>'90186_2024'!J40</f>
        <v>MITSUBISHI / L200 TRITON GL</v>
      </c>
      <c r="L379" s="52" t="str">
        <f>'90186_2024'!K40</f>
        <v>54.305.743/0011-70</v>
      </c>
      <c r="M379" s="52" t="str">
        <f>'90186_2024'!L40</f>
        <v>HPE AUTOMOTORES DO BRASIL LTDA</v>
      </c>
      <c r="N379" s="52" t="str">
        <f>'90186_2024'!M40</f>
        <v/>
      </c>
      <c r="O379" s="52" t="str">
        <f>'90186_2024'!N40</f>
        <v/>
      </c>
      <c r="P379" s="52" t="str">
        <f>'90186_2024'!O40</f>
        <v/>
      </c>
      <c r="Q379" s="70">
        <f>'90186_2024'!P40</f>
        <v>45975</v>
      </c>
      <c r="R379" s="52" t="str">
        <f>'90186_2024'!Q40</f>
        <v>HOMOLOGADO</v>
      </c>
    </row>
    <row r="380" hidden="1">
      <c r="A380" s="79" t="s">
        <v>39</v>
      </c>
      <c r="B380" s="35">
        <f>'90186_2024'!A41</f>
        <v>11</v>
      </c>
      <c r="C380" s="35" t="str">
        <f>'90186_2024'!B41</f>
        <v>E-8-01A-DTS</v>
      </c>
      <c r="D380" s="35" t="str">
        <f>'90186_2024'!C41</f>
        <v>CARRO GUINCHO SOCORRO LEVE</v>
      </c>
      <c r="E380" s="35">
        <f>'90186_2024'!D41</f>
        <v>1</v>
      </c>
      <c r="F380" s="35">
        <f>'90186_2024'!E41</f>
        <v>0</v>
      </c>
      <c r="G380" s="56">
        <f>'90186_2024'!F41</f>
        <v>1</v>
      </c>
      <c r="H380" s="28">
        <f>'90186_2024'!G41</f>
        <v>564480</v>
      </c>
      <c r="I380" s="28">
        <f>'90186_2024'!H41</f>
        <v>564480</v>
      </c>
      <c r="J380" s="35" t="str">
        <f>'90186_2024'!I41</f>
        <v>CINDACTA 2</v>
      </c>
      <c r="K380" s="35" t="str">
        <f>'90186_2024'!J41</f>
        <v>MERCEDES-BENS / ATEGO 1419</v>
      </c>
      <c r="L380" s="35" t="str">
        <f>'90186_2024'!K41</f>
        <v>08.206.867/0001-00 </v>
      </c>
      <c r="M380" s="35" t="str">
        <f>'90186_2024'!L41</f>
        <v>ECS COMERCIO DE VEICULOS E EQUIPAMENTOS LTDA</v>
      </c>
      <c r="N380" s="35" t="str">
        <f>'90186_2024'!M41</f>
        <v/>
      </c>
      <c r="O380" s="35" t="str">
        <f>'90186_2024'!N41</f>
        <v/>
      </c>
      <c r="P380" s="35" t="str">
        <f>'90186_2024'!O41</f>
        <v/>
      </c>
      <c r="Q380" s="63">
        <f>'90186_2024'!P41</f>
        <v>45975</v>
      </c>
      <c r="R380" s="35" t="str">
        <f>'90186_2024'!Q41</f>
        <v>HOMOLOGADO</v>
      </c>
    </row>
    <row r="381" hidden="1">
      <c r="A381" s="77" t="s">
        <v>39</v>
      </c>
      <c r="B381" s="52">
        <f>'90186_2024'!A42</f>
        <v>12</v>
      </c>
      <c r="C381" s="52" t="str">
        <f>'90186_2024'!B42</f>
        <v>E-7-01A-DTS</v>
      </c>
      <c r="D381" s="52" t="str">
        <f>'90186_2024'!C42</f>
        <v>CARRO GUINCHO-SOCORRO PESADO</v>
      </c>
      <c r="E381" s="52">
        <f>'90186_2024'!D42</f>
        <v>1</v>
      </c>
      <c r="F381" s="52">
        <f>'90186_2024'!E42</f>
        <v>0</v>
      </c>
      <c r="G381" s="67">
        <f>'90186_2024'!F42</f>
        <v>1</v>
      </c>
      <c r="H381" s="46">
        <f>'90186_2024'!G42</f>
        <v>734998</v>
      </c>
      <c r="I381" s="46">
        <f>'90186_2024'!H42</f>
        <v>734998</v>
      </c>
      <c r="J381" s="52" t="str">
        <f>'90186_2024'!I42</f>
        <v>CINDACTA 3</v>
      </c>
      <c r="K381" s="52" t="str">
        <f>'90186_2024'!J42</f>
        <v>IVECO / TECTOR 17-210</v>
      </c>
      <c r="L381" s="52" t="str">
        <f>'90186_2024'!K42</f>
        <v>51.552.005/0001-68</v>
      </c>
      <c r="M381" s="52" t="str">
        <f>'90186_2024'!L42</f>
        <v>POTTENCIAL VEICULOS ESPECIAIS LTDA
</v>
      </c>
      <c r="N381" s="52" t="str">
        <f>'90186_2024'!M42</f>
        <v/>
      </c>
      <c r="O381" s="52" t="str">
        <f>'90186_2024'!N42</f>
        <v/>
      </c>
      <c r="P381" s="52" t="str">
        <f>'90186_2024'!O42</f>
        <v/>
      </c>
      <c r="Q381" s="70">
        <f>'90186_2024'!P42</f>
        <v>45975</v>
      </c>
      <c r="R381" s="52" t="str">
        <f>'90186_2024'!Q42</f>
        <v>HOMOLOGADO</v>
      </c>
    </row>
    <row r="382" hidden="1">
      <c r="A382" s="79" t="s">
        <v>39</v>
      </c>
      <c r="B382" s="35">
        <f>'90186_2024'!A43</f>
        <v>13</v>
      </c>
      <c r="C382" s="35" t="str">
        <f>'90186_2024'!B43</f>
        <v>E-9-01A-DTS</v>
      </c>
      <c r="D382" s="35" t="str">
        <f>'90186_2024'!C43</f>
        <v>CAVALO MECÂNICO</v>
      </c>
      <c r="E382" s="35">
        <f>'90186_2024'!D43</f>
        <v>2</v>
      </c>
      <c r="F382" s="35">
        <f>'90186_2024'!E43</f>
        <v>0</v>
      </c>
      <c r="G382" s="56">
        <f>'90186_2024'!F43</f>
        <v>2</v>
      </c>
      <c r="H382" s="28">
        <f>'90186_2024'!G43</f>
        <v>760000</v>
      </c>
      <c r="I382" s="28">
        <f>'90186_2024'!H43</f>
        <v>1520000</v>
      </c>
      <c r="J382" s="35" t="str">
        <f>'90186_2024'!I43</f>
        <v>DECEA</v>
      </c>
      <c r="K382" s="35" t="str">
        <f>'90186_2024'!J43</f>
        <v>Volkswagen truck &amp; bus
</v>
      </c>
      <c r="L382" s="35" t="str">
        <f>'90186_2024'!K43</f>
        <v>03.093.776/0018-30</v>
      </c>
      <c r="M382" s="35" t="str">
        <f>'90186_2024'!L43</f>
        <v>TRANSRIO CAMINHOES</v>
      </c>
      <c r="N382" s="35" t="str">
        <f>'90186_2024'!M43</f>
        <v/>
      </c>
      <c r="O382" s="35" t="str">
        <f>'90186_2024'!N43</f>
        <v/>
      </c>
      <c r="P382" s="35" t="str">
        <f>'90186_2024'!O43</f>
        <v/>
      </c>
      <c r="Q382" s="63" t="str">
        <f>'90186_2024'!P43</f>
        <v/>
      </c>
      <c r="R382" s="35" t="str">
        <f>'90186_2024'!Q43</f>
        <v>HOMOLOGADO</v>
      </c>
    </row>
    <row r="383" hidden="1">
      <c r="A383" s="77" t="s">
        <v>39</v>
      </c>
      <c r="B383" s="52">
        <f>'90186_2024'!A44</f>
        <v>14</v>
      </c>
      <c r="C383" s="52" t="str">
        <f>'90186_2024'!B44</f>
        <v>E-10-02A-DTS</v>
      </c>
      <c r="D383" s="52" t="str">
        <f>'90186_2024'!C44</f>
        <v>EMPILHADEIRA</v>
      </c>
      <c r="E383" s="52">
        <f>'90186_2024'!D44</f>
        <v>1</v>
      </c>
      <c r="F383" s="52">
        <f>'90186_2024'!E44</f>
        <v>1</v>
      </c>
      <c r="G383" s="67">
        <f>'90186_2024'!F44</f>
        <v>0</v>
      </c>
      <c r="H383" s="46">
        <f>'90186_2024'!G44</f>
        <v>120800</v>
      </c>
      <c r="I383" s="46">
        <f>'90186_2024'!H44</f>
        <v>120800</v>
      </c>
      <c r="J383" s="52" t="str">
        <f>'90186_2024'!I44</f>
        <v>CINDACTA 2</v>
      </c>
      <c r="K383" s="52" t="str">
        <f>'90186_2024'!J44</f>
        <v>HEDESA CPCD25</v>
      </c>
      <c r="L383" s="52" t="str">
        <f>'90186_2024'!K44</f>
        <v>48.161.058/0001-43</v>
      </c>
      <c r="M383" s="52" t="str">
        <f>'90186_2024'!L44</f>
        <v>BAUMASTER IMPORTACAO E COMERCIO DE MAQUINAS LTDA
</v>
      </c>
      <c r="N383" s="52" t="str">
        <f>'90186_2024'!M44</f>
        <v/>
      </c>
      <c r="O383" s="52" t="str">
        <f>'90186_2024'!N44</f>
        <v/>
      </c>
      <c r="P383" s="52" t="str">
        <f>'90186_2024'!O44</f>
        <v/>
      </c>
      <c r="Q383" s="70" t="str">
        <f>'90186_2024'!P44</f>
        <v/>
      </c>
      <c r="R383" s="52" t="str">
        <f>'90186_2024'!Q44</f>
        <v>HOMOLOGADO</v>
      </c>
    </row>
    <row r="384" hidden="1">
      <c r="A384" s="79" t="s">
        <v>39</v>
      </c>
      <c r="B384" s="35">
        <f>'90186_2024'!A45</f>
        <v>14</v>
      </c>
      <c r="C384" s="35" t="str">
        <f>'90186_2024'!B45</f>
        <v>E-10-02A-DTS</v>
      </c>
      <c r="D384" s="35" t="str">
        <f>'90186_2024'!C45</f>
        <v>EMPILHADEIRA</v>
      </c>
      <c r="E384" s="35">
        <f>'90186_2024'!D45</f>
        <v>1</v>
      </c>
      <c r="F384" s="35">
        <f>'90186_2024'!E45</f>
        <v>0</v>
      </c>
      <c r="G384" s="56">
        <f>'90186_2024'!F45</f>
        <v>1</v>
      </c>
      <c r="H384" s="28">
        <f>'90186_2024'!G45</f>
        <v>120800</v>
      </c>
      <c r="I384" s="28">
        <f>'90186_2024'!H45</f>
        <v>120800</v>
      </c>
      <c r="J384" s="35" t="str">
        <f>'90186_2024'!I45</f>
        <v>CINDACTA 3</v>
      </c>
      <c r="K384" s="35" t="str">
        <f>'90186_2024'!J45</f>
        <v>HEDESA CPCD25</v>
      </c>
      <c r="L384" s="35" t="str">
        <f>'90186_2024'!K45</f>
        <v>48.161.058/0001-43</v>
      </c>
      <c r="M384" s="35" t="str">
        <f>'90186_2024'!L45</f>
        <v>BAUMASTER IMPORTACAO E COMERCIO DE MAQUINAS LTDA
</v>
      </c>
      <c r="N384" s="35" t="str">
        <f>'90186_2024'!M45</f>
        <v/>
      </c>
      <c r="O384" s="35" t="str">
        <f>'90186_2024'!N45</f>
        <v/>
      </c>
      <c r="P384" s="35" t="str">
        <f>'90186_2024'!O45</f>
        <v/>
      </c>
      <c r="Q384" s="63" t="str">
        <f>'90186_2024'!P45</f>
        <v/>
      </c>
      <c r="R384" s="35" t="str">
        <f>'90186_2024'!Q45</f>
        <v>HOMOLOGADO</v>
      </c>
    </row>
    <row r="385" hidden="1">
      <c r="A385" s="77" t="s">
        <v>39</v>
      </c>
      <c r="B385" s="52">
        <f>'90186_2024'!A46</f>
        <v>14</v>
      </c>
      <c r="C385" s="52" t="str">
        <f>'90186_2024'!B46</f>
        <v>E-10-02A-DTS</v>
      </c>
      <c r="D385" s="52" t="str">
        <f>'90186_2024'!C46</f>
        <v>EMPILHADEIRA</v>
      </c>
      <c r="E385" s="52">
        <f>'90186_2024'!D46</f>
        <v>1</v>
      </c>
      <c r="F385" s="52">
        <f>'90186_2024'!E46</f>
        <v>0</v>
      </c>
      <c r="G385" s="67">
        <f>'90186_2024'!F46</f>
        <v>1</v>
      </c>
      <c r="H385" s="46">
        <f>'90186_2024'!G46</f>
        <v>120800</v>
      </c>
      <c r="I385" s="46">
        <f>'90186_2024'!H46</f>
        <v>120800</v>
      </c>
      <c r="J385" s="52" t="str">
        <f>'90186_2024'!I46</f>
        <v>CINDACTA 4</v>
      </c>
      <c r="K385" s="52" t="str">
        <f>'90186_2024'!J46</f>
        <v>HEDESA CPCD25</v>
      </c>
      <c r="L385" s="52" t="str">
        <f>'90186_2024'!K46</f>
        <v>48.161.058/0001-43</v>
      </c>
      <c r="M385" s="52" t="str">
        <f>'90186_2024'!L46</f>
        <v>BAUMASTER IMPORTACAO E COMERCIO DE MAQUINAS LTDA
</v>
      </c>
      <c r="N385" s="52" t="str">
        <f>'90186_2024'!M46</f>
        <v/>
      </c>
      <c r="O385" s="52" t="str">
        <f>'90186_2024'!N46</f>
        <v/>
      </c>
      <c r="P385" s="52" t="str">
        <f>'90186_2024'!O46</f>
        <v/>
      </c>
      <c r="Q385" s="70" t="str">
        <f>'90186_2024'!P46</f>
        <v/>
      </c>
      <c r="R385" s="52" t="str">
        <f>'90186_2024'!Q46</f>
        <v>HOMOLOGADO</v>
      </c>
    </row>
    <row r="386" hidden="1">
      <c r="A386" s="79" t="s">
        <v>39</v>
      </c>
      <c r="B386" s="35">
        <f>'90186_2024'!A47</f>
        <v>15</v>
      </c>
      <c r="C386" s="35" t="str">
        <f>'90186_2024'!B47</f>
        <v>E-26-01A-DTS</v>
      </c>
      <c r="D386" s="35" t="str">
        <f>'90186_2024'!C47</f>
        <v>FURGÃO FRIGORÍFICO</v>
      </c>
      <c r="E386" s="35">
        <f>'90186_2024'!D47</f>
        <v>1</v>
      </c>
      <c r="F386" s="35">
        <f>'90186_2024'!E47</f>
        <v>1</v>
      </c>
      <c r="G386" s="56">
        <f>'90186_2024'!F47</f>
        <v>0</v>
      </c>
      <c r="H386" s="28">
        <f>'90186_2024'!G47</f>
        <v>350800</v>
      </c>
      <c r="I386" s="28">
        <f>'90186_2024'!H47</f>
        <v>350800</v>
      </c>
      <c r="J386" s="35" t="str">
        <f>'90186_2024'!I47</f>
        <v>GAP-BE</v>
      </c>
      <c r="K386" s="35" t="str">
        <f>'90186_2024'!J47</f>
        <v>RENAULT/ MASTER GRAND FURGÃO 2.3 16V L2H2</v>
      </c>
      <c r="L386" s="35" t="str">
        <f>'90186_2024'!K47</f>
        <v>00.913.443/0001-73</v>
      </c>
      <c r="M386" s="35" t="str">
        <f>'90186_2024'!L47</f>
        <v>RENAULT DO BRASIL S.A</v>
      </c>
      <c r="N386" s="35" t="str">
        <f>'90186_2024'!M47</f>
        <v/>
      </c>
      <c r="O386" s="35" t="str">
        <f>'90186_2024'!N47</f>
        <v/>
      </c>
      <c r="P386" s="35" t="str">
        <f>'90186_2024'!O47</f>
        <v/>
      </c>
      <c r="Q386" s="63">
        <f>'90186_2024'!P47</f>
        <v>45975</v>
      </c>
      <c r="R386" s="35" t="str">
        <f>'90186_2024'!Q47</f>
        <v>HOMOLOGADO</v>
      </c>
    </row>
    <row r="387" hidden="1">
      <c r="A387" s="77" t="s">
        <v>39</v>
      </c>
      <c r="B387" s="52">
        <f>'90186_2024'!A48</f>
        <v>15</v>
      </c>
      <c r="C387" s="52" t="str">
        <f>'90186_2024'!B48</f>
        <v>E-26-01A-DTS</v>
      </c>
      <c r="D387" s="52" t="str">
        <f>'90186_2024'!C48</f>
        <v>FURGÃO FRIGORÍFICO</v>
      </c>
      <c r="E387" s="52">
        <f>'90186_2024'!D48</f>
        <v>1</v>
      </c>
      <c r="F387" s="52">
        <f>'90186_2024'!E48</f>
        <v>1</v>
      </c>
      <c r="G387" s="67">
        <f>'90186_2024'!F48</f>
        <v>0</v>
      </c>
      <c r="H387" s="46">
        <f>'90186_2024'!G48</f>
        <v>350800</v>
      </c>
      <c r="I387" s="46">
        <f>'90186_2024'!H48</f>
        <v>350800</v>
      </c>
      <c r="J387" s="52" t="str">
        <f>'90186_2024'!I48</f>
        <v>GAP-LS</v>
      </c>
      <c r="K387" s="52" t="str">
        <f>'90186_2024'!J48</f>
        <v>RENAULT/ MASTER GRAND FURGÃO 2.3 16V L2H2</v>
      </c>
      <c r="L387" s="52" t="str">
        <f>'90186_2024'!K48</f>
        <v>00.913.443/0001-73</v>
      </c>
      <c r="M387" s="52" t="str">
        <f>'90186_2024'!L48</f>
        <v>RENAULT DO BRASIL S.A</v>
      </c>
      <c r="N387" s="52" t="str">
        <f>'90186_2024'!M48</f>
        <v/>
      </c>
      <c r="O387" s="52" t="str">
        <f>'90186_2024'!N48</f>
        <v/>
      </c>
      <c r="P387" s="52" t="str">
        <f>'90186_2024'!O48</f>
        <v/>
      </c>
      <c r="Q387" s="70">
        <f>'90186_2024'!P48</f>
        <v>45975</v>
      </c>
      <c r="R387" s="52" t="str">
        <f>'90186_2024'!Q48</f>
        <v>HOMOLOGADO</v>
      </c>
    </row>
    <row r="388" hidden="1">
      <c r="A388" s="79" t="s">
        <v>39</v>
      </c>
      <c r="B388" s="35">
        <f>'90186_2024'!A49</f>
        <v>16</v>
      </c>
      <c r="C388" s="35" t="str">
        <f>'90186_2024'!B49</f>
        <v>E-27-01A-DTS</v>
      </c>
      <c r="D388" s="35" t="str">
        <f>'90186_2024'!C49</f>
        <v>FURGÃO ISOTÉRMICO</v>
      </c>
      <c r="E388" s="35">
        <f>'90186_2024'!D49</f>
        <v>1</v>
      </c>
      <c r="F388" s="35">
        <f>'90186_2024'!E49</f>
        <v>1</v>
      </c>
      <c r="G388" s="56">
        <f>'90186_2024'!F49</f>
        <v>0</v>
      </c>
      <c r="H388" s="28">
        <f>'90186_2024'!G49</f>
        <v>186100</v>
      </c>
      <c r="I388" s="28">
        <f>'90186_2024'!H49</f>
        <v>186100</v>
      </c>
      <c r="J388" s="35" t="str">
        <f>'90186_2024'!I49</f>
        <v>GABAER</v>
      </c>
      <c r="K388" s="35" t="str">
        <f>'90186_2024'!J49</f>
        <v>FIAT / FIORINO</v>
      </c>
      <c r="L388" s="35" t="str">
        <f>'90186_2024'!K49</f>
        <v>29.127.216/0001-02</v>
      </c>
      <c r="M388" s="35" t="str">
        <f>'90186_2024'!L49</f>
        <v>AF EMPREENDIMENTOS LTDA</v>
      </c>
      <c r="N388" s="35" t="str">
        <f>'90186_2024'!M49</f>
        <v>062 3952-1122</v>
      </c>
      <c r="O388" s="35" t="str">
        <f>'90186_2024'!N49</f>
        <v>licitacao@afempreendimentos.com</v>
      </c>
      <c r="P388" s="35" t="str">
        <f>'90186_2024'!O49</f>
        <v/>
      </c>
      <c r="Q388" s="63">
        <f>'90186_2024'!P49</f>
        <v>45975</v>
      </c>
      <c r="R388" s="35" t="str">
        <f>'90186_2024'!Q49</f>
        <v>solicitação do GABAER em 02/12/2024 Maj Poliana</v>
      </c>
    </row>
    <row r="389" hidden="1">
      <c r="A389" s="77" t="s">
        <v>39</v>
      </c>
      <c r="B389" s="52">
        <f>'90186_2024'!A50</f>
        <v>16</v>
      </c>
      <c r="C389" s="52" t="str">
        <f>'90186_2024'!B50</f>
        <v>E-27-01A-DTS</v>
      </c>
      <c r="D389" s="52" t="str">
        <f>'90186_2024'!C50</f>
        <v>FURGÃO ISOTÉRMICO</v>
      </c>
      <c r="E389" s="52">
        <f>'90186_2024'!D50</f>
        <v>1</v>
      </c>
      <c r="F389" s="52">
        <f>'90186_2024'!E50</f>
        <v>1</v>
      </c>
      <c r="G389" s="67">
        <f>'90186_2024'!F50</f>
        <v>0</v>
      </c>
      <c r="H389" s="46">
        <f>'90186_2024'!G50</f>
        <v>186100</v>
      </c>
      <c r="I389" s="46">
        <f>'90186_2024'!H50</f>
        <v>186100</v>
      </c>
      <c r="J389" s="52" t="str">
        <f>'90186_2024'!I50</f>
        <v>BAAN</v>
      </c>
      <c r="K389" s="52" t="str">
        <f>'90186_2024'!J50</f>
        <v>FIAT / FIORINO</v>
      </c>
      <c r="L389" s="52" t="str">
        <f>'90186_2024'!K50</f>
        <v>29.127.216/0001-02</v>
      </c>
      <c r="M389" s="52" t="str">
        <f>'90186_2024'!L50</f>
        <v>AF EMPREENDIMENTOS LTDA</v>
      </c>
      <c r="N389" s="52" t="str">
        <f>'90186_2024'!M50</f>
        <v>062 3952-1122</v>
      </c>
      <c r="O389" s="52" t="str">
        <f>'90186_2024'!N50</f>
        <v>licitacao@afempreendimentos.com</v>
      </c>
      <c r="P389" s="52" t="str">
        <f>'90186_2024'!O50</f>
        <v/>
      </c>
      <c r="Q389" s="70">
        <f>'90186_2024'!P50</f>
        <v>45975</v>
      </c>
      <c r="R389" s="52" t="str">
        <f>'90186_2024'!Q50</f>
        <v>HOMOLOGADO</v>
      </c>
    </row>
    <row r="390" hidden="1">
      <c r="A390" s="79" t="s">
        <v>39</v>
      </c>
      <c r="B390" s="35">
        <f>'90186_2024'!A51</f>
        <v>16</v>
      </c>
      <c r="C390" s="35" t="str">
        <f>'90186_2024'!B51</f>
        <v>E-27-01A-DTS</v>
      </c>
      <c r="D390" s="35" t="str">
        <f>'90186_2024'!C51</f>
        <v>FURGÃO ISOTÉRMICO</v>
      </c>
      <c r="E390" s="35">
        <f>'90186_2024'!D51</f>
        <v>1</v>
      </c>
      <c r="F390" s="35">
        <f>'90186_2024'!E51</f>
        <v>1</v>
      </c>
      <c r="G390" s="56">
        <f>'90186_2024'!F51</f>
        <v>0</v>
      </c>
      <c r="H390" s="28">
        <f>'90186_2024'!G51</f>
        <v>186100</v>
      </c>
      <c r="I390" s="28">
        <f>'90186_2024'!H51</f>
        <v>186100</v>
      </c>
      <c r="J390" s="35" t="str">
        <f>'90186_2024'!I51</f>
        <v>BACG</v>
      </c>
      <c r="K390" s="35" t="str">
        <f>'90186_2024'!J51</f>
        <v>FIAT / FIORINO</v>
      </c>
      <c r="L390" s="35" t="str">
        <f>'90186_2024'!K51</f>
        <v>29.127.216/0001-02</v>
      </c>
      <c r="M390" s="35" t="str">
        <f>'90186_2024'!L51</f>
        <v>AF EMPREENDIMENTOS LTDA</v>
      </c>
      <c r="N390" s="35" t="str">
        <f>'90186_2024'!M51</f>
        <v>062 3952-1122</v>
      </c>
      <c r="O390" s="35" t="str">
        <f>'90186_2024'!N51</f>
        <v>licitacao@afempreendimentos.com</v>
      </c>
      <c r="P390" s="35" t="str">
        <f>'90186_2024'!O51</f>
        <v/>
      </c>
      <c r="Q390" s="63">
        <f>'90186_2024'!P51</f>
        <v>45975</v>
      </c>
      <c r="R390" s="35" t="str">
        <f>'90186_2024'!Q51</f>
        <v>HOMOLOGADO</v>
      </c>
    </row>
    <row r="391" hidden="1">
      <c r="A391" s="77" t="s">
        <v>39</v>
      </c>
      <c r="B391" s="52">
        <f>'90186_2024'!A52</f>
        <v>16</v>
      </c>
      <c r="C391" s="52" t="str">
        <f>'90186_2024'!B52</f>
        <v>E-27-01A-DTS</v>
      </c>
      <c r="D391" s="52" t="str">
        <f>'90186_2024'!C52</f>
        <v>FURGÃO ISOTÉRMICO</v>
      </c>
      <c r="E391" s="52">
        <f>'90186_2024'!D52</f>
        <v>1</v>
      </c>
      <c r="F391" s="52">
        <f>'90186_2024'!E52</f>
        <v>1</v>
      </c>
      <c r="G391" s="67">
        <f>'90186_2024'!F52</f>
        <v>0</v>
      </c>
      <c r="H391" s="46">
        <f>'90186_2024'!G52</f>
        <v>186100</v>
      </c>
      <c r="I391" s="46">
        <f>'90186_2024'!H52</f>
        <v>186100</v>
      </c>
      <c r="J391" s="52" t="str">
        <f>'90186_2024'!I52</f>
        <v>BASC</v>
      </c>
      <c r="K391" s="52" t="str">
        <f>'90186_2024'!J52</f>
        <v>FIAT / FIORINO</v>
      </c>
      <c r="L391" s="52" t="str">
        <f>'90186_2024'!K52</f>
        <v>29.127.216/0001-02</v>
      </c>
      <c r="M391" s="52" t="str">
        <f>'90186_2024'!L52</f>
        <v>AF EMPREENDIMENTOS LTDA</v>
      </c>
      <c r="N391" s="52" t="str">
        <f>'90186_2024'!M52</f>
        <v>062 3952-1122</v>
      </c>
      <c r="O391" s="52" t="str">
        <f>'90186_2024'!N52</f>
        <v>licitacao@afempreendimentos.com</v>
      </c>
      <c r="P391" s="52" t="str">
        <f>'90186_2024'!O52</f>
        <v/>
      </c>
      <c r="Q391" s="70">
        <f>'90186_2024'!P52</f>
        <v>45975</v>
      </c>
      <c r="R391" s="52" t="str">
        <f>'90186_2024'!Q52</f>
        <v>HOMOLOGADO</v>
      </c>
    </row>
    <row r="392" hidden="1">
      <c r="A392" s="79" t="s">
        <v>39</v>
      </c>
      <c r="B392" s="35">
        <f>'90186_2024'!A53</f>
        <v>16</v>
      </c>
      <c r="C392" s="35" t="str">
        <f>'90186_2024'!B53</f>
        <v>E-27-01A-DTS</v>
      </c>
      <c r="D392" s="35" t="str">
        <f>'90186_2024'!C53</f>
        <v>FURGÃO ISOTÉRMICO</v>
      </c>
      <c r="E392" s="35">
        <f>'90186_2024'!D53</f>
        <v>1</v>
      </c>
      <c r="F392" s="35">
        <f>'90186_2024'!E53</f>
        <v>1</v>
      </c>
      <c r="G392" s="56">
        <f>'90186_2024'!F53</f>
        <v>0</v>
      </c>
      <c r="H392" s="28">
        <f>'90186_2024'!G53</f>
        <v>186100</v>
      </c>
      <c r="I392" s="28">
        <f>'90186_2024'!H53</f>
        <v>186100</v>
      </c>
      <c r="J392" s="35" t="str">
        <f>'90186_2024'!I53</f>
        <v>BASM</v>
      </c>
      <c r="K392" s="35" t="str">
        <f>'90186_2024'!J53</f>
        <v>FIAT / FIORINO</v>
      </c>
      <c r="L392" s="35" t="str">
        <f>'90186_2024'!K53</f>
        <v>29.127.216/0001-02</v>
      </c>
      <c r="M392" s="35" t="str">
        <f>'90186_2024'!L53</f>
        <v>AF EMPREENDIMENTOS LTDA</v>
      </c>
      <c r="N392" s="35" t="str">
        <f>'90186_2024'!M53</f>
        <v>062 3952-1122</v>
      </c>
      <c r="O392" s="35" t="str">
        <f>'90186_2024'!N53</f>
        <v>licitacao@afempreendimentos.com</v>
      </c>
      <c r="P392" s="35" t="str">
        <f>'90186_2024'!O53</f>
        <v/>
      </c>
      <c r="Q392" s="63">
        <f>'90186_2024'!P53</f>
        <v>45975</v>
      </c>
      <c r="R392" s="35" t="str">
        <f>'90186_2024'!Q53</f>
        <v>HOMOLOGADO</v>
      </c>
    </row>
    <row r="393" hidden="1">
      <c r="A393" s="77" t="s">
        <v>39</v>
      </c>
      <c r="B393" s="52">
        <f>'90186_2024'!A54</f>
        <v>16</v>
      </c>
      <c r="C393" s="52" t="str">
        <f>'90186_2024'!B54</f>
        <v>E-27-01A-DTS</v>
      </c>
      <c r="D393" s="52" t="str">
        <f>'90186_2024'!C54</f>
        <v>FURGÃO ISOTÉRMICO</v>
      </c>
      <c r="E393" s="52">
        <f>'90186_2024'!D54</f>
        <v>1</v>
      </c>
      <c r="F393" s="52">
        <f>'90186_2024'!E54</f>
        <v>1</v>
      </c>
      <c r="G393" s="67">
        <f>'90186_2024'!F54</f>
        <v>0</v>
      </c>
      <c r="H393" s="46">
        <f>'90186_2024'!G54</f>
        <v>186100</v>
      </c>
      <c r="I393" s="46">
        <f>'90186_2024'!H54</f>
        <v>186100</v>
      </c>
      <c r="J393" s="52" t="str">
        <f>'90186_2024'!I54</f>
        <v>CINDACTA 2</v>
      </c>
      <c r="K393" s="52" t="str">
        <f>'90186_2024'!J54</f>
        <v>FIAT / FIORINO</v>
      </c>
      <c r="L393" s="52" t="str">
        <f>'90186_2024'!K54</f>
        <v>29.127.216/0001-02</v>
      </c>
      <c r="M393" s="52" t="str">
        <f>'90186_2024'!L54</f>
        <v>AF EMPREENDIMENTOS LTDA</v>
      </c>
      <c r="N393" s="52" t="str">
        <f>'90186_2024'!M54</f>
        <v>062 3952-1122</v>
      </c>
      <c r="O393" s="52" t="str">
        <f>'90186_2024'!N54</f>
        <v>licitacao@afempreendimentos.com</v>
      </c>
      <c r="P393" s="52" t="str">
        <f>'90186_2024'!O54</f>
        <v/>
      </c>
      <c r="Q393" s="70">
        <f>'90186_2024'!P54</f>
        <v>45975</v>
      </c>
      <c r="R393" s="52" t="str">
        <f>'90186_2024'!Q54</f>
        <v>HOMOLOGADO</v>
      </c>
    </row>
    <row r="394" hidden="1">
      <c r="A394" s="79" t="s">
        <v>39</v>
      </c>
      <c r="B394" s="35">
        <f>'90186_2024'!A55</f>
        <v>16</v>
      </c>
      <c r="C394" s="35" t="str">
        <f>'90186_2024'!B55</f>
        <v>E-27-01A-DTS</v>
      </c>
      <c r="D394" s="35" t="str">
        <f>'90186_2024'!C55</f>
        <v>FURGÃO ISOTÉRMICO</v>
      </c>
      <c r="E394" s="35">
        <f>'90186_2024'!D55</f>
        <v>2</v>
      </c>
      <c r="F394" s="35">
        <f>'90186_2024'!E55</f>
        <v>2</v>
      </c>
      <c r="G394" s="56">
        <f>'90186_2024'!F55</f>
        <v>0</v>
      </c>
      <c r="H394" s="28">
        <f>'90186_2024'!G55</f>
        <v>186100</v>
      </c>
      <c r="I394" s="28">
        <f>'90186_2024'!H55</f>
        <v>372200</v>
      </c>
      <c r="J394" s="35" t="str">
        <f>'90186_2024'!I55</f>
        <v>EEAR</v>
      </c>
      <c r="K394" s="35" t="str">
        <f>'90186_2024'!J55</f>
        <v>FIAT / FIORINO</v>
      </c>
      <c r="L394" s="35" t="str">
        <f>'90186_2024'!K55</f>
        <v>29.127.216/0001-02</v>
      </c>
      <c r="M394" s="35" t="str">
        <f>'90186_2024'!L55</f>
        <v>AF EMPREENDIMENTOS LTDA</v>
      </c>
      <c r="N394" s="35" t="str">
        <f>'90186_2024'!M55</f>
        <v>062 3952-1122</v>
      </c>
      <c r="O394" s="35" t="str">
        <f>'90186_2024'!N55</f>
        <v>licitacao@afempreendimentos.com</v>
      </c>
      <c r="P394" s="35" t="str">
        <f>'90186_2024'!O55</f>
        <v/>
      </c>
      <c r="Q394" s="63">
        <f>'90186_2024'!P55</f>
        <v>45975</v>
      </c>
      <c r="R394" s="35" t="str">
        <f>'90186_2024'!Q55</f>
        <v>HOMOLOGADO</v>
      </c>
    </row>
    <row r="395" hidden="1">
      <c r="A395" s="77" t="s">
        <v>39</v>
      </c>
      <c r="B395" s="52">
        <f>'90186_2024'!A56</f>
        <v>16</v>
      </c>
      <c r="C395" s="52" t="str">
        <f>'90186_2024'!B56</f>
        <v>E-27-01A-DTS</v>
      </c>
      <c r="D395" s="52" t="str">
        <f>'90186_2024'!C56</f>
        <v>FURGÃO ISOTÉRMICO</v>
      </c>
      <c r="E395" s="52">
        <f>'90186_2024'!D56</f>
        <v>1</v>
      </c>
      <c r="F395" s="52">
        <f>'90186_2024'!E56</f>
        <v>1</v>
      </c>
      <c r="G395" s="67">
        <f>'90186_2024'!F56</f>
        <v>0</v>
      </c>
      <c r="H395" s="46">
        <f>'90186_2024'!G56</f>
        <v>186100</v>
      </c>
      <c r="I395" s="46">
        <f>'90186_2024'!H56</f>
        <v>186100</v>
      </c>
      <c r="J395" s="52" t="str">
        <f>'90186_2024'!I56</f>
        <v>GAP-AF</v>
      </c>
      <c r="K395" s="52" t="str">
        <f>'90186_2024'!J56</f>
        <v>FIAT / FIORINO</v>
      </c>
      <c r="L395" s="52" t="str">
        <f>'90186_2024'!K56</f>
        <v>29.127.216/0001-02</v>
      </c>
      <c r="M395" s="52" t="str">
        <f>'90186_2024'!L56</f>
        <v>AF EMPREENDIMENTOS LTDA</v>
      </c>
      <c r="N395" s="52" t="str">
        <f>'90186_2024'!M56</f>
        <v>062 3952-1122</v>
      </c>
      <c r="O395" s="52" t="str">
        <f>'90186_2024'!N56</f>
        <v>licitacao@afempreendimentos.com</v>
      </c>
      <c r="P395" s="52" t="str">
        <f>'90186_2024'!O56</f>
        <v/>
      </c>
      <c r="Q395" s="70">
        <f>'90186_2024'!P56</f>
        <v>45975</v>
      </c>
      <c r="R395" s="52" t="str">
        <f>'90186_2024'!Q56</f>
        <v>HOMOLOGADO</v>
      </c>
    </row>
    <row r="396" hidden="1">
      <c r="A396" s="79" t="s">
        <v>39</v>
      </c>
      <c r="B396" s="35">
        <f>'90186_2024'!A57</f>
        <v>16</v>
      </c>
      <c r="C396" s="35" t="str">
        <f>'90186_2024'!B57</f>
        <v>E-27-01A-DTS</v>
      </c>
      <c r="D396" s="35" t="str">
        <f>'90186_2024'!C57</f>
        <v>FURGÃO ISOTÉRMICO</v>
      </c>
      <c r="E396" s="35">
        <f>'90186_2024'!D57</f>
        <v>1</v>
      </c>
      <c r="F396" s="35">
        <f>'90186_2024'!E57</f>
        <v>1</v>
      </c>
      <c r="G396" s="56">
        <f>'90186_2024'!F57</f>
        <v>0</v>
      </c>
      <c r="H396" s="28">
        <f>'90186_2024'!G57</f>
        <v>186100</v>
      </c>
      <c r="I396" s="28">
        <f>'90186_2024'!H57</f>
        <v>186100</v>
      </c>
      <c r="J396" s="35" t="str">
        <f>'90186_2024'!I57</f>
        <v>GAP-BR</v>
      </c>
      <c r="K396" s="35" t="str">
        <f>'90186_2024'!J57</f>
        <v>FIAT / FIORINO</v>
      </c>
      <c r="L396" s="35" t="str">
        <f>'90186_2024'!K57</f>
        <v>29.127.216/0001-02</v>
      </c>
      <c r="M396" s="35" t="str">
        <f>'90186_2024'!L57</f>
        <v>AF EMPREENDIMENTOS LTDA</v>
      </c>
      <c r="N396" s="35" t="str">
        <f>'90186_2024'!M57</f>
        <v>062 3952-1122</v>
      </c>
      <c r="O396" s="35" t="str">
        <f>'90186_2024'!N57</f>
        <v>licitacao@afempreendimentos.com</v>
      </c>
      <c r="P396" s="35" t="str">
        <f>'90186_2024'!O57</f>
        <v/>
      </c>
      <c r="Q396" s="63">
        <f>'90186_2024'!P57</f>
        <v>45975</v>
      </c>
      <c r="R396" s="35" t="str">
        <f>'90186_2024'!Q57</f>
        <v>HOMOLOGADO</v>
      </c>
    </row>
    <row r="397" hidden="1">
      <c r="A397" s="77" t="s">
        <v>39</v>
      </c>
      <c r="B397" s="52">
        <f>'90186_2024'!A58</f>
        <v>16</v>
      </c>
      <c r="C397" s="52" t="str">
        <f>'90186_2024'!B58</f>
        <v>E-27-01A-DTS</v>
      </c>
      <c r="D397" s="52" t="str">
        <f>'90186_2024'!C58</f>
        <v>FURGÃO ISOTÉRMICO</v>
      </c>
      <c r="E397" s="52">
        <f>'90186_2024'!D58</f>
        <v>1</v>
      </c>
      <c r="F397" s="52">
        <f>'90186_2024'!E58</f>
        <v>1</v>
      </c>
      <c r="G397" s="67">
        <f>'90186_2024'!F58</f>
        <v>0</v>
      </c>
      <c r="H397" s="46">
        <f>'90186_2024'!G58</f>
        <v>186100</v>
      </c>
      <c r="I397" s="46">
        <f>'90186_2024'!H58</f>
        <v>186100</v>
      </c>
      <c r="J397" s="52" t="str">
        <f>'90186_2024'!I58</f>
        <v>GAP-CO</v>
      </c>
      <c r="K397" s="52" t="str">
        <f>'90186_2024'!J58</f>
        <v>FIAT / FIORINO</v>
      </c>
      <c r="L397" s="52" t="str">
        <f>'90186_2024'!K58</f>
        <v>29.127.216/0001-02</v>
      </c>
      <c r="M397" s="52" t="str">
        <f>'90186_2024'!L58</f>
        <v>AF EMPREENDIMENTOS LTDA</v>
      </c>
      <c r="N397" s="52" t="str">
        <f>'90186_2024'!M58</f>
        <v>062 3952-1122</v>
      </c>
      <c r="O397" s="52" t="str">
        <f>'90186_2024'!N58</f>
        <v>licitacao@afempreendimentos.com</v>
      </c>
      <c r="P397" s="52" t="str">
        <f>'90186_2024'!O58</f>
        <v/>
      </c>
      <c r="Q397" s="70">
        <f>'90186_2024'!P58</f>
        <v>45975</v>
      </c>
      <c r="R397" s="52" t="str">
        <f>'90186_2024'!Q58</f>
        <v>HOMOLOGADO</v>
      </c>
    </row>
    <row r="398" hidden="1">
      <c r="A398" s="79" t="s">
        <v>39</v>
      </c>
      <c r="B398" s="35">
        <f>'90186_2024'!A59</f>
        <v>16</v>
      </c>
      <c r="C398" s="35" t="str">
        <f>'90186_2024'!B59</f>
        <v>E-27-01A-DTS</v>
      </c>
      <c r="D398" s="35" t="str">
        <f>'90186_2024'!C59</f>
        <v>FURGÃO ISOTÉRMICO</v>
      </c>
      <c r="E398" s="35">
        <f>'90186_2024'!D59</f>
        <v>1</v>
      </c>
      <c r="F398" s="35">
        <f>'90186_2024'!E59</f>
        <v>1</v>
      </c>
      <c r="G398" s="56">
        <f>'90186_2024'!F59</f>
        <v>0</v>
      </c>
      <c r="H398" s="28">
        <f>'90186_2024'!G59</f>
        <v>186100</v>
      </c>
      <c r="I398" s="28">
        <f>'90186_2024'!H59</f>
        <v>186100</v>
      </c>
      <c r="J398" s="35" t="str">
        <f>'90186_2024'!I59</f>
        <v>GAP-DF</v>
      </c>
      <c r="K398" s="35" t="str">
        <f>'90186_2024'!J59</f>
        <v>FIAT / FIORINO</v>
      </c>
      <c r="L398" s="35" t="str">
        <f>'90186_2024'!K59</f>
        <v>29.127.216/0001-02</v>
      </c>
      <c r="M398" s="35" t="str">
        <f>'90186_2024'!L59</f>
        <v>AF EMPREENDIMENTOS LTDA</v>
      </c>
      <c r="N398" s="35" t="str">
        <f>'90186_2024'!M59</f>
        <v>062 3952-1122</v>
      </c>
      <c r="O398" s="35" t="str">
        <f>'90186_2024'!N59</f>
        <v>licitacao@afempreendimentos.com</v>
      </c>
      <c r="P398" s="35" t="str">
        <f>'90186_2024'!O59</f>
        <v/>
      </c>
      <c r="Q398" s="63">
        <f>'90186_2024'!P59</f>
        <v>45975</v>
      </c>
      <c r="R398" s="35" t="str">
        <f>'90186_2024'!Q59</f>
        <v>HOMOLOGADO</v>
      </c>
    </row>
    <row r="399" hidden="1">
      <c r="A399" s="77" t="s">
        <v>39</v>
      </c>
      <c r="B399" s="52">
        <f>'90186_2024'!A60</f>
        <v>16</v>
      </c>
      <c r="C399" s="52" t="str">
        <f>'90186_2024'!B60</f>
        <v>E-27-01A-DTS</v>
      </c>
      <c r="D399" s="52" t="str">
        <f>'90186_2024'!C60</f>
        <v>FURGÃO ISOTÉRMICO</v>
      </c>
      <c r="E399" s="52">
        <f>'90186_2024'!D60</f>
        <v>1</v>
      </c>
      <c r="F399" s="52">
        <f>'90186_2024'!E60</f>
        <v>1</v>
      </c>
      <c r="G399" s="67">
        <f>'90186_2024'!F60</f>
        <v>0</v>
      </c>
      <c r="H399" s="46">
        <f>'90186_2024'!G60</f>
        <v>186100</v>
      </c>
      <c r="I399" s="46">
        <f>'90186_2024'!H60</f>
        <v>186100</v>
      </c>
      <c r="J399" s="52" t="str">
        <f>'90186_2024'!I60</f>
        <v>GAP-LS</v>
      </c>
      <c r="K399" s="52" t="str">
        <f>'90186_2024'!J60</f>
        <v>FIAT / FIORINO</v>
      </c>
      <c r="L399" s="52" t="str">
        <f>'90186_2024'!K60</f>
        <v>29.127.216/0001-02</v>
      </c>
      <c r="M399" s="52" t="str">
        <f>'90186_2024'!L60</f>
        <v>AF EMPREENDIMENTOS LTDA</v>
      </c>
      <c r="N399" s="52" t="str">
        <f>'90186_2024'!M60</f>
        <v>062 3952-1122</v>
      </c>
      <c r="O399" s="52" t="str">
        <f>'90186_2024'!N60</f>
        <v>licitacao@afempreendimentos.com</v>
      </c>
      <c r="P399" s="52" t="str">
        <f>'90186_2024'!O60</f>
        <v/>
      </c>
      <c r="Q399" s="70">
        <f>'90186_2024'!P60</f>
        <v>45975</v>
      </c>
      <c r="R399" s="52" t="str">
        <f>'90186_2024'!Q60</f>
        <v>HOMOLOGADO</v>
      </c>
    </row>
    <row r="400" hidden="1">
      <c r="A400" s="79" t="s">
        <v>39</v>
      </c>
      <c r="B400" s="35">
        <f>'90186_2024'!A61</f>
        <v>16</v>
      </c>
      <c r="C400" s="35" t="str">
        <f>'90186_2024'!B61</f>
        <v>E-27-01A-DTS</v>
      </c>
      <c r="D400" s="35" t="str">
        <f>'90186_2024'!C61</f>
        <v>FURGÃO ISOTÉRMICO</v>
      </c>
      <c r="E400" s="35">
        <f>'90186_2024'!D61</f>
        <v>1</v>
      </c>
      <c r="F400" s="35">
        <f>'90186_2024'!E61</f>
        <v>1</v>
      </c>
      <c r="G400" s="56">
        <f>'90186_2024'!F61</f>
        <v>0</v>
      </c>
      <c r="H400" s="28">
        <f>'90186_2024'!G61</f>
        <v>186100</v>
      </c>
      <c r="I400" s="28">
        <f>'90186_2024'!H61</f>
        <v>186100</v>
      </c>
      <c r="J400" s="35" t="str">
        <f>'90186_2024'!I61</f>
        <v>GAP-SJ</v>
      </c>
      <c r="K400" s="35" t="str">
        <f>'90186_2024'!J61</f>
        <v>FIAT / FIORINO</v>
      </c>
      <c r="L400" s="35" t="str">
        <f>'90186_2024'!K61</f>
        <v>29.127.216/0001-02</v>
      </c>
      <c r="M400" s="35" t="str">
        <f>'90186_2024'!L61</f>
        <v>AF EMPREENDIMENTOS LTDA</v>
      </c>
      <c r="N400" s="35" t="str">
        <f>'90186_2024'!M61</f>
        <v>062 3952-1122</v>
      </c>
      <c r="O400" s="35" t="str">
        <f>'90186_2024'!N61</f>
        <v>licitacao@afempreendimentos.com</v>
      </c>
      <c r="P400" s="35" t="str">
        <f>'90186_2024'!O61</f>
        <v/>
      </c>
      <c r="Q400" s="63">
        <f>'90186_2024'!P61</f>
        <v>45975</v>
      </c>
      <c r="R400" s="35" t="str">
        <f>'90186_2024'!Q61</f>
        <v>HOMOLOGADO</v>
      </c>
    </row>
    <row r="401" hidden="1">
      <c r="A401" s="77" t="s">
        <v>39</v>
      </c>
      <c r="B401" s="52">
        <f>'90186_2024'!A62</f>
        <v>17</v>
      </c>
      <c r="C401" s="52" t="str">
        <f>'90186_2024'!B62</f>
        <v>C-4-01A-DTS</v>
      </c>
      <c r="D401" s="52" t="str">
        <f>'90186_2024'!C62</f>
        <v>FURGÃO LEVE</v>
      </c>
      <c r="E401" s="323">
        <f>'90186_2024'!D62</f>
        <v>1</v>
      </c>
      <c r="F401" s="52">
        <f>'90186_2024'!E62</f>
        <v>1</v>
      </c>
      <c r="G401" s="67">
        <f>'90186_2024'!F62</f>
        <v>0</v>
      </c>
      <c r="H401" s="46">
        <f>'90186_2024'!G62</f>
        <v>128690</v>
      </c>
      <c r="I401" s="46">
        <f>'90186_2024'!H62</f>
        <v>128690</v>
      </c>
      <c r="J401" s="52" t="str">
        <f>'90186_2024'!I62</f>
        <v>CINDACTA 2</v>
      </c>
      <c r="K401" s="52" t="str">
        <f>'90186_2024'!J62</f>
        <v>FIAT / FIORINO</v>
      </c>
      <c r="L401" s="52" t="str">
        <f>'90186_2024'!K62</f>
        <v>50.325.167/0001-09</v>
      </c>
      <c r="M401" s="52" t="str">
        <f>'90186_2024'!L62</f>
        <v>X CAR VEICULOS LTDA FRACASSADO</v>
      </c>
      <c r="N401" s="52" t="str">
        <f>'90186_2024'!M62</f>
        <v/>
      </c>
      <c r="O401" s="52" t="str">
        <f>'90186_2024'!N62</f>
        <v/>
      </c>
      <c r="P401" s="52" t="str">
        <f>'90186_2024'!O62</f>
        <v/>
      </c>
      <c r="Q401" s="70" t="str">
        <f>'90186_2024'!P62</f>
        <v/>
      </c>
      <c r="R401" s="52" t="str">
        <f>'90186_2024'!Q62</f>
        <v>HOMOLOGADO</v>
      </c>
    </row>
    <row r="402" hidden="1">
      <c r="A402" s="389" t="s">
        <v>39</v>
      </c>
      <c r="B402" s="390">
        <f>'90186_2024'!A63</f>
        <v>17</v>
      </c>
      <c r="C402" s="390" t="str">
        <f>'90186_2024'!B63</f>
        <v>C-4-01A-DTS</v>
      </c>
      <c r="D402" s="390" t="str">
        <f>'90186_2024'!C63</f>
        <v>FURGÃO LEVE</v>
      </c>
      <c r="E402" s="323">
        <f>'90186_2024'!D63</f>
        <v>2</v>
      </c>
      <c r="F402" s="391">
        <v>2.0</v>
      </c>
      <c r="G402" s="392">
        <v>0.0</v>
      </c>
      <c r="H402" s="393">
        <f>'90186_2024'!G63</f>
        <v>128690</v>
      </c>
      <c r="I402" s="393">
        <f>'90186_2024'!H63</f>
        <v>257380</v>
      </c>
      <c r="J402" s="390" t="str">
        <f>'90186_2024'!I63</f>
        <v>CINDACTA 3</v>
      </c>
      <c r="K402" s="390" t="str">
        <f>'90186_2024'!J63</f>
        <v>FIAT / FIORINO</v>
      </c>
      <c r="L402" s="390" t="str">
        <f>'90186_2024'!K63</f>
        <v>50.325.167/0001-09</v>
      </c>
      <c r="M402" s="390" t="str">
        <f>'90186_2024'!L63</f>
        <v>X CAR VEICULOS LTDA FRACASSADO</v>
      </c>
      <c r="N402" s="390" t="str">
        <f>'90186_2024'!M63</f>
        <v/>
      </c>
      <c r="O402" s="390" t="str">
        <f>'90186_2024'!N63</f>
        <v/>
      </c>
      <c r="P402" s="390" t="str">
        <f>'90186_2024'!O63</f>
        <v/>
      </c>
      <c r="Q402" s="394" t="str">
        <f>'90186_2024'!P63</f>
        <v/>
      </c>
      <c r="R402" s="390" t="str">
        <f>'90186_2024'!Q63</f>
        <v>HOMOLOGADO</v>
      </c>
      <c r="S402" s="395"/>
      <c r="T402" s="395"/>
      <c r="U402" s="395"/>
      <c r="V402" s="395"/>
      <c r="W402" s="395"/>
      <c r="X402" s="395"/>
      <c r="Y402" s="395"/>
      <c r="Z402" s="395"/>
    </row>
    <row r="403" hidden="1">
      <c r="A403" s="77" t="s">
        <v>39</v>
      </c>
      <c r="B403" s="52">
        <f>'90186_2024'!A64</f>
        <v>17</v>
      </c>
      <c r="C403" s="52" t="str">
        <f>'90186_2024'!B64</f>
        <v>C-4-01A-DTS</v>
      </c>
      <c r="D403" s="52" t="str">
        <f>'90186_2024'!C64</f>
        <v>FURGÃO LEVE</v>
      </c>
      <c r="E403" s="52">
        <f>'90186_2024'!D64</f>
        <v>1</v>
      </c>
      <c r="F403" s="52">
        <f>'90186_2024'!E64</f>
        <v>1</v>
      </c>
      <c r="G403" s="67">
        <f>'90186_2024'!F64</f>
        <v>0</v>
      </c>
      <c r="H403" s="46">
        <f>'90186_2024'!G64</f>
        <v>128690</v>
      </c>
      <c r="I403" s="46">
        <f>'90186_2024'!H64</f>
        <v>128690</v>
      </c>
      <c r="J403" s="52" t="str">
        <f>'90186_2024'!I64</f>
        <v>DECEA</v>
      </c>
      <c r="K403" s="52" t="str">
        <f>'90186_2024'!J64</f>
        <v>FIAT / FIORINO</v>
      </c>
      <c r="L403" s="52" t="str">
        <f>'90186_2024'!K64</f>
        <v>50.325.167/0001-09</v>
      </c>
      <c r="M403" s="52" t="str">
        <f>'90186_2024'!L64</f>
        <v>X CAR VEICULOS LTDA FRACASSADO</v>
      </c>
      <c r="N403" s="52" t="str">
        <f>'90186_2024'!M64</f>
        <v/>
      </c>
      <c r="O403" s="52" t="str">
        <f>'90186_2024'!N64</f>
        <v/>
      </c>
      <c r="P403" s="52" t="str">
        <f>'90186_2024'!O64</f>
        <v/>
      </c>
      <c r="Q403" s="70" t="str">
        <f>'90186_2024'!P64</f>
        <v/>
      </c>
      <c r="R403" s="52" t="str">
        <f>'90186_2024'!Q64</f>
        <v>HOMOLOGADO</v>
      </c>
    </row>
    <row r="404" hidden="1">
      <c r="A404" s="79" t="s">
        <v>39</v>
      </c>
      <c r="B404" s="35">
        <f>'90186_2024'!A65</f>
        <v>18</v>
      </c>
      <c r="C404" s="35" t="str">
        <f>'90186_2024'!B65</f>
        <v>E-25-01A-DTS</v>
      </c>
      <c r="D404" s="35" t="str">
        <f>'90186_2024'!C65</f>
        <v>FURGÃO LEVE PARA TRANSPORTE DE CÃES</v>
      </c>
      <c r="E404" s="35">
        <f>'90186_2024'!D65</f>
        <v>1</v>
      </c>
      <c r="F404" s="35" t="str">
        <f>'90186_2024'!E65</f>
        <v>X</v>
      </c>
      <c r="G404" s="56">
        <f>'90186_2024'!F65</f>
        <v>0</v>
      </c>
      <c r="H404" s="28">
        <f>'90186_2024'!G65</f>
        <v>450000</v>
      </c>
      <c r="I404" s="28">
        <f>'90186_2024'!H65</f>
        <v>450000</v>
      </c>
      <c r="J404" s="35" t="str">
        <f>'90186_2024'!I65</f>
        <v>BANT</v>
      </c>
      <c r="K404" s="35" t="str">
        <f>'90186_2024'!J65</f>
        <v>FORD/ TRANSIT FURGÃO L3H3 MT</v>
      </c>
      <c r="L404" s="35" t="str">
        <f>'90186_2024'!K65</f>
        <v>03.470.727/0041-18</v>
      </c>
      <c r="M404" s="35" t="str">
        <f>'90186_2024'!L65</f>
        <v>FORD MOTOR COMPANY BRASIL LTDA FRACASSADO</v>
      </c>
      <c r="N404" s="35" t="str">
        <f>'90186_2024'!M65</f>
        <v/>
      </c>
      <c r="O404" s="35" t="str">
        <f>'90186_2024'!N65</f>
        <v/>
      </c>
      <c r="P404" s="35" t="str">
        <f>'90186_2024'!O65</f>
        <v/>
      </c>
      <c r="Q404" s="63" t="str">
        <f>'90186_2024'!P65</f>
        <v/>
      </c>
      <c r="R404" s="35" t="str">
        <f>'90186_2024'!Q65</f>
        <v>FRACASSADO</v>
      </c>
    </row>
    <row r="405" hidden="1">
      <c r="A405" s="77" t="s">
        <v>39</v>
      </c>
      <c r="B405" s="52">
        <f>'90186_2024'!A66</f>
        <v>18</v>
      </c>
      <c r="C405" s="52" t="str">
        <f>'90186_2024'!B66</f>
        <v>E-25-01A-DTS</v>
      </c>
      <c r="D405" s="52" t="str">
        <f>'90186_2024'!C66</f>
        <v>FURGÃO LEVE PARA TRANSPORTE DE CÃES</v>
      </c>
      <c r="E405" s="52">
        <f>'90186_2024'!D66</f>
        <v>1</v>
      </c>
      <c r="F405" s="52" t="str">
        <f>'90186_2024'!E66</f>
        <v>X</v>
      </c>
      <c r="G405" s="67">
        <f>'90186_2024'!F66</f>
        <v>0</v>
      </c>
      <c r="H405" s="46">
        <f>'90186_2024'!G66</f>
        <v>450000</v>
      </c>
      <c r="I405" s="46">
        <f>'90186_2024'!H66</f>
        <v>450000</v>
      </c>
      <c r="J405" s="52" t="str">
        <f>'90186_2024'!I66</f>
        <v>GAP-AF</v>
      </c>
      <c r="K405" s="52" t="str">
        <f>'90186_2024'!J66</f>
        <v>FORD/ TRANSIT FURGÃO L3H3 MT</v>
      </c>
      <c r="L405" s="52" t="str">
        <f>'90186_2024'!K66</f>
        <v>03.470.727/0041-18</v>
      </c>
      <c r="M405" s="52" t="str">
        <f>'90186_2024'!L66</f>
        <v>FORD MOTOR COMPANY BRASIL LTDA FRACASSADO</v>
      </c>
      <c r="N405" s="52" t="str">
        <f>'90186_2024'!M66</f>
        <v/>
      </c>
      <c r="O405" s="52" t="str">
        <f>'90186_2024'!N66</f>
        <v/>
      </c>
      <c r="P405" s="52" t="str">
        <f>'90186_2024'!O66</f>
        <v/>
      </c>
      <c r="Q405" s="70" t="str">
        <f>'90186_2024'!P66</f>
        <v/>
      </c>
      <c r="R405" s="52" t="str">
        <f>'90186_2024'!Q66</f>
        <v>FRACASSADO</v>
      </c>
    </row>
    <row r="406" hidden="1">
      <c r="A406" s="79" t="s">
        <v>39</v>
      </c>
      <c r="B406" s="35">
        <f>'90186_2024'!A67</f>
        <v>18</v>
      </c>
      <c r="C406" s="35" t="str">
        <f>'90186_2024'!B67</f>
        <v>E-25-01A-DTS</v>
      </c>
      <c r="D406" s="35" t="str">
        <f>'90186_2024'!C67</f>
        <v>FURGÃO LEVE PARA TRANSPORTE DE CÃES</v>
      </c>
      <c r="E406" s="35">
        <f>'90186_2024'!D67</f>
        <v>1</v>
      </c>
      <c r="F406" s="35" t="str">
        <f>'90186_2024'!E67</f>
        <v>X</v>
      </c>
      <c r="G406" s="56">
        <f>'90186_2024'!F67</f>
        <v>0</v>
      </c>
      <c r="H406" s="28">
        <f>'90186_2024'!G67</f>
        <v>450000</v>
      </c>
      <c r="I406" s="28">
        <f>'90186_2024'!H67</f>
        <v>450000</v>
      </c>
      <c r="J406" s="35" t="str">
        <f>'90186_2024'!I67</f>
        <v>GAP-BE</v>
      </c>
      <c r="K406" s="35" t="str">
        <f>'90186_2024'!J67</f>
        <v>FORD/ TRANSIT FURGÃO L3H3 MT</v>
      </c>
      <c r="L406" s="35" t="str">
        <f>'90186_2024'!K67</f>
        <v>03.470.727/0041-18</v>
      </c>
      <c r="M406" s="35" t="str">
        <f>'90186_2024'!L67</f>
        <v>FORD MOTOR COMPANY BRASIL LTDA FRACASSADO</v>
      </c>
      <c r="N406" s="35" t="str">
        <f>'90186_2024'!M67</f>
        <v/>
      </c>
      <c r="O406" s="35" t="str">
        <f>'90186_2024'!N67</f>
        <v/>
      </c>
      <c r="P406" s="35" t="str">
        <f>'90186_2024'!O67</f>
        <v/>
      </c>
      <c r="Q406" s="63" t="str">
        <f>'90186_2024'!P67</f>
        <v/>
      </c>
      <c r="R406" s="35" t="str">
        <f>'90186_2024'!Q67</f>
        <v>FRACASSADO</v>
      </c>
    </row>
    <row r="407" hidden="1">
      <c r="A407" s="77" t="s">
        <v>39</v>
      </c>
      <c r="B407" s="52">
        <f>'90186_2024'!A68</f>
        <v>18</v>
      </c>
      <c r="C407" s="52" t="str">
        <f>'90186_2024'!B68</f>
        <v>E-25-01A-DTS</v>
      </c>
      <c r="D407" s="52" t="str">
        <f>'90186_2024'!C68</f>
        <v>FURGÃO LEVE PARA TRANSPORTE DE CÃES</v>
      </c>
      <c r="E407" s="52">
        <f>'90186_2024'!D68</f>
        <v>1</v>
      </c>
      <c r="F407" s="52" t="str">
        <f>'90186_2024'!E68</f>
        <v>X</v>
      </c>
      <c r="G407" s="67">
        <f>'90186_2024'!F68</f>
        <v>0</v>
      </c>
      <c r="H407" s="46">
        <f>'90186_2024'!G68</f>
        <v>450000</v>
      </c>
      <c r="I407" s="46">
        <f>'90186_2024'!H68</f>
        <v>450000</v>
      </c>
      <c r="J407" s="52" t="str">
        <f>'90186_2024'!I68</f>
        <v>GAP-DF</v>
      </c>
      <c r="K407" s="52" t="str">
        <f>'90186_2024'!J68</f>
        <v>FORD/ TRANSIT FURGÃO L3H3 MT</v>
      </c>
      <c r="L407" s="52" t="str">
        <f>'90186_2024'!K68</f>
        <v>03.470.727/0041-18</v>
      </c>
      <c r="M407" s="52" t="str">
        <f>'90186_2024'!L68</f>
        <v>FORD MOTOR COMPANY BRASIL LTDA FRACASSADO</v>
      </c>
      <c r="N407" s="52" t="str">
        <f>'90186_2024'!M68</f>
        <v/>
      </c>
      <c r="O407" s="52" t="str">
        <f>'90186_2024'!N68</f>
        <v/>
      </c>
      <c r="P407" s="52" t="str">
        <f>'90186_2024'!O68</f>
        <v/>
      </c>
      <c r="Q407" s="70" t="str">
        <f>'90186_2024'!P68</f>
        <v/>
      </c>
      <c r="R407" s="52" t="str">
        <f>'90186_2024'!Q68</f>
        <v>FRACASSADO</v>
      </c>
    </row>
    <row r="408" hidden="1">
      <c r="A408" s="79" t="s">
        <v>39</v>
      </c>
      <c r="B408" s="35">
        <f>'90186_2024'!A69</f>
        <v>18</v>
      </c>
      <c r="C408" s="35" t="str">
        <f>'90186_2024'!B69</f>
        <v>E-25-01A-DTS</v>
      </c>
      <c r="D408" s="35" t="str">
        <f>'90186_2024'!C69</f>
        <v>FURGÃO LEVE PARA TRANSPORTE DE CÃES</v>
      </c>
      <c r="E408" s="35">
        <f>'90186_2024'!D69</f>
        <v>1</v>
      </c>
      <c r="F408" s="35" t="str">
        <f>'90186_2024'!E69</f>
        <v>X</v>
      </c>
      <c r="G408" s="56">
        <f>'90186_2024'!F69</f>
        <v>0</v>
      </c>
      <c r="H408" s="28">
        <f>'90186_2024'!G69</f>
        <v>450000</v>
      </c>
      <c r="I408" s="28">
        <f>'90186_2024'!H69</f>
        <v>450000</v>
      </c>
      <c r="J408" s="35" t="str">
        <f>'90186_2024'!I69</f>
        <v>GAP-SJ</v>
      </c>
      <c r="K408" s="35" t="str">
        <f>'90186_2024'!J69</f>
        <v>FORD/ TRANSIT FURGÃO L3H3 MT</v>
      </c>
      <c r="L408" s="35" t="str">
        <f>'90186_2024'!K69</f>
        <v>03.470.727/0041-18</v>
      </c>
      <c r="M408" s="35" t="str">
        <f>'90186_2024'!L69</f>
        <v>FORD MOTOR COMPANY BRASIL LTDA FRACASSADO</v>
      </c>
      <c r="N408" s="35" t="str">
        <f>'90186_2024'!M69</f>
        <v/>
      </c>
      <c r="O408" s="35" t="str">
        <f>'90186_2024'!N69</f>
        <v/>
      </c>
      <c r="P408" s="35" t="str">
        <f>'90186_2024'!O69</f>
        <v/>
      </c>
      <c r="Q408" s="63" t="str">
        <f>'90186_2024'!P69</f>
        <v/>
      </c>
      <c r="R408" s="35" t="str">
        <f>'90186_2024'!Q69</f>
        <v>FRACASSADO</v>
      </c>
    </row>
    <row r="409" hidden="1">
      <c r="A409" s="77" t="s">
        <v>39</v>
      </c>
      <c r="B409" s="52">
        <f>'90186_2024'!A70</f>
        <v>18</v>
      </c>
      <c r="C409" s="52" t="str">
        <f>'90186_2024'!B70</f>
        <v>E-25-01A-DTS</v>
      </c>
      <c r="D409" s="52" t="str">
        <f>'90186_2024'!C70</f>
        <v>FURGÃO LEVE PARA TRANSPORTE DE CÃES</v>
      </c>
      <c r="E409" s="52">
        <f>'90186_2024'!D70</f>
        <v>2</v>
      </c>
      <c r="F409" s="52" t="str">
        <f>'90186_2024'!E70</f>
        <v>X</v>
      </c>
      <c r="G409" s="67">
        <f>'90186_2024'!F70</f>
        <v>0</v>
      </c>
      <c r="H409" s="46">
        <f>'90186_2024'!G70</f>
        <v>450000</v>
      </c>
      <c r="I409" s="46">
        <f>'90186_2024'!H70</f>
        <v>900000</v>
      </c>
      <c r="J409" s="52" t="str">
        <f>'90186_2024'!I70</f>
        <v>GAP-SP</v>
      </c>
      <c r="K409" s="52" t="str">
        <f>'90186_2024'!J70</f>
        <v>FORD/ TRANSIT FURGÃO L3H3 MT</v>
      </c>
      <c r="L409" s="52" t="str">
        <f>'90186_2024'!K70</f>
        <v>03.470.727/0041-18</v>
      </c>
      <c r="M409" s="52" t="str">
        <f>'90186_2024'!L70</f>
        <v>FORD MOTOR COMPANY BRASIL LTDA FRACASSADO</v>
      </c>
      <c r="N409" s="52" t="str">
        <f>'90186_2024'!M70</f>
        <v/>
      </c>
      <c r="O409" s="52" t="str">
        <f>'90186_2024'!N70</f>
        <v/>
      </c>
      <c r="P409" s="52" t="str">
        <f>'90186_2024'!O70</f>
        <v/>
      </c>
      <c r="Q409" s="70" t="str">
        <f>'90186_2024'!P70</f>
        <v/>
      </c>
      <c r="R409" s="52" t="str">
        <f>'90186_2024'!Q70</f>
        <v>FRACASSADO</v>
      </c>
    </row>
    <row r="410" hidden="1">
      <c r="A410" s="79" t="s">
        <v>39</v>
      </c>
      <c r="B410" s="35">
        <f>'90186_2024'!A71</f>
        <v>18</v>
      </c>
      <c r="C410" s="35" t="str">
        <f>'90186_2024'!B71</f>
        <v>E-25-01A-DTS</v>
      </c>
      <c r="D410" s="35" t="str">
        <f>'90186_2024'!C71</f>
        <v>FURGÃO LEVE PARA TRANSPORTE DE CÃES</v>
      </c>
      <c r="E410" s="35">
        <f>'90186_2024'!D71</f>
        <v>1</v>
      </c>
      <c r="F410" s="35" t="str">
        <f>'90186_2024'!E71</f>
        <v>X</v>
      </c>
      <c r="G410" s="56">
        <f>'90186_2024'!F71</f>
        <v>0</v>
      </c>
      <c r="H410" s="28">
        <f>'90186_2024'!G71</f>
        <v>450000</v>
      </c>
      <c r="I410" s="28">
        <f>'90186_2024'!H71</f>
        <v>450000</v>
      </c>
      <c r="J410" s="35" t="str">
        <f>'90186_2024'!I71</f>
        <v>CINDACTA 2</v>
      </c>
      <c r="K410" s="35" t="str">
        <f>'90186_2024'!J71</f>
        <v>FORD/ TRANSIT FURGÃO L3H3 MT</v>
      </c>
      <c r="L410" s="35" t="str">
        <f>'90186_2024'!K71</f>
        <v>03.470.727/0041-18</v>
      </c>
      <c r="M410" s="35" t="str">
        <f>'90186_2024'!L71</f>
        <v>FORD MOTOR COMPANY BRASIL LTDA FRACASSADO</v>
      </c>
      <c r="N410" s="35" t="str">
        <f>'90186_2024'!M71</f>
        <v/>
      </c>
      <c r="O410" s="35" t="str">
        <f>'90186_2024'!N71</f>
        <v/>
      </c>
      <c r="P410" s="35" t="str">
        <f>'90186_2024'!O71</f>
        <v/>
      </c>
      <c r="Q410" s="63" t="str">
        <f>'90186_2024'!P71</f>
        <v/>
      </c>
      <c r="R410" s="35" t="str">
        <f>'90186_2024'!Q71</f>
        <v>FRACASSADO</v>
      </c>
    </row>
    <row r="411" hidden="1">
      <c r="A411" s="77" t="s">
        <v>39</v>
      </c>
      <c r="B411" s="52">
        <f>'90186_2024'!A72</f>
        <v>18</v>
      </c>
      <c r="C411" s="52" t="str">
        <f>'90186_2024'!B72</f>
        <v>E-25-01A-DTS</v>
      </c>
      <c r="D411" s="52" t="str">
        <f>'90186_2024'!C72</f>
        <v>FURGÃO LEVE PARA TRANSPORTE DE CÃES</v>
      </c>
      <c r="E411" s="52">
        <f>'90186_2024'!D72</f>
        <v>2</v>
      </c>
      <c r="F411" s="52" t="str">
        <f>'90186_2024'!E72</f>
        <v>X</v>
      </c>
      <c r="G411" s="67">
        <f>'90186_2024'!F72</f>
        <v>0</v>
      </c>
      <c r="H411" s="46">
        <f>'90186_2024'!G72</f>
        <v>450000</v>
      </c>
      <c r="I411" s="46">
        <f>'90186_2024'!H72</f>
        <v>900000</v>
      </c>
      <c r="J411" s="52" t="str">
        <f>'90186_2024'!I72</f>
        <v>DECEA</v>
      </c>
      <c r="K411" s="52" t="str">
        <f>'90186_2024'!J72</f>
        <v>FORD/ TRANSIT FURGÃO L3H3 MT</v>
      </c>
      <c r="L411" s="52" t="str">
        <f>'90186_2024'!K72</f>
        <v>03.470.727/0041-18</v>
      </c>
      <c r="M411" s="52" t="str">
        <f>'90186_2024'!L72</f>
        <v>FORD MOTOR COMPANY BRASIL LTDA FRACASSADO</v>
      </c>
      <c r="N411" s="52" t="str">
        <f>'90186_2024'!M72</f>
        <v/>
      </c>
      <c r="O411" s="52" t="str">
        <f>'90186_2024'!N72</f>
        <v/>
      </c>
      <c r="P411" s="52" t="str">
        <f>'90186_2024'!O72</f>
        <v/>
      </c>
      <c r="Q411" s="70" t="str">
        <f>'90186_2024'!P72</f>
        <v/>
      </c>
      <c r="R411" s="52" t="str">
        <f>'90186_2024'!Q72</f>
        <v>FRACASSADO</v>
      </c>
    </row>
    <row r="412">
      <c r="A412" s="218" t="s">
        <v>39</v>
      </c>
      <c r="B412" s="324">
        <f>'90186_2024'!A73</f>
        <v>19</v>
      </c>
      <c r="C412" s="324" t="str">
        <f>'90186_2024'!B73</f>
        <v>E-14-01A-DTS</v>
      </c>
      <c r="D412" s="324" t="str">
        <f>'90186_2024'!C73</f>
        <v>MICROTRATOR COM APARADOR DE GRAMA</v>
      </c>
      <c r="E412" s="324">
        <f>'90186_2024'!D73</f>
        <v>3</v>
      </c>
      <c r="F412" s="414">
        <v>3.0</v>
      </c>
      <c r="G412" s="325">
        <v>0.0</v>
      </c>
      <c r="H412" s="223">
        <f>'90186_2024'!G73</f>
        <v>20720</v>
      </c>
      <c r="I412" s="223">
        <f>'90186_2024'!H73</f>
        <v>62160</v>
      </c>
      <c r="J412" s="324" t="str">
        <f>'90186_2024'!I73</f>
        <v>BACG</v>
      </c>
      <c r="K412" s="324" t="str">
        <f>'90186_2024'!J73</f>
        <v>TOYAMA
</v>
      </c>
      <c r="L412" s="324" t="str">
        <f>'90186_2024'!K73</f>
        <v>76.074.376/0001-02</v>
      </c>
      <c r="M412" s="324" t="str">
        <f>'90186_2024'!L73</f>
        <v>AGROVET SUL SERVICOS E COMERCIO DE EQUIPAMENTOS LTDA
</v>
      </c>
      <c r="N412" s="324" t="str">
        <f>'90186_2024'!M73</f>
        <v/>
      </c>
      <c r="O412" s="324" t="str">
        <f>'90186_2024'!N73</f>
        <v/>
      </c>
      <c r="P412" s="324" t="str">
        <f>'90186_2024'!O73</f>
        <v/>
      </c>
      <c r="Q412" s="242" t="str">
        <f>'90186_2024'!P73</f>
        <v/>
      </c>
      <c r="R412" s="324" t="str">
        <f>'90186_2024'!Q73</f>
        <v>Julgado e habilitado (aberto para recursos)</v>
      </c>
      <c r="S412" s="226"/>
      <c r="T412" s="226"/>
      <c r="U412" s="226"/>
      <c r="V412" s="226"/>
      <c r="W412" s="226"/>
      <c r="X412" s="226"/>
      <c r="Y412" s="226"/>
      <c r="Z412" s="226"/>
    </row>
    <row r="413">
      <c r="A413" s="218" t="s">
        <v>39</v>
      </c>
      <c r="B413" s="324">
        <f>'90186_2024'!A74</f>
        <v>19</v>
      </c>
      <c r="C413" s="324" t="str">
        <f>'90186_2024'!B74</f>
        <v>E-14-01A-DTS</v>
      </c>
      <c r="D413" s="324" t="str">
        <f>'90186_2024'!C74</f>
        <v>MICRO TRATOR C/ APARADOR DE GRAMA</v>
      </c>
      <c r="E413" s="324">
        <f>'90186_2024'!D74</f>
        <v>2</v>
      </c>
      <c r="F413" s="414">
        <v>2.0</v>
      </c>
      <c r="G413" s="325">
        <v>0.0</v>
      </c>
      <c r="H413" s="223">
        <f>'90186_2024'!G74</f>
        <v>20720</v>
      </c>
      <c r="I413" s="223">
        <f>'90186_2024'!H74</f>
        <v>41440</v>
      </c>
      <c r="J413" s="324" t="str">
        <f>'90186_2024'!I74</f>
        <v>GAP-RJ</v>
      </c>
      <c r="K413" s="324" t="str">
        <f>'90186_2024'!J74</f>
        <v>TOYAMA
</v>
      </c>
      <c r="L413" s="324" t="str">
        <f>'90186_2024'!K74</f>
        <v>76.074.376/0001-02</v>
      </c>
      <c r="M413" s="324" t="str">
        <f>'90186_2024'!L74</f>
        <v>AGROVET SUL SERVICOS E COMERCIO DE EQUIPAMENTOS LTDA
</v>
      </c>
      <c r="N413" s="324" t="str">
        <f>'90186_2024'!M74</f>
        <v/>
      </c>
      <c r="O413" s="324" t="str">
        <f>'90186_2024'!N74</f>
        <v/>
      </c>
      <c r="P413" s="324" t="str">
        <f>'90186_2024'!O74</f>
        <v/>
      </c>
      <c r="Q413" s="242" t="str">
        <f>'90186_2024'!P74</f>
        <v/>
      </c>
      <c r="R413" s="324" t="str">
        <f>'90186_2024'!Q74</f>
        <v>Julgado e habilitado (aberto para recursos)</v>
      </c>
      <c r="S413" s="226"/>
      <c r="T413" s="226"/>
      <c r="U413" s="226"/>
      <c r="V413" s="226"/>
      <c r="W413" s="226"/>
      <c r="X413" s="226"/>
      <c r="Y413" s="226"/>
      <c r="Z413" s="226"/>
    </row>
    <row r="414">
      <c r="A414" s="218" t="s">
        <v>39</v>
      </c>
      <c r="B414" s="324">
        <f>'90186_2024'!A75</f>
        <v>19</v>
      </c>
      <c r="C414" s="324" t="str">
        <f>'90186_2024'!B75</f>
        <v>E-14-01A-DTS</v>
      </c>
      <c r="D414" s="324" t="str">
        <f>'90186_2024'!C75</f>
        <v>MICROTRATOR COM APARADOR DE GRAMA</v>
      </c>
      <c r="E414" s="324">
        <f>'90186_2024'!D75</f>
        <v>1</v>
      </c>
      <c r="F414" s="414">
        <v>1.0</v>
      </c>
      <c r="G414" s="325">
        <v>0.0</v>
      </c>
      <c r="H414" s="223">
        <f>'90186_2024'!G75</f>
        <v>20720</v>
      </c>
      <c r="I414" s="223">
        <f>'90186_2024'!H75</f>
        <v>20720</v>
      </c>
      <c r="J414" s="324" t="str">
        <f>'90186_2024'!I75</f>
        <v>BAFL</v>
      </c>
      <c r="K414" s="324" t="str">
        <f>'90186_2024'!J75</f>
        <v>TOYAMA
</v>
      </c>
      <c r="L414" s="324" t="str">
        <f>'90186_2024'!K75</f>
        <v>76.074.376/0001-02</v>
      </c>
      <c r="M414" s="324" t="str">
        <f>'90186_2024'!L75</f>
        <v>AGROVET SUL SERVICOS E COMERCIO DE EQUIPAMENTOS LTDA
</v>
      </c>
      <c r="N414" s="324" t="str">
        <f>'90186_2024'!M75</f>
        <v/>
      </c>
      <c r="O414" s="324" t="str">
        <f>'90186_2024'!N75</f>
        <v/>
      </c>
      <c r="P414" s="324" t="str">
        <f>'90186_2024'!O75</f>
        <v/>
      </c>
      <c r="Q414" s="242" t="str">
        <f>'90186_2024'!P75</f>
        <v/>
      </c>
      <c r="R414" s="324" t="str">
        <f>'90186_2024'!Q75</f>
        <v>Julgado e habilitado (aberto para recursos)</v>
      </c>
      <c r="S414" s="226"/>
      <c r="T414" s="226"/>
      <c r="U414" s="226"/>
      <c r="V414" s="226"/>
      <c r="W414" s="226"/>
      <c r="X414" s="226"/>
      <c r="Y414" s="226"/>
      <c r="Z414" s="226"/>
    </row>
    <row r="415">
      <c r="A415" s="218" t="s">
        <v>39</v>
      </c>
      <c r="B415" s="324">
        <f>'90186_2024'!A76</f>
        <v>19</v>
      </c>
      <c r="C415" s="324" t="str">
        <f>'90186_2024'!B76</f>
        <v>E-14-01A-DTS</v>
      </c>
      <c r="D415" s="324" t="str">
        <f>'90186_2024'!C76</f>
        <v>MICROTRATOR COM APARADOR DE GRAMA</v>
      </c>
      <c r="E415" s="324">
        <f>'90186_2024'!D76</f>
        <v>2</v>
      </c>
      <c r="F415" s="414">
        <v>2.0</v>
      </c>
      <c r="G415" s="325">
        <v>0.0</v>
      </c>
      <c r="H415" s="223">
        <f>'90186_2024'!G76</f>
        <v>20720</v>
      </c>
      <c r="I415" s="223">
        <f>'90186_2024'!H76</f>
        <v>41440</v>
      </c>
      <c r="J415" s="324" t="str">
        <f>'90186_2024'!I76</f>
        <v>BAFZ</v>
      </c>
      <c r="K415" s="324" t="str">
        <f>'90186_2024'!J76</f>
        <v>TOYAMA
</v>
      </c>
      <c r="L415" s="324" t="str">
        <f>'90186_2024'!K76</f>
        <v>76.074.376/0001-02</v>
      </c>
      <c r="M415" s="324" t="str">
        <f>'90186_2024'!L76</f>
        <v>AGROVET SUL SERVICOS E COMERCIO DE EQUIPAMENTOS LTDA
</v>
      </c>
      <c r="N415" s="324" t="str">
        <f>'90186_2024'!M76</f>
        <v/>
      </c>
      <c r="O415" s="324" t="str">
        <f>'90186_2024'!N76</f>
        <v/>
      </c>
      <c r="P415" s="324" t="str">
        <f>'90186_2024'!O76</f>
        <v/>
      </c>
      <c r="Q415" s="242" t="str">
        <f>'90186_2024'!P76</f>
        <v/>
      </c>
      <c r="R415" s="324" t="str">
        <f>'90186_2024'!Q76</f>
        <v>Julgado e habilitado (aberto para recursos)</v>
      </c>
      <c r="S415" s="226"/>
      <c r="T415" s="226"/>
      <c r="U415" s="226"/>
      <c r="V415" s="226"/>
      <c r="W415" s="226"/>
      <c r="X415" s="226"/>
      <c r="Y415" s="226"/>
      <c r="Z415" s="226"/>
    </row>
    <row r="416">
      <c r="A416" s="218" t="s">
        <v>39</v>
      </c>
      <c r="B416" s="324">
        <f>'90186_2024'!A77</f>
        <v>19</v>
      </c>
      <c r="C416" s="324" t="str">
        <f>'90186_2024'!B77</f>
        <v>E-14-01A-DTS</v>
      </c>
      <c r="D416" s="324" t="str">
        <f>'90186_2024'!C77</f>
        <v>MICROTRATOR COM APARADOR DE GRAMA</v>
      </c>
      <c r="E416" s="324">
        <f>'90186_2024'!D77</f>
        <v>2</v>
      </c>
      <c r="F416" s="414">
        <v>2.0</v>
      </c>
      <c r="G416" s="325">
        <v>0.0</v>
      </c>
      <c r="H416" s="223">
        <f>'90186_2024'!G77</f>
        <v>20720</v>
      </c>
      <c r="I416" s="223">
        <f>'90186_2024'!H77</f>
        <v>41440</v>
      </c>
      <c r="J416" s="324" t="str">
        <f>'90186_2024'!I77</f>
        <v>BANT</v>
      </c>
      <c r="K416" s="324" t="str">
        <f>'90186_2024'!J77</f>
        <v>TOYAMA
</v>
      </c>
      <c r="L416" s="324" t="str">
        <f>'90186_2024'!K77</f>
        <v>76.074.376/0001-02</v>
      </c>
      <c r="M416" s="324" t="str">
        <f>'90186_2024'!L77</f>
        <v>AGROVET SUL SERVICOS E COMERCIO DE EQUIPAMENTOS LTDA
</v>
      </c>
      <c r="N416" s="324" t="str">
        <f>'90186_2024'!M77</f>
        <v/>
      </c>
      <c r="O416" s="324" t="str">
        <f>'90186_2024'!N77</f>
        <v/>
      </c>
      <c r="P416" s="324" t="str">
        <f>'90186_2024'!O77</f>
        <v/>
      </c>
      <c r="Q416" s="242" t="str">
        <f>'90186_2024'!P77</f>
        <v/>
      </c>
      <c r="R416" s="324" t="str">
        <f>'90186_2024'!Q77</f>
        <v>Julgado e habilitado (aberto para recursos)</v>
      </c>
      <c r="S416" s="226"/>
      <c r="T416" s="226"/>
      <c r="U416" s="226"/>
      <c r="V416" s="226"/>
      <c r="W416" s="226"/>
      <c r="X416" s="226"/>
      <c r="Y416" s="226"/>
      <c r="Z416" s="226"/>
    </row>
    <row r="417">
      <c r="A417" s="77" t="s">
        <v>39</v>
      </c>
      <c r="B417" s="52">
        <f>'90186_2024'!A78</f>
        <v>19</v>
      </c>
      <c r="C417" s="52" t="str">
        <f>'90186_2024'!B78</f>
        <v>E-14-01A-DTS</v>
      </c>
      <c r="D417" s="52" t="str">
        <f>'90186_2024'!C78</f>
        <v>MICROTRATOR COM APARADOR DE GRAMA</v>
      </c>
      <c r="E417" s="52">
        <f>'90186_2024'!D78</f>
        <v>2</v>
      </c>
      <c r="F417" s="52">
        <f>'90186_2024'!E78</f>
        <v>2</v>
      </c>
      <c r="G417" s="67">
        <f>'90186_2024'!F78</f>
        <v>0</v>
      </c>
      <c r="H417" s="46">
        <f>'90186_2024'!G78</f>
        <v>20720</v>
      </c>
      <c r="I417" s="46">
        <f>'90186_2024'!H78</f>
        <v>41440</v>
      </c>
      <c r="J417" s="52" t="str">
        <f>'90186_2024'!I78</f>
        <v>BASC</v>
      </c>
      <c r="K417" s="52" t="str">
        <f>'90186_2024'!J78</f>
        <v>TOYAMA
</v>
      </c>
      <c r="L417" s="52" t="str">
        <f>'90186_2024'!K78</f>
        <v>76.074.376/0001-02</v>
      </c>
      <c r="M417" s="52" t="str">
        <f>'90186_2024'!L78</f>
        <v>AGROVET SUL SERVICOS E COMERCIO DE EQUIPAMENTOS LTDA
</v>
      </c>
      <c r="N417" s="52" t="str">
        <f>'90186_2024'!M78</f>
        <v/>
      </c>
      <c r="O417" s="52" t="str">
        <f>'90186_2024'!N78</f>
        <v/>
      </c>
      <c r="P417" s="52" t="str">
        <f>'90186_2024'!O78</f>
        <v/>
      </c>
      <c r="Q417" s="70" t="str">
        <f>'90186_2024'!P78</f>
        <v/>
      </c>
      <c r="R417" s="52" t="str">
        <f>'90186_2024'!Q78</f>
        <v>Julgado e habilitado (aberto para recursos)</v>
      </c>
    </row>
    <row r="418">
      <c r="A418" s="79" t="s">
        <v>39</v>
      </c>
      <c r="B418" s="35">
        <f>'90186_2024'!A79</f>
        <v>19</v>
      </c>
      <c r="C418" s="35" t="str">
        <f>'90186_2024'!B79</f>
        <v>E-14-01A-DTS</v>
      </c>
      <c r="D418" s="35" t="str">
        <f>'90186_2024'!C79</f>
        <v>MICROTRATOR COM APARADOR DE GRAMA</v>
      </c>
      <c r="E418" s="35">
        <f>'90186_2024'!D79</f>
        <v>2</v>
      </c>
      <c r="F418" s="35">
        <f>'90186_2024'!E79</f>
        <v>0</v>
      </c>
      <c r="G418" s="56">
        <f>'90186_2024'!F79</f>
        <v>2</v>
      </c>
      <c r="H418" s="28">
        <f>'90186_2024'!G79</f>
        <v>20720</v>
      </c>
      <c r="I418" s="28">
        <f>'90186_2024'!H79</f>
        <v>41440</v>
      </c>
      <c r="J418" s="35" t="str">
        <f>'90186_2024'!I79</f>
        <v>BASM</v>
      </c>
      <c r="K418" s="35" t="str">
        <f>'90186_2024'!J79</f>
        <v>TOYAMA
</v>
      </c>
      <c r="L418" s="35" t="str">
        <f>'90186_2024'!K79</f>
        <v>76.074.376/0001-02</v>
      </c>
      <c r="M418" s="35" t="str">
        <f>'90186_2024'!L79</f>
        <v>AGROVET SUL SERVICOS E COMERCIO DE EQUIPAMENTOS LTDA
</v>
      </c>
      <c r="N418" s="35" t="str">
        <f>'90186_2024'!M79</f>
        <v/>
      </c>
      <c r="O418" s="35" t="str">
        <f>'90186_2024'!N79</f>
        <v/>
      </c>
      <c r="P418" s="35" t="str">
        <f>'90186_2024'!O79</f>
        <v/>
      </c>
      <c r="Q418" s="63" t="str">
        <f>'90186_2024'!P79</f>
        <v/>
      </c>
      <c r="R418" s="35" t="str">
        <f>'90186_2024'!Q79</f>
        <v>Julgado e habilitado (aberto para recursos)</v>
      </c>
    </row>
    <row r="419">
      <c r="A419" s="77" t="s">
        <v>39</v>
      </c>
      <c r="B419" s="52">
        <f>'90186_2024'!A80</f>
        <v>19</v>
      </c>
      <c r="C419" s="52" t="str">
        <f>'90186_2024'!B80</f>
        <v>E-14-01A-DTS</v>
      </c>
      <c r="D419" s="52" t="str">
        <f>'90186_2024'!C80</f>
        <v>MICROTRATOR COM APARADOR DE GRAMA</v>
      </c>
      <c r="E419" s="52">
        <f>'90186_2024'!D80</f>
        <v>13</v>
      </c>
      <c r="F419" s="321">
        <f>'90186_2024'!E80</f>
        <v>13</v>
      </c>
      <c r="G419" s="67">
        <f>'90186_2024'!F80</f>
        <v>0</v>
      </c>
      <c r="H419" s="46">
        <f>'90186_2024'!G80</f>
        <v>20720</v>
      </c>
      <c r="I419" s="46">
        <f>'90186_2024'!H80</f>
        <v>269360</v>
      </c>
      <c r="J419" s="52" t="str">
        <f>'90186_2024'!I80</f>
        <v>CINDACTA 3</v>
      </c>
      <c r="K419" s="52" t="str">
        <f>'90186_2024'!J80</f>
        <v>TOYAMA
</v>
      </c>
      <c r="L419" s="52" t="str">
        <f>'90186_2024'!K80</f>
        <v>76.074.376/0001-02</v>
      </c>
      <c r="M419" s="52" t="str">
        <f>'90186_2024'!L80</f>
        <v>AGROVET SUL SERVICOS E COMERCIO DE EQUIPAMENTOS LTDA
</v>
      </c>
      <c r="N419" s="52" t="str">
        <f>'90186_2024'!M80</f>
        <v/>
      </c>
      <c r="O419" s="52" t="str">
        <f>'90186_2024'!N80</f>
        <v/>
      </c>
      <c r="P419" s="52" t="str">
        <f>'90186_2024'!O80</f>
        <v/>
      </c>
      <c r="Q419" s="70" t="str">
        <f>'90186_2024'!P80</f>
        <v/>
      </c>
      <c r="R419" s="52" t="str">
        <f>'90186_2024'!Q80</f>
        <v>Julgado e habilitado (aberto para recursos)</v>
      </c>
    </row>
    <row r="420">
      <c r="A420" s="79" t="s">
        <v>39</v>
      </c>
      <c r="B420" s="35">
        <f>'90186_2024'!A81</f>
        <v>19</v>
      </c>
      <c r="C420" s="35" t="str">
        <f>'90186_2024'!B81</f>
        <v>E-14-01A-DTS</v>
      </c>
      <c r="D420" s="35" t="str">
        <f>'90186_2024'!C81</f>
        <v>MICROTRATOR COM APARADOR DE GRAMA</v>
      </c>
      <c r="E420" s="35">
        <f>'90186_2024'!D81</f>
        <v>2</v>
      </c>
      <c r="F420" s="35">
        <f>'90186_2024'!E81</f>
        <v>2</v>
      </c>
      <c r="G420" s="56">
        <f>'90186_2024'!F81</f>
        <v>0</v>
      </c>
      <c r="H420" s="28">
        <f>'90186_2024'!G81</f>
        <v>20720</v>
      </c>
      <c r="I420" s="28">
        <f>'90186_2024'!H81</f>
        <v>41440</v>
      </c>
      <c r="J420" s="35" t="str">
        <f>'90186_2024'!I81</f>
        <v>CPBV</v>
      </c>
      <c r="K420" s="35" t="str">
        <f>'90186_2024'!J81</f>
        <v>TOYAMA
</v>
      </c>
      <c r="L420" s="35" t="str">
        <f>'90186_2024'!K81</f>
        <v>76.074.376/0001-02</v>
      </c>
      <c r="M420" s="35" t="str">
        <f>'90186_2024'!L81</f>
        <v>AGROVET SUL SERVICOS E COMERCIO DE EQUIPAMENTOS LTDA
</v>
      </c>
      <c r="N420" s="35" t="str">
        <f>'90186_2024'!M81</f>
        <v/>
      </c>
      <c r="O420" s="35" t="str">
        <f>'90186_2024'!N81</f>
        <v/>
      </c>
      <c r="P420" s="35" t="str">
        <f>'90186_2024'!O81</f>
        <v/>
      </c>
      <c r="Q420" s="63" t="str">
        <f>'90186_2024'!P81</f>
        <v/>
      </c>
      <c r="R420" s="35" t="str">
        <f>'90186_2024'!Q81</f>
        <v>Julgado e habilitado (aberto para recursos)</v>
      </c>
    </row>
    <row r="421">
      <c r="A421" s="77" t="s">
        <v>39</v>
      </c>
      <c r="B421" s="52">
        <f>'90186_2024'!A82</f>
        <v>19</v>
      </c>
      <c r="C421" s="52" t="str">
        <f>'90186_2024'!B82</f>
        <v>E-14-01A-DTS</v>
      </c>
      <c r="D421" s="52" t="str">
        <f>'90186_2024'!C82</f>
        <v>MICROTRATOR COM APARADOR DE GRAMA</v>
      </c>
      <c r="E421" s="52">
        <f>'90186_2024'!D82</f>
        <v>1</v>
      </c>
      <c r="F421" s="52">
        <f>'90186_2024'!E82</f>
        <v>0</v>
      </c>
      <c r="G421" s="67">
        <f>'90186_2024'!F82</f>
        <v>1</v>
      </c>
      <c r="H421" s="46">
        <f>'90186_2024'!G82</f>
        <v>20720</v>
      </c>
      <c r="I421" s="46">
        <f>'90186_2024'!H82</f>
        <v>20720</v>
      </c>
      <c r="J421" s="52" t="str">
        <f>'90186_2024'!I82</f>
        <v>EEAR</v>
      </c>
      <c r="K421" s="52" t="str">
        <f>'90186_2024'!J82</f>
        <v>TOYAMA
</v>
      </c>
      <c r="L421" s="52" t="str">
        <f>'90186_2024'!K82</f>
        <v>76.074.376/0001-02</v>
      </c>
      <c r="M421" s="52" t="str">
        <f>'90186_2024'!L82</f>
        <v>AGROVET SUL SERVICOS E COMERCIO DE EQUIPAMENTOS LTDA
</v>
      </c>
      <c r="N421" s="52" t="str">
        <f>'90186_2024'!M82</f>
        <v/>
      </c>
      <c r="O421" s="52" t="str">
        <f>'90186_2024'!N82</f>
        <v/>
      </c>
      <c r="P421" s="52" t="str">
        <f>'90186_2024'!O82</f>
        <v/>
      </c>
      <c r="Q421" s="70" t="str">
        <f>'90186_2024'!P82</f>
        <v/>
      </c>
      <c r="R421" s="52" t="str">
        <f>'90186_2024'!Q82</f>
        <v>Julgado e habilitado (aberto para recursos)</v>
      </c>
    </row>
    <row r="422">
      <c r="A422" s="79" t="s">
        <v>39</v>
      </c>
      <c r="B422" s="35">
        <f>'90186_2024'!A83</f>
        <v>19</v>
      </c>
      <c r="C422" s="35" t="str">
        <f>'90186_2024'!B83</f>
        <v>E-14-01A-DTS</v>
      </c>
      <c r="D422" s="35" t="str">
        <f>'90186_2024'!C83</f>
        <v>MICROTRATOR COM APARADOR DE GRAMA</v>
      </c>
      <c r="E422" s="35">
        <f>'90186_2024'!D83</f>
        <v>5</v>
      </c>
      <c r="F422" s="35">
        <f>'90186_2024'!E83</f>
        <v>0</v>
      </c>
      <c r="G422" s="56">
        <f>'90186_2024'!F83</f>
        <v>5</v>
      </c>
      <c r="H422" s="28">
        <f>'90186_2024'!G83</f>
        <v>20720</v>
      </c>
      <c r="I422" s="28">
        <f>'90186_2024'!H83</f>
        <v>103600</v>
      </c>
      <c r="J422" s="35" t="str">
        <f>'90186_2024'!I83</f>
        <v>GAP-AF</v>
      </c>
      <c r="K422" s="35" t="str">
        <f>'90186_2024'!J83</f>
        <v>TOYAMA
</v>
      </c>
      <c r="L422" s="35" t="str">
        <f>'90186_2024'!K83</f>
        <v>76.074.376/0001-02</v>
      </c>
      <c r="M422" s="35" t="str">
        <f>'90186_2024'!L83</f>
        <v>AGROVET SUL SERVICOS E COMERCIO DE EQUIPAMENTOS LTDA
</v>
      </c>
      <c r="N422" s="35" t="str">
        <f>'90186_2024'!M83</f>
        <v/>
      </c>
      <c r="O422" s="35" t="str">
        <f>'90186_2024'!N83</f>
        <v/>
      </c>
      <c r="P422" s="35" t="str">
        <f>'90186_2024'!O83</f>
        <v/>
      </c>
      <c r="Q422" s="63" t="str">
        <f>'90186_2024'!P83</f>
        <v/>
      </c>
      <c r="R422" s="35" t="str">
        <f>'90186_2024'!Q83</f>
        <v>Julgado e habilitado (aberto para recursos)</v>
      </c>
    </row>
    <row r="423">
      <c r="A423" s="77" t="s">
        <v>39</v>
      </c>
      <c r="B423" s="52">
        <f>'90186_2024'!A84</f>
        <v>19</v>
      </c>
      <c r="C423" s="52" t="str">
        <f>'90186_2024'!B84</f>
        <v>E-14-01A-DTS</v>
      </c>
      <c r="D423" s="52" t="str">
        <f>'90186_2024'!C84</f>
        <v>MICROTRATOR COM APARADOR DE GRAMA</v>
      </c>
      <c r="E423" s="52">
        <f>'90186_2024'!D84</f>
        <v>1</v>
      </c>
      <c r="F423" s="52">
        <f>'90186_2024'!E84</f>
        <v>0</v>
      </c>
      <c r="G423" s="67">
        <f>'90186_2024'!F84</f>
        <v>1</v>
      </c>
      <c r="H423" s="46">
        <f>'90186_2024'!G84</f>
        <v>17979</v>
      </c>
      <c r="I423" s="46">
        <f>'90186_2024'!H84</f>
        <v>17979</v>
      </c>
      <c r="J423" s="52" t="str">
        <f>'90186_2024'!I84</f>
        <v>GAP-BE</v>
      </c>
      <c r="K423" s="52" t="str">
        <f>'90186_2024'!J84</f>
        <v>TOYAMA
</v>
      </c>
      <c r="L423" s="52" t="str">
        <f>'90186_2024'!K84</f>
        <v>76.074.376/0001-02</v>
      </c>
      <c r="M423" s="52" t="str">
        <f>'90186_2024'!L84</f>
        <v>AGROVET SUL SERVICOS E COMERCIO DE EQUIPAMENTOS LTDA
</v>
      </c>
      <c r="N423" s="52" t="str">
        <f>'90186_2024'!M84</f>
        <v/>
      </c>
      <c r="O423" s="52" t="str">
        <f>'90186_2024'!N84</f>
        <v/>
      </c>
      <c r="P423" s="52" t="str">
        <f>'90186_2024'!O84</f>
        <v/>
      </c>
      <c r="Q423" s="70" t="str">
        <f>'90186_2024'!P84</f>
        <v/>
      </c>
      <c r="R423" s="52" t="str">
        <f>'90186_2024'!Q84</f>
        <v>Julgado e habilitado (aberto para recursos)</v>
      </c>
    </row>
    <row r="424">
      <c r="A424" s="79" t="s">
        <v>39</v>
      </c>
      <c r="B424" s="35">
        <f>'90186_2024'!A85</f>
        <v>19</v>
      </c>
      <c r="C424" s="35" t="str">
        <f>'90186_2024'!B85</f>
        <v>E-14-01A-DTS</v>
      </c>
      <c r="D424" s="35" t="str">
        <f>'90186_2024'!C85</f>
        <v>MICROTRATOR COM APARADOR DE GRAMA</v>
      </c>
      <c r="E424" s="35">
        <f>'90186_2024'!D85</f>
        <v>1</v>
      </c>
      <c r="F424" s="35">
        <f>'90186_2024'!E85</f>
        <v>0</v>
      </c>
      <c r="G424" s="56">
        <f>'90186_2024'!F85</f>
        <v>1</v>
      </c>
      <c r="H424" s="28">
        <f>'90186_2024'!G85</f>
        <v>20720</v>
      </c>
      <c r="I424" s="28">
        <f>'90186_2024'!H85</f>
        <v>20720</v>
      </c>
      <c r="J424" s="35" t="str">
        <f>'90186_2024'!I85</f>
        <v>BASV</v>
      </c>
      <c r="K424" s="35" t="str">
        <f>'90186_2024'!J85</f>
        <v>TOYAMA
</v>
      </c>
      <c r="L424" s="35" t="str">
        <f>'90186_2024'!K85</f>
        <v>76.074.376/0001-02</v>
      </c>
      <c r="M424" s="35" t="str">
        <f>'90186_2024'!L85</f>
        <v>AGROVET SUL SERVICOS E COMERCIO DE EQUIPAMENTOS LTDA
</v>
      </c>
      <c r="N424" s="35" t="str">
        <f>'90186_2024'!M85</f>
        <v/>
      </c>
      <c r="O424" s="35" t="str">
        <f>'90186_2024'!N85</f>
        <v/>
      </c>
      <c r="P424" s="35" t="str">
        <f>'90186_2024'!O85</f>
        <v/>
      </c>
      <c r="Q424" s="63" t="str">
        <f>'90186_2024'!P85</f>
        <v/>
      </c>
      <c r="R424" s="35" t="str">
        <f>'90186_2024'!Q85</f>
        <v>Julgado e habilitado (aberto para recursos)</v>
      </c>
    </row>
    <row r="425">
      <c r="A425" s="77" t="s">
        <v>39</v>
      </c>
      <c r="B425" s="52">
        <f>'90186_2024'!A86</f>
        <v>19</v>
      </c>
      <c r="C425" s="52" t="str">
        <f>'90186_2024'!B86</f>
        <v>E-14-01A-DTS</v>
      </c>
      <c r="D425" s="52" t="str">
        <f>'90186_2024'!C86</f>
        <v>MICROTRATOR COM APARADOR DE GRAMA</v>
      </c>
      <c r="E425" s="52">
        <f>'90186_2024'!D86</f>
        <v>8</v>
      </c>
      <c r="F425" s="52">
        <f>'90186_2024'!E86</f>
        <v>1</v>
      </c>
      <c r="G425" s="67">
        <f>'90186_2024'!F86</f>
        <v>7</v>
      </c>
      <c r="H425" s="46">
        <f>'90186_2024'!G86</f>
        <v>20720</v>
      </c>
      <c r="I425" s="46">
        <f>'90186_2024'!H86</f>
        <v>165760</v>
      </c>
      <c r="J425" s="52" t="str">
        <f>'90186_2024'!I86</f>
        <v>GAP-DF</v>
      </c>
      <c r="K425" s="52" t="str">
        <f>'90186_2024'!J86</f>
        <v>TOYAMA
</v>
      </c>
      <c r="L425" s="52" t="str">
        <f>'90186_2024'!K86</f>
        <v>76.074.376/0001-02</v>
      </c>
      <c r="M425" s="52" t="str">
        <f>'90186_2024'!L86</f>
        <v>AGROVET SUL SERVICOS E COMERCIO DE EQUIPAMENTOS LTDA
</v>
      </c>
      <c r="N425" s="52" t="str">
        <f>'90186_2024'!M86</f>
        <v/>
      </c>
      <c r="O425" s="52" t="str">
        <f>'90186_2024'!N86</f>
        <v/>
      </c>
      <c r="P425" s="52" t="str">
        <f>'90186_2024'!O86</f>
        <v/>
      </c>
      <c r="Q425" s="70" t="str">
        <f>'90186_2024'!P86</f>
        <v/>
      </c>
      <c r="R425" s="52" t="str">
        <f>'90186_2024'!Q86</f>
        <v>Julgado e habilitado (aberto para recursos)</v>
      </c>
    </row>
    <row r="426">
      <c r="A426" s="79" t="s">
        <v>39</v>
      </c>
      <c r="B426" s="35">
        <f>'90186_2024'!A87</f>
        <v>19</v>
      </c>
      <c r="C426" s="35" t="str">
        <f>'90186_2024'!B87</f>
        <v>E-14-01A-DTS</v>
      </c>
      <c r="D426" s="35" t="str">
        <f>'90186_2024'!C87</f>
        <v>MICROTRATOR COM APARADOR DE GRAMA</v>
      </c>
      <c r="E426" s="35">
        <f>'90186_2024'!D87</f>
        <v>2</v>
      </c>
      <c r="F426" s="35">
        <f>'90186_2024'!E87</f>
        <v>2</v>
      </c>
      <c r="G426" s="56">
        <f>'90186_2024'!F87</f>
        <v>0</v>
      </c>
      <c r="H426" s="28">
        <f>'90186_2024'!G87</f>
        <v>20720</v>
      </c>
      <c r="I426" s="28">
        <f>'90186_2024'!H87</f>
        <v>41440</v>
      </c>
      <c r="J426" s="35" t="str">
        <f>'90186_2024'!I87</f>
        <v>GAP-GL</v>
      </c>
      <c r="K426" s="35" t="str">
        <f>'90186_2024'!J87</f>
        <v>TOYAMA
</v>
      </c>
      <c r="L426" s="35" t="str">
        <f>'90186_2024'!K87</f>
        <v>76.074.376/0001-02</v>
      </c>
      <c r="M426" s="35" t="str">
        <f>'90186_2024'!L87</f>
        <v>AGROVET SUL SERVICOS E COMERCIO DE EQUIPAMENTOS LTDA
</v>
      </c>
      <c r="N426" s="35" t="str">
        <f>'90186_2024'!M87</f>
        <v/>
      </c>
      <c r="O426" s="35" t="str">
        <f>'90186_2024'!N87</f>
        <v/>
      </c>
      <c r="P426" s="35" t="str">
        <f>'90186_2024'!O87</f>
        <v/>
      </c>
      <c r="Q426" s="63" t="str">
        <f>'90186_2024'!P87</f>
        <v/>
      </c>
      <c r="R426" s="35" t="str">
        <f>'90186_2024'!Q87</f>
        <v>Julgado e habilitado (aberto para recursos)</v>
      </c>
    </row>
    <row r="427">
      <c r="A427" s="77" t="s">
        <v>39</v>
      </c>
      <c r="B427" s="52">
        <f>'90186_2024'!A88</f>
        <v>19</v>
      </c>
      <c r="C427" s="52" t="str">
        <f>'90186_2024'!B88</f>
        <v>E-14-01A-DTS</v>
      </c>
      <c r="D427" s="52" t="str">
        <f>'90186_2024'!C88</f>
        <v>MICROTRATOR COM APARADOR DE GRAMA</v>
      </c>
      <c r="E427" s="52">
        <f>'90186_2024'!D88</f>
        <v>2</v>
      </c>
      <c r="F427" s="52">
        <f>'90186_2024'!E88</f>
        <v>1</v>
      </c>
      <c r="G427" s="67">
        <f>'90186_2024'!F88</f>
        <v>1</v>
      </c>
      <c r="H427" s="46">
        <f>'90186_2024'!G88</f>
        <v>20720</v>
      </c>
      <c r="I427" s="46">
        <f>'90186_2024'!H88</f>
        <v>41440</v>
      </c>
      <c r="J427" s="52" t="str">
        <f>'90186_2024'!I88</f>
        <v>GAP-SJ</v>
      </c>
      <c r="K427" s="52" t="str">
        <f>'90186_2024'!J88</f>
        <v>TOYAMA
</v>
      </c>
      <c r="L427" s="52" t="str">
        <f>'90186_2024'!K88</f>
        <v>76.074.376/0001-02</v>
      </c>
      <c r="M427" s="52" t="str">
        <f>'90186_2024'!L88</f>
        <v>AGROVET SUL SERVICOS E COMERCIO DE EQUIPAMENTOS LTDA
</v>
      </c>
      <c r="N427" s="52" t="str">
        <f>'90186_2024'!M88</f>
        <v/>
      </c>
      <c r="O427" s="52" t="str">
        <f>'90186_2024'!N88</f>
        <v/>
      </c>
      <c r="P427" s="52" t="str">
        <f>'90186_2024'!O88</f>
        <v/>
      </c>
      <c r="Q427" s="70" t="str">
        <f>'90186_2024'!P88</f>
        <v/>
      </c>
      <c r="R427" s="52" t="str">
        <f>'90186_2024'!Q88</f>
        <v>Julgado e habilitado (aberto para recursos)</v>
      </c>
    </row>
    <row r="428" hidden="1">
      <c r="A428" s="79" t="s">
        <v>39</v>
      </c>
      <c r="B428" s="35">
        <f>'90186_2024'!A89</f>
        <v>20</v>
      </c>
      <c r="C428" s="35" t="str">
        <f>'90186_2024'!B89</f>
        <v>P-5-01A-DTS</v>
      </c>
      <c r="D428" s="35" t="str">
        <f>'90186_2024'!C89</f>
        <v>MICROÔNIBUS</v>
      </c>
      <c r="E428" s="35">
        <f>'90186_2024'!D89</f>
        <v>1</v>
      </c>
      <c r="F428" s="35">
        <f>'90186_2024'!E89</f>
        <v>0</v>
      </c>
      <c r="G428" s="56">
        <f>'90186_2024'!F89</f>
        <v>1</v>
      </c>
      <c r="H428" s="28">
        <f>'90186_2024'!G89</f>
        <v>660000</v>
      </c>
      <c r="I428" s="28">
        <f>'90186_2024'!H89</f>
        <v>660000</v>
      </c>
      <c r="J428" s="35" t="str">
        <f>'90186_2024'!I89</f>
        <v>AFA</v>
      </c>
      <c r="K428" s="35" t="str">
        <f>'90186_2024'!J89</f>
        <v>MARCOPOLO/ ATTACK 9/ EXECUTIVO</v>
      </c>
      <c r="L428" s="35" t="str">
        <f>'90186_2024'!K89</f>
        <v>88.611.835/0018-77</v>
      </c>
      <c r="M428" s="35" t="str">
        <f>'90186_2024'!L89</f>
        <v>MARCOPOLO SA</v>
      </c>
      <c r="N428" s="35" t="str">
        <f>'90186_2024'!M89</f>
        <v/>
      </c>
      <c r="O428" s="35" t="str">
        <f>'90186_2024'!N89</f>
        <v/>
      </c>
      <c r="P428" s="35" t="str">
        <f>'90186_2024'!O89</f>
        <v/>
      </c>
      <c r="Q428" s="63" t="str">
        <f>'90186_2024'!P89</f>
        <v/>
      </c>
      <c r="R428" s="35" t="str">
        <f>'90186_2024'!Q89</f>
        <v>HOMOLOGADO</v>
      </c>
    </row>
    <row r="429" hidden="1">
      <c r="A429" s="77" t="s">
        <v>39</v>
      </c>
      <c r="B429" s="52">
        <f>'90186_2024'!A90</f>
        <v>20</v>
      </c>
      <c r="C429" s="52" t="str">
        <f>'90186_2024'!B90</f>
        <v>P-5-01A-DTS</v>
      </c>
      <c r="D429" s="52" t="str">
        <f>'90186_2024'!C90</f>
        <v>MICROÔNIBUS</v>
      </c>
      <c r="E429" s="52">
        <f>'90186_2024'!D90</f>
        <v>1</v>
      </c>
      <c r="F429" s="321">
        <f>'90186_2024'!E90</f>
        <v>1</v>
      </c>
      <c r="G429" s="67">
        <f>'90186_2024'!F90</f>
        <v>0</v>
      </c>
      <c r="H429" s="46">
        <f>'90186_2024'!G90</f>
        <v>660000</v>
      </c>
      <c r="I429" s="46">
        <f>'90186_2024'!H90</f>
        <v>660000</v>
      </c>
      <c r="J429" s="52" t="str">
        <f>'90186_2024'!I90</f>
        <v>CINDACTA 1</v>
      </c>
      <c r="K429" s="52" t="str">
        <f>'90186_2024'!J90</f>
        <v>MARCOPOLO/ ATTACK 9/ EXECUTIVO</v>
      </c>
      <c r="L429" s="52" t="str">
        <f>'90186_2024'!K90</f>
        <v>88.611.835/0018-77</v>
      </c>
      <c r="M429" s="52" t="str">
        <f>'90186_2024'!L90</f>
        <v>MARCOPOLO SA</v>
      </c>
      <c r="N429" s="52" t="str">
        <f>'90186_2024'!M90</f>
        <v/>
      </c>
      <c r="O429" s="52" t="str">
        <f>'90186_2024'!N90</f>
        <v/>
      </c>
      <c r="P429" s="52" t="str">
        <f>'90186_2024'!O90</f>
        <v/>
      </c>
      <c r="Q429" s="70" t="str">
        <f>'90186_2024'!P90</f>
        <v/>
      </c>
      <c r="R429" s="52" t="str">
        <f>'90186_2024'!Q90</f>
        <v>HOMOLOGADO</v>
      </c>
    </row>
    <row r="430" hidden="1">
      <c r="A430" s="79" t="s">
        <v>39</v>
      </c>
      <c r="B430" s="35">
        <f>'90186_2024'!A91</f>
        <v>20</v>
      </c>
      <c r="C430" s="35" t="str">
        <f>'90186_2024'!B91</f>
        <v>P-5-01A-DTS</v>
      </c>
      <c r="D430" s="35" t="str">
        <f>'90186_2024'!C91</f>
        <v>MICROÔNIBUS</v>
      </c>
      <c r="E430" s="35">
        <f>'90186_2024'!D91</f>
        <v>5</v>
      </c>
      <c r="F430" s="321">
        <f>'90186_2024'!E91</f>
        <v>3</v>
      </c>
      <c r="G430" s="56">
        <f>'90186_2024'!F91</f>
        <v>2</v>
      </c>
      <c r="H430" s="28">
        <f>'90186_2024'!G91</f>
        <v>660000</v>
      </c>
      <c r="I430" s="28">
        <f>'90186_2024'!H91</f>
        <v>3300000</v>
      </c>
      <c r="J430" s="35" t="str">
        <f>'90186_2024'!I91</f>
        <v>CINDACTA 2</v>
      </c>
      <c r="K430" s="35" t="str">
        <f>'90186_2024'!J91</f>
        <v>MARCOPOLO/ ATTACK 9/ EXECUTIVO</v>
      </c>
      <c r="L430" s="35" t="str">
        <f>'90186_2024'!K91</f>
        <v>88.611.835/0018-77</v>
      </c>
      <c r="M430" s="35" t="str">
        <f>'90186_2024'!L91</f>
        <v>MARCOPOLO SA</v>
      </c>
      <c r="N430" s="35" t="str">
        <f>'90186_2024'!M91</f>
        <v/>
      </c>
      <c r="O430" s="35" t="str">
        <f>'90186_2024'!N91</f>
        <v/>
      </c>
      <c r="P430" s="35" t="str">
        <f>'90186_2024'!O91</f>
        <v/>
      </c>
      <c r="Q430" s="63" t="str">
        <f>'90186_2024'!P91</f>
        <v/>
      </c>
      <c r="R430" s="35" t="str">
        <f>'90186_2024'!Q91</f>
        <v>HOMOLOGADO</v>
      </c>
    </row>
    <row r="431" hidden="1">
      <c r="A431" s="77" t="s">
        <v>39</v>
      </c>
      <c r="B431" s="52">
        <f>'90186_2024'!A92</f>
        <v>20</v>
      </c>
      <c r="C431" s="52" t="str">
        <f>'90186_2024'!B92</f>
        <v>P-5-01A-DTS</v>
      </c>
      <c r="D431" s="52" t="str">
        <f>'90186_2024'!C92</f>
        <v>MICROÔNIBUS</v>
      </c>
      <c r="E431" s="52">
        <f>'90186_2024'!D92</f>
        <v>1</v>
      </c>
      <c r="F431" s="52">
        <f>'90186_2024'!E92</f>
        <v>0</v>
      </c>
      <c r="G431" s="67">
        <f>'90186_2024'!F92</f>
        <v>1</v>
      </c>
      <c r="H431" s="46">
        <f>'90186_2024'!G92</f>
        <v>660000</v>
      </c>
      <c r="I431" s="46">
        <f>'90186_2024'!H92</f>
        <v>660000</v>
      </c>
      <c r="J431" s="52" t="str">
        <f>'90186_2024'!I92</f>
        <v>CINDACTA 3</v>
      </c>
      <c r="K431" s="52" t="str">
        <f>'90186_2024'!J92</f>
        <v>MARCOPOLO/ ATTACK 9/ EXECUTIVO</v>
      </c>
      <c r="L431" s="52" t="str">
        <f>'90186_2024'!K92</f>
        <v>88.611.835/0018-77</v>
      </c>
      <c r="M431" s="52" t="str">
        <f>'90186_2024'!L92</f>
        <v>MARCOPOLO SA</v>
      </c>
      <c r="N431" s="52" t="str">
        <f>'90186_2024'!M92</f>
        <v/>
      </c>
      <c r="O431" s="52" t="str">
        <f>'90186_2024'!N92</f>
        <v/>
      </c>
      <c r="P431" s="52" t="str">
        <f>'90186_2024'!O92</f>
        <v/>
      </c>
      <c r="Q431" s="70" t="str">
        <f>'90186_2024'!P92</f>
        <v/>
      </c>
      <c r="R431" s="52" t="str">
        <f>'90186_2024'!Q92</f>
        <v>HOMOLOGADO</v>
      </c>
    </row>
    <row r="432" hidden="1">
      <c r="A432" s="79" t="s">
        <v>39</v>
      </c>
      <c r="B432" s="35">
        <f>'90186_2024'!A93</f>
        <v>20</v>
      </c>
      <c r="C432" s="35" t="str">
        <f>'90186_2024'!B93</f>
        <v>P-5-01A-DTS</v>
      </c>
      <c r="D432" s="35" t="str">
        <f>'90186_2024'!C93</f>
        <v>MICROÔNIBUS</v>
      </c>
      <c r="E432" s="35">
        <f>'90186_2024'!D93</f>
        <v>3</v>
      </c>
      <c r="F432" s="35">
        <f>'90186_2024'!E93</f>
        <v>1</v>
      </c>
      <c r="G432" s="56">
        <f>'90186_2024'!F93</f>
        <v>2</v>
      </c>
      <c r="H432" s="28">
        <f>'90186_2024'!G93</f>
        <v>660000</v>
      </c>
      <c r="I432" s="28">
        <f>'90186_2024'!H93</f>
        <v>1980000</v>
      </c>
      <c r="J432" s="35" t="str">
        <f>'90186_2024'!I93</f>
        <v>DECEA</v>
      </c>
      <c r="K432" s="35" t="str">
        <f>'90186_2024'!J93</f>
        <v>MARCOPOLO/ ATTACK 9/ EXECUTIVO</v>
      </c>
      <c r="L432" s="35" t="str">
        <f>'90186_2024'!K93</f>
        <v>88.611.835/0018-77</v>
      </c>
      <c r="M432" s="35" t="str">
        <f>'90186_2024'!L93</f>
        <v>MARCOPOLO SA</v>
      </c>
      <c r="N432" s="35" t="str">
        <f>'90186_2024'!M93</f>
        <v/>
      </c>
      <c r="O432" s="35" t="str">
        <f>'90186_2024'!N93</f>
        <v/>
      </c>
      <c r="P432" s="35" t="str">
        <f>'90186_2024'!O93</f>
        <v/>
      </c>
      <c r="Q432" s="63" t="str">
        <f>'90186_2024'!P93</f>
        <v/>
      </c>
      <c r="R432" s="35" t="str">
        <f>'90186_2024'!Q93</f>
        <v>HOMOLOGADO</v>
      </c>
    </row>
    <row r="433" hidden="1">
      <c r="A433" s="218" t="s">
        <v>39</v>
      </c>
      <c r="B433" s="324">
        <f>'90186_2024'!A94</f>
        <v>20</v>
      </c>
      <c r="C433" s="324" t="str">
        <f>'90186_2024'!B94</f>
        <v>P-5-01A-DTS</v>
      </c>
      <c r="D433" s="324" t="str">
        <f>'90186_2024'!C94</f>
        <v>MICROÔNIBUS</v>
      </c>
      <c r="E433" s="324">
        <f>'90186_2024'!D94</f>
        <v>2</v>
      </c>
      <c r="F433" s="414">
        <v>2.0</v>
      </c>
      <c r="G433" s="325">
        <v>0.0</v>
      </c>
      <c r="H433" s="223">
        <f>'90186_2024'!G94</f>
        <v>660000</v>
      </c>
      <c r="I433" s="223">
        <f>'90186_2024'!H94</f>
        <v>1320000</v>
      </c>
      <c r="J433" s="324" t="str">
        <f>'90186_2024'!I94</f>
        <v>GAP-AF</v>
      </c>
      <c r="K433" s="324" t="str">
        <f>'90186_2024'!J94</f>
        <v>MARCOPOLO/ ATTACK 9/ EXECUTIVO</v>
      </c>
      <c r="L433" s="324" t="str">
        <f>'90186_2024'!K94</f>
        <v>88.611.835/0018-77</v>
      </c>
      <c r="M433" s="324" t="str">
        <f>'90186_2024'!L94</f>
        <v>MARCOPOLO SA</v>
      </c>
      <c r="N433" s="324" t="str">
        <f>'90186_2024'!M94</f>
        <v/>
      </c>
      <c r="O433" s="324" t="str">
        <f>'90186_2024'!N94</f>
        <v/>
      </c>
      <c r="P433" s="324" t="str">
        <f>'90186_2024'!O94</f>
        <v/>
      </c>
      <c r="Q433" s="242" t="str">
        <f>'90186_2024'!P94</f>
        <v/>
      </c>
      <c r="R433" s="324" t="str">
        <f>'90186_2024'!Q94</f>
        <v>HOMOLOGADO</v>
      </c>
      <c r="S433" s="226"/>
      <c r="T433" s="226"/>
      <c r="U433" s="226"/>
      <c r="V433" s="226"/>
      <c r="W433" s="226"/>
      <c r="X433" s="226"/>
      <c r="Y433" s="226"/>
      <c r="Z433" s="226"/>
    </row>
    <row r="434" hidden="1">
      <c r="A434" s="79" t="s">
        <v>39</v>
      </c>
      <c r="B434" s="35">
        <f>'90186_2024'!A95</f>
        <v>20</v>
      </c>
      <c r="C434" s="35" t="str">
        <f>'90186_2024'!B95</f>
        <v>P-5-01A-DTS</v>
      </c>
      <c r="D434" s="35" t="str">
        <f>'90186_2024'!C95</f>
        <v>MICROÔNIBUS</v>
      </c>
      <c r="E434" s="35">
        <f>'90186_2024'!D95</f>
        <v>2</v>
      </c>
      <c r="F434" s="323">
        <f>'90186_2024'!E95</f>
        <v>1</v>
      </c>
      <c r="G434" s="56">
        <f>'90186_2024'!F95</f>
        <v>1</v>
      </c>
      <c r="H434" s="28">
        <f>'90186_2024'!G95</f>
        <v>660000</v>
      </c>
      <c r="I434" s="28">
        <f>'90186_2024'!H95</f>
        <v>1320000</v>
      </c>
      <c r="J434" s="35" t="str">
        <f>'90186_2024'!I95</f>
        <v>GAP-MN</v>
      </c>
      <c r="K434" s="35" t="str">
        <f>'90186_2024'!J95</f>
        <v>MARCOPOLO/ ATTACK 9/ EXECUTIVO</v>
      </c>
      <c r="L434" s="35" t="str">
        <f>'90186_2024'!K95</f>
        <v>88.611.835/0018-77</v>
      </c>
      <c r="M434" s="35" t="str">
        <f>'90186_2024'!L95</f>
        <v>MARCOPOLO SA</v>
      </c>
      <c r="N434" s="35" t="str">
        <f>'90186_2024'!M95</f>
        <v/>
      </c>
      <c r="O434" s="35" t="str">
        <f>'90186_2024'!N95</f>
        <v/>
      </c>
      <c r="P434" s="35" t="str">
        <f>'90186_2024'!O95</f>
        <v/>
      </c>
      <c r="Q434" s="63" t="str">
        <f>'90186_2024'!P95</f>
        <v/>
      </c>
      <c r="R434" s="35" t="str">
        <f>'90186_2024'!Q95</f>
        <v>HOMOLOGADO</v>
      </c>
    </row>
    <row r="435" hidden="1">
      <c r="A435" s="77" t="s">
        <v>39</v>
      </c>
      <c r="B435" s="52">
        <f>'90186_2024'!A96</f>
        <v>20</v>
      </c>
      <c r="C435" s="52" t="str">
        <f>'90186_2024'!B96</f>
        <v>P-5-01A-DTS</v>
      </c>
      <c r="D435" s="52" t="str">
        <f>'90186_2024'!C96</f>
        <v>MICROÔNIBUS</v>
      </c>
      <c r="E435" s="52">
        <f>'90186_2024'!D96</f>
        <v>2</v>
      </c>
      <c r="F435" s="323">
        <f>'90186_2024'!E96</f>
        <v>1</v>
      </c>
      <c r="G435" s="67">
        <f>'90186_2024'!F96</f>
        <v>1</v>
      </c>
      <c r="H435" s="46">
        <f>'90186_2024'!G96</f>
        <v>660000</v>
      </c>
      <c r="I435" s="46">
        <f>'90186_2024'!H96</f>
        <v>1320000</v>
      </c>
      <c r="J435" s="52" t="str">
        <f>'90186_2024'!I96</f>
        <v>GAP-SJ</v>
      </c>
      <c r="K435" s="52" t="str">
        <f>'90186_2024'!J96</f>
        <v>MARCOPOLO/ ATTACK 9/ EXECUTIVO</v>
      </c>
      <c r="L435" s="52" t="str">
        <f>'90186_2024'!K96</f>
        <v>88.611.835/0018-77</v>
      </c>
      <c r="M435" s="52" t="str">
        <f>'90186_2024'!L96</f>
        <v>MARCOPOLO SA</v>
      </c>
      <c r="N435" s="52" t="str">
        <f>'90186_2024'!M96</f>
        <v/>
      </c>
      <c r="O435" s="52" t="str">
        <f>'90186_2024'!N96</f>
        <v/>
      </c>
      <c r="P435" s="52" t="str">
        <f>'90186_2024'!O96</f>
        <v/>
      </c>
      <c r="Q435" s="70" t="str">
        <f>'90186_2024'!P96</f>
        <v/>
      </c>
      <c r="R435" s="52" t="str">
        <f>'90186_2024'!Q96</f>
        <v>HOMOLOGADO</v>
      </c>
    </row>
    <row r="436" hidden="1">
      <c r="A436" s="218" t="s">
        <v>39</v>
      </c>
      <c r="B436" s="324">
        <f>'90186_2024'!A97</f>
        <v>21</v>
      </c>
      <c r="C436" s="324" t="str">
        <f>'90186_2024'!B97</f>
        <v>P-10-01A-DTS</v>
      </c>
      <c r="D436" s="324" t="str">
        <f>'90186_2024'!C97</f>
        <v>MOTOCICLETA TRAIL</v>
      </c>
      <c r="E436" s="324">
        <f>'90186_2024'!D97</f>
        <v>40</v>
      </c>
      <c r="F436" s="414">
        <v>20.0</v>
      </c>
      <c r="G436" s="325">
        <v>20.0</v>
      </c>
      <c r="H436" s="223">
        <f>'90186_2024'!G97</f>
        <v>30980</v>
      </c>
      <c r="I436" s="223">
        <f>'90186_2024'!H97</f>
        <v>1239200</v>
      </c>
      <c r="J436" s="324" t="str">
        <f>'90186_2024'!I97</f>
        <v>GAP-DF</v>
      </c>
      <c r="K436" s="324" t="str">
        <f>'90186_2024'!J97</f>
        <v>SHINERAY / SHI 175s EFI</v>
      </c>
      <c r="L436" s="324" t="str">
        <f>'90186_2024'!K97</f>
        <v>17.119.079/0001-77</v>
      </c>
      <c r="M436" s="324" t="str">
        <f>'90186_2024'!L97</f>
        <v>J. MENEZES COSTA LTDA</v>
      </c>
      <c r="N436" s="324" t="str">
        <f>'90186_2024'!M97</f>
        <v/>
      </c>
      <c r="O436" s="324" t="str">
        <f>'90186_2024'!N97</f>
        <v/>
      </c>
      <c r="P436" s="324" t="str">
        <f>'90186_2024'!O97</f>
        <v/>
      </c>
      <c r="Q436" s="242" t="str">
        <f>'90186_2024'!P97</f>
        <v/>
      </c>
      <c r="R436" s="324" t="str">
        <f>'90186_2024'!Q97</f>
        <v>HOMOLOGADO</v>
      </c>
      <c r="S436" s="226"/>
      <c r="T436" s="226"/>
      <c r="U436" s="226"/>
      <c r="V436" s="226"/>
      <c r="W436" s="226"/>
      <c r="X436" s="226"/>
      <c r="Y436" s="226"/>
      <c r="Z436" s="226"/>
    </row>
    <row r="437" hidden="1">
      <c r="A437" s="77" t="s">
        <v>39</v>
      </c>
      <c r="B437" s="52">
        <f>'90186_2024'!A98</f>
        <v>22</v>
      </c>
      <c r="C437" s="52" t="str">
        <f>'90186_2024'!B98</f>
        <v>P-6-01A-DTS</v>
      </c>
      <c r="D437" s="52" t="str">
        <f>'90186_2024'!C98</f>
        <v>ÔNIBUS</v>
      </c>
      <c r="E437" s="52">
        <f>'90186_2024'!D98</f>
        <v>1</v>
      </c>
      <c r="F437" s="52">
        <f>'90186_2024'!E98</f>
        <v>0</v>
      </c>
      <c r="G437" s="67">
        <f>'90186_2024'!F98</f>
        <v>1</v>
      </c>
      <c r="H437" s="46">
        <f>'90186_2024'!G98</f>
        <v>935000</v>
      </c>
      <c r="I437" s="46">
        <f>'90186_2024'!H98</f>
        <v>935000</v>
      </c>
      <c r="J437" s="52" t="str">
        <f>'90186_2024'!I98</f>
        <v>BASC</v>
      </c>
      <c r="K437" s="52" t="str">
        <f>'90186_2024'!J98</f>
        <v>VOLKSWAGEN / ÔNIBUS  17.230/CARR. MASCARELLO GRAN VIA</v>
      </c>
      <c r="L437" s="52" t="str">
        <f>'90186_2024'!K98</f>
        <v>31.306.830/0001-75 </v>
      </c>
      <c r="M437" s="52" t="str">
        <f>'90186_2024'!L98</f>
        <v>ABOLICAO CAMINHOES E ONIBUS LTDA</v>
      </c>
      <c r="N437" s="52" t="str">
        <f>'90186_2024'!M98</f>
        <v/>
      </c>
      <c r="O437" s="52" t="str">
        <f>'90186_2024'!N98</f>
        <v/>
      </c>
      <c r="P437" s="52" t="str">
        <f>'90186_2024'!O98</f>
        <v/>
      </c>
      <c r="Q437" s="70" t="str">
        <f>'90186_2024'!P98</f>
        <v/>
      </c>
      <c r="R437" s="52" t="str">
        <f>'90186_2024'!Q98</f>
        <v>HOMOLOGADO</v>
      </c>
    </row>
    <row r="438" hidden="1">
      <c r="A438" s="79" t="s">
        <v>39</v>
      </c>
      <c r="B438" s="35">
        <f>'90186_2024'!A99</f>
        <v>22</v>
      </c>
      <c r="C438" s="35" t="str">
        <f>'90186_2024'!B99</f>
        <v>P-6-01A-DTS</v>
      </c>
      <c r="D438" s="35" t="str">
        <f>'90186_2024'!C99</f>
        <v>ÔNIBUS</v>
      </c>
      <c r="E438" s="35">
        <f>'90186_2024'!D99</f>
        <v>1</v>
      </c>
      <c r="F438" s="323">
        <f>'90186_2024'!E99</f>
        <v>1</v>
      </c>
      <c r="G438" s="56">
        <f>'90186_2024'!F99</f>
        <v>0</v>
      </c>
      <c r="H438" s="28">
        <f>'90186_2024'!G99</f>
        <v>935000</v>
      </c>
      <c r="I438" s="28">
        <f>'90186_2024'!H99</f>
        <v>935000</v>
      </c>
      <c r="J438" s="35" t="str">
        <f>'90186_2024'!I99</f>
        <v>BASM</v>
      </c>
      <c r="K438" s="35" t="str">
        <f>'90186_2024'!J99</f>
        <v>VOLKSWAGEN / ÔNIBUS  17.230/CARR. MASCARELLO GRAN VIA</v>
      </c>
      <c r="L438" s="35" t="str">
        <f>'90186_2024'!K99</f>
        <v>31.306.830/0001-75 </v>
      </c>
      <c r="M438" s="35" t="str">
        <f>'90186_2024'!L99</f>
        <v>ABOLICAO CAMINHOES E ONIBUS LTDA</v>
      </c>
      <c r="N438" s="35" t="str">
        <f>'90186_2024'!M99</f>
        <v/>
      </c>
      <c r="O438" s="35" t="str">
        <f>'90186_2024'!N99</f>
        <v/>
      </c>
      <c r="P438" s="35" t="str">
        <f>'90186_2024'!O99</f>
        <v/>
      </c>
      <c r="Q438" s="63" t="str">
        <f>'90186_2024'!P99</f>
        <v/>
      </c>
      <c r="R438" s="35" t="str">
        <f>'90186_2024'!Q99</f>
        <v>HOMOLOGADO</v>
      </c>
    </row>
    <row r="439" hidden="1">
      <c r="A439" s="77" t="s">
        <v>39</v>
      </c>
      <c r="B439" s="52">
        <f>'90186_2024'!A100</f>
        <v>22</v>
      </c>
      <c r="C439" s="52" t="str">
        <f>'90186_2024'!B100</f>
        <v>P-6-01A-DTS</v>
      </c>
      <c r="D439" s="52" t="str">
        <f>'90186_2024'!C100</f>
        <v>ÔNIBUS</v>
      </c>
      <c r="E439" s="52">
        <f>'90186_2024'!D100</f>
        <v>2</v>
      </c>
      <c r="F439" s="323">
        <f>'90186_2024'!E100</f>
        <v>2</v>
      </c>
      <c r="G439" s="67">
        <f>'90186_2024'!F100</f>
        <v>0</v>
      </c>
      <c r="H439" s="46">
        <f>'90186_2024'!G100</f>
        <v>935000</v>
      </c>
      <c r="I439" s="46">
        <f>'90186_2024'!H100</f>
        <v>1870000</v>
      </c>
      <c r="J439" s="52" t="str">
        <f>'90186_2024'!I100</f>
        <v>CINDACTA 2</v>
      </c>
      <c r="K439" s="52" t="str">
        <f>'90186_2024'!J100</f>
        <v>VOLKSWAGEN / ÔNIBUS  17.230/CARR. MASCARELLO GRAN VIA</v>
      </c>
      <c r="L439" s="52" t="str">
        <f>'90186_2024'!K100</f>
        <v>31.306.830/0001-75 </v>
      </c>
      <c r="M439" s="52" t="str">
        <f>'90186_2024'!L100</f>
        <v>ABOLICAO CAMINHOES E ONIBUS LTDA</v>
      </c>
      <c r="N439" s="52" t="str">
        <f>'90186_2024'!M100</f>
        <v/>
      </c>
      <c r="O439" s="52" t="str">
        <f>'90186_2024'!N100</f>
        <v/>
      </c>
      <c r="P439" s="52" t="str">
        <f>'90186_2024'!O100</f>
        <v/>
      </c>
      <c r="Q439" s="70" t="str">
        <f>'90186_2024'!P100</f>
        <v/>
      </c>
      <c r="R439" s="52" t="str">
        <f>'90186_2024'!Q100</f>
        <v>HOMOLOGADO</v>
      </c>
    </row>
    <row r="440" hidden="1">
      <c r="A440" s="79" t="s">
        <v>39</v>
      </c>
      <c r="B440" s="35">
        <f>'90186_2024'!A101</f>
        <v>22</v>
      </c>
      <c r="C440" s="35" t="str">
        <f>'90186_2024'!B101</f>
        <v>P-6-01A-DTS</v>
      </c>
      <c r="D440" s="35" t="str">
        <f>'90186_2024'!C101</f>
        <v>ÔNIBUS</v>
      </c>
      <c r="E440" s="35">
        <f>'90186_2024'!D101</f>
        <v>1</v>
      </c>
      <c r="F440" s="321">
        <f>'90186_2024'!E101</f>
        <v>1</v>
      </c>
      <c r="G440" s="56">
        <f>'90186_2024'!F101</f>
        <v>0</v>
      </c>
      <c r="H440" s="28">
        <f>'90186_2024'!G101</f>
        <v>935000</v>
      </c>
      <c r="I440" s="28">
        <f>'90186_2024'!H101</f>
        <v>935000</v>
      </c>
      <c r="J440" s="35" t="str">
        <f>'90186_2024'!I101</f>
        <v>CRCEA-SE</v>
      </c>
      <c r="K440" s="35" t="str">
        <f>'90186_2024'!J101</f>
        <v>VOLKSWAGEN / ÔNIBUS  17.230/CARR. MASCARELLO GRAN VIA</v>
      </c>
      <c r="L440" s="35" t="str">
        <f>'90186_2024'!K101</f>
        <v>31.306.830/0001-75 </v>
      </c>
      <c r="M440" s="35" t="str">
        <f>'90186_2024'!L101</f>
        <v>ABOLICAO CAMINHOES E ONIBUS LTDA</v>
      </c>
      <c r="N440" s="35" t="str">
        <f>'90186_2024'!M101</f>
        <v/>
      </c>
      <c r="O440" s="35" t="str">
        <f>'90186_2024'!N101</f>
        <v/>
      </c>
      <c r="P440" s="35" t="str">
        <f>'90186_2024'!O101</f>
        <v/>
      </c>
      <c r="Q440" s="63" t="str">
        <f>'90186_2024'!P101</f>
        <v/>
      </c>
      <c r="R440" s="35" t="str">
        <f>'90186_2024'!Q101</f>
        <v>HOMOLOGADO</v>
      </c>
    </row>
    <row r="441" hidden="1">
      <c r="A441" s="77" t="s">
        <v>39</v>
      </c>
      <c r="B441" s="52">
        <f>'90186_2024'!A102</f>
        <v>22</v>
      </c>
      <c r="C441" s="52" t="str">
        <f>'90186_2024'!B102</f>
        <v>P-6-01A-DTS</v>
      </c>
      <c r="D441" s="52" t="str">
        <f>'90186_2024'!C102</f>
        <v>ÔNIBUS</v>
      </c>
      <c r="E441" s="52">
        <f>'90186_2024'!D102</f>
        <v>4</v>
      </c>
      <c r="F441" s="321">
        <f>'90186_2024'!E102</f>
        <v>4</v>
      </c>
      <c r="G441" s="67">
        <f>'90186_2024'!F102</f>
        <v>0</v>
      </c>
      <c r="H441" s="46">
        <f>'90186_2024'!G102</f>
        <v>935000</v>
      </c>
      <c r="I441" s="46">
        <f>'90186_2024'!H102</f>
        <v>3740000</v>
      </c>
      <c r="J441" s="52" t="str">
        <f>'90186_2024'!I102</f>
        <v>DECEA</v>
      </c>
      <c r="K441" s="52" t="str">
        <f>'90186_2024'!J102</f>
        <v>VOLKSWAGEN / ÔNIBUS  17.230/CARR. MASCARELLO GRAN VIA</v>
      </c>
      <c r="L441" s="52" t="str">
        <f>'90186_2024'!K102</f>
        <v>31.306.830/0001-75 </v>
      </c>
      <c r="M441" s="52" t="str">
        <f>'90186_2024'!L102</f>
        <v>ABOLICAO CAMINHOES E ONIBUS LTDA</v>
      </c>
      <c r="N441" s="52" t="str">
        <f>'90186_2024'!M102</f>
        <v/>
      </c>
      <c r="O441" s="52" t="str">
        <f>'90186_2024'!N102</f>
        <v/>
      </c>
      <c r="P441" s="52" t="str">
        <f>'90186_2024'!O102</f>
        <v/>
      </c>
      <c r="Q441" s="70" t="str">
        <f>'90186_2024'!P102</f>
        <v/>
      </c>
      <c r="R441" s="52" t="str">
        <f>'90186_2024'!Q102</f>
        <v>HOMOLOGADO</v>
      </c>
    </row>
    <row r="442" hidden="1">
      <c r="A442" s="79" t="s">
        <v>39</v>
      </c>
      <c r="B442" s="35">
        <f>'90186_2024'!A103</f>
        <v>22</v>
      </c>
      <c r="C442" s="35" t="str">
        <f>'90186_2024'!B103</f>
        <v>P-6-01A-DTS</v>
      </c>
      <c r="D442" s="35" t="str">
        <f>'90186_2024'!C103</f>
        <v>ÔNIBUS</v>
      </c>
      <c r="E442" s="35">
        <f>'90186_2024'!D103</f>
        <v>1</v>
      </c>
      <c r="F442" s="35">
        <f>'90186_2024'!E103</f>
        <v>0</v>
      </c>
      <c r="G442" s="56">
        <f>'90186_2024'!F103</f>
        <v>1</v>
      </c>
      <c r="H442" s="28">
        <f>'90186_2024'!G103</f>
        <v>935000</v>
      </c>
      <c r="I442" s="28">
        <f>'90186_2024'!H103</f>
        <v>935000</v>
      </c>
      <c r="J442" s="35" t="str">
        <f>'90186_2024'!I103</f>
        <v>EEAR</v>
      </c>
      <c r="K442" s="35" t="str">
        <f>'90186_2024'!J103</f>
        <v>VOLKSWAGEN / ÔNIBUS  17.230/CARR. MASCARELLO GRAN VIA</v>
      </c>
      <c r="L442" s="35" t="str">
        <f>'90186_2024'!K103</f>
        <v>31.306.830/0001-75 </v>
      </c>
      <c r="M442" s="35" t="str">
        <f>'90186_2024'!L103</f>
        <v>ABOLICAO CAMINHOES E ONIBUS LTDA</v>
      </c>
      <c r="N442" s="35" t="str">
        <f>'90186_2024'!M103</f>
        <v/>
      </c>
      <c r="O442" s="35" t="str">
        <f>'90186_2024'!N103</f>
        <v/>
      </c>
      <c r="P442" s="35" t="str">
        <f>'90186_2024'!O103</f>
        <v/>
      </c>
      <c r="Q442" s="63" t="str">
        <f>'90186_2024'!P103</f>
        <v/>
      </c>
      <c r="R442" s="35" t="str">
        <f>'90186_2024'!Q103</f>
        <v>HOMOLOGADO</v>
      </c>
    </row>
    <row r="443" hidden="1">
      <c r="A443" s="218" t="s">
        <v>39</v>
      </c>
      <c r="B443" s="324">
        <f>'90186_2024'!A104</f>
        <v>22</v>
      </c>
      <c r="C443" s="324" t="str">
        <f>'90186_2024'!B104</f>
        <v>P-6-01A-DTS</v>
      </c>
      <c r="D443" s="324" t="str">
        <f>'90186_2024'!C104</f>
        <v>ÔNIBUS</v>
      </c>
      <c r="E443" s="324">
        <f>'90186_2024'!D104</f>
        <v>1</v>
      </c>
      <c r="F443" s="414">
        <v>1.0</v>
      </c>
      <c r="G443" s="325">
        <v>0.0</v>
      </c>
      <c r="H443" s="223">
        <f>'90186_2024'!G104</f>
        <v>935000</v>
      </c>
      <c r="I443" s="223">
        <f>'90186_2024'!H104</f>
        <v>935000</v>
      </c>
      <c r="J443" s="324" t="str">
        <f>'90186_2024'!I104</f>
        <v>GAP-BR</v>
      </c>
      <c r="K443" s="324" t="str">
        <f>'90186_2024'!J104</f>
        <v>VOLKSWAGEN / ÔNIBUS  17.230/CARR. MASCARELLO GRAN VIA</v>
      </c>
      <c r="L443" s="324" t="str">
        <f>'90186_2024'!K104</f>
        <v>31.306.830/0001-75 </v>
      </c>
      <c r="M443" s="324" t="str">
        <f>'90186_2024'!L104</f>
        <v>ABOLICAO CAMINHOES E ONIBUS LTDA</v>
      </c>
      <c r="N443" s="324" t="str">
        <f>'90186_2024'!M104</f>
        <v/>
      </c>
      <c r="O443" s="324" t="str">
        <f>'90186_2024'!N104</f>
        <v/>
      </c>
      <c r="P443" s="324" t="str">
        <f>'90186_2024'!O104</f>
        <v/>
      </c>
      <c r="Q443" s="242" t="str">
        <f>'90186_2024'!P104</f>
        <v/>
      </c>
      <c r="R443" s="324" t="str">
        <f>'90186_2024'!Q104</f>
        <v>HOMOLOGADO</v>
      </c>
      <c r="S443" s="226"/>
      <c r="T443" s="226"/>
      <c r="U443" s="226"/>
      <c r="V443" s="226"/>
      <c r="W443" s="226"/>
      <c r="X443" s="226"/>
      <c r="Y443" s="226"/>
      <c r="Z443" s="226"/>
    </row>
    <row r="444" hidden="1">
      <c r="A444" s="218" t="s">
        <v>39</v>
      </c>
      <c r="B444" s="324">
        <f>'90186_2024'!A105</f>
        <v>22</v>
      </c>
      <c r="C444" s="324" t="str">
        <f>'90186_2024'!B105</f>
        <v>P-6-01A-DTS</v>
      </c>
      <c r="D444" s="324" t="str">
        <f>'90186_2024'!C105</f>
        <v>ÔNIBUS</v>
      </c>
      <c r="E444" s="324">
        <f>'90186_2024'!D105</f>
        <v>2</v>
      </c>
      <c r="F444" s="414">
        <v>2.0</v>
      </c>
      <c r="G444" s="325">
        <v>0.0</v>
      </c>
      <c r="H444" s="223">
        <f>'90186_2024'!G105</f>
        <v>935000</v>
      </c>
      <c r="I444" s="223">
        <f>'90186_2024'!H105</f>
        <v>1870000</v>
      </c>
      <c r="J444" s="324" t="str">
        <f>'90186_2024'!I105</f>
        <v>GAP-GL</v>
      </c>
      <c r="K444" s="324" t="str">
        <f>'90186_2024'!J105</f>
        <v>VOLKSWAGEN / ÔNIBUS  17.230/CARR. MASCARELLO GRAN VIA</v>
      </c>
      <c r="L444" s="324" t="str">
        <f>'90186_2024'!K105</f>
        <v>31.306.830/0001-75 </v>
      </c>
      <c r="M444" s="324" t="str">
        <f>'90186_2024'!L105</f>
        <v>ABOLICAO CAMINHOES E ONIBUS LTDA</v>
      </c>
      <c r="N444" s="324" t="str">
        <f>'90186_2024'!M105</f>
        <v/>
      </c>
      <c r="O444" s="324" t="str">
        <f>'90186_2024'!N105</f>
        <v/>
      </c>
      <c r="P444" s="324" t="str">
        <f>'90186_2024'!O105</f>
        <v/>
      </c>
      <c r="Q444" s="242" t="str">
        <f>'90186_2024'!P105</f>
        <v/>
      </c>
      <c r="R444" s="324" t="str">
        <f>'90186_2024'!Q105</f>
        <v>HOMOLOGADO</v>
      </c>
      <c r="S444" s="226"/>
      <c r="T444" s="226"/>
      <c r="U444" s="226"/>
      <c r="V444" s="226"/>
      <c r="W444" s="226"/>
      <c r="X444" s="226"/>
      <c r="Y444" s="226"/>
      <c r="Z444" s="226"/>
    </row>
    <row r="445" hidden="1">
      <c r="A445" s="77" t="s">
        <v>39</v>
      </c>
      <c r="B445" s="52">
        <f>'90186_2024'!A106</f>
        <v>22</v>
      </c>
      <c r="C445" s="52" t="str">
        <f>'90186_2024'!B106</f>
        <v>P-6-01A-DTS</v>
      </c>
      <c r="D445" s="52" t="str">
        <f>'90186_2024'!C106</f>
        <v>ÔNIBUS</v>
      </c>
      <c r="E445" s="52">
        <f>'90186_2024'!D106</f>
        <v>2</v>
      </c>
      <c r="F445" s="52">
        <f>'90186_2024'!E106</f>
        <v>0</v>
      </c>
      <c r="G445" s="67">
        <f>'90186_2024'!F106</f>
        <v>2</v>
      </c>
      <c r="H445" s="46">
        <f>'90186_2024'!G106</f>
        <v>935000</v>
      </c>
      <c r="I445" s="46">
        <f>'90186_2024'!H106</f>
        <v>1870000</v>
      </c>
      <c r="J445" s="52" t="str">
        <f>'90186_2024'!I106</f>
        <v>ICEA</v>
      </c>
      <c r="K445" s="52" t="str">
        <f>'90186_2024'!J106</f>
        <v>VOLKSWAGEN / ÔNIBUS  17.230/CARR. MASCARELLO GRAN VIA</v>
      </c>
      <c r="L445" s="52" t="str">
        <f>'90186_2024'!K106</f>
        <v>31.306.830/0001-75 </v>
      </c>
      <c r="M445" s="52" t="str">
        <f>'90186_2024'!L106</f>
        <v>ABOLICAO CAMINHOES E ONIBUS LTDA</v>
      </c>
      <c r="N445" s="52" t="str">
        <f>'90186_2024'!M106</f>
        <v/>
      </c>
      <c r="O445" s="52" t="str">
        <f>'90186_2024'!N106</f>
        <v/>
      </c>
      <c r="P445" s="52" t="str">
        <f>'90186_2024'!O106</f>
        <v/>
      </c>
      <c r="Q445" s="70" t="str">
        <f>'90186_2024'!P106</f>
        <v/>
      </c>
      <c r="R445" s="52" t="str">
        <f>'90186_2024'!Q106</f>
        <v>HOMOLOGADO</v>
      </c>
    </row>
    <row r="446" hidden="1">
      <c r="A446" s="79" t="s">
        <v>39</v>
      </c>
      <c r="B446" s="35">
        <f>'90186_2024'!A107</f>
        <v>23</v>
      </c>
      <c r="C446" s="35" t="str">
        <f>'90186_2024'!B107</f>
        <v>P-18-01A-DTS</v>
      </c>
      <c r="D446" s="35" t="str">
        <f>'90186_2024'!C107</f>
        <v>ÔNIBUS MILITARIZADO</v>
      </c>
      <c r="E446" s="35">
        <f>'90186_2024'!D107</f>
        <v>1</v>
      </c>
      <c r="F446" s="35">
        <f>'90186_2024'!E107</f>
        <v>0</v>
      </c>
      <c r="G446" s="56">
        <f>'90186_2024'!F107</f>
        <v>1</v>
      </c>
      <c r="H446" s="28">
        <f>'90186_2024'!G107</f>
        <v>1664000</v>
      </c>
      <c r="I446" s="28">
        <f>'90186_2024'!H107</f>
        <v>1664000</v>
      </c>
      <c r="J446" s="35" t="str">
        <f>'90186_2024'!I107</f>
        <v>GAP-DF</v>
      </c>
      <c r="K446" s="35" t="str">
        <f>'90186_2024'!J107</f>
        <v>VW /CHASSI</v>
      </c>
      <c r="L446" s="35" t="str">
        <f>'90186_2024'!K107</f>
        <v>51.552.005/0001-68 </v>
      </c>
      <c r="M446" s="35" t="str">
        <f>'90186_2024'!L107</f>
        <v>NOVO HORIZONTE COMERCIO E SERVICOS LTDA FRACASSADO</v>
      </c>
      <c r="N446" s="35" t="str">
        <f>'90186_2024'!M107</f>
        <v/>
      </c>
      <c r="O446" s="35" t="str">
        <f>'90186_2024'!N107</f>
        <v/>
      </c>
      <c r="P446" s="35" t="str">
        <f>'90186_2024'!O107</f>
        <v/>
      </c>
      <c r="Q446" s="63">
        <f>'90186_2024'!P107</f>
        <v>45975</v>
      </c>
      <c r="R446" s="35" t="str">
        <f>'90186_2024'!Q107</f>
        <v>HOMOLOGADO</v>
      </c>
    </row>
    <row r="447" hidden="1">
      <c r="A447" s="218" t="s">
        <v>39</v>
      </c>
      <c r="B447" s="324">
        <f>'90186_2024'!A108</f>
        <v>24</v>
      </c>
      <c r="C447" s="324" t="str">
        <f>'90186_2024'!B108</f>
        <v>P-11-01A-DTS</v>
      </c>
      <c r="D447" s="324" t="str">
        <f>'90186_2024'!C108</f>
        <v>PICK UP CABINE DUPLA</v>
      </c>
      <c r="E447" s="324">
        <f>'90186_2024'!D108</f>
        <v>2</v>
      </c>
      <c r="F447" s="228">
        <v>2.0</v>
      </c>
      <c r="G447" s="325">
        <v>0.0</v>
      </c>
      <c r="H447" s="223">
        <f>'90186_2024'!G108</f>
        <v>208646</v>
      </c>
      <c r="I447" s="223">
        <f>'90186_2024'!H108</f>
        <v>417292</v>
      </c>
      <c r="J447" s="324" t="str">
        <f>'90186_2024'!I108</f>
        <v>BANT</v>
      </c>
      <c r="K447" s="324" t="str">
        <f>'90186_2024'!J108</f>
        <v>FIAT/ TITANO</v>
      </c>
      <c r="L447" s="324" t="str">
        <f>'90186_2024'!K108</f>
        <v>16.701.716/0001-56 </v>
      </c>
      <c r="M447" s="324" t="str">
        <f>'90186_2024'!L108</f>
        <v>FCA FIAT CHRYSLER AUTOMOVEIS BRASIL LTDA</v>
      </c>
      <c r="N447" s="324" t="str">
        <f>'90186_2024'!M108</f>
        <v/>
      </c>
      <c r="O447" s="324" t="str">
        <f>'90186_2024'!N108</f>
        <v/>
      </c>
      <c r="P447" s="324" t="str">
        <f>'90186_2024'!O108</f>
        <v/>
      </c>
      <c r="Q447" s="242" t="str">
        <f>'90186_2024'!P108</f>
        <v/>
      </c>
      <c r="R447" s="324" t="str">
        <f>'90186_2024'!Q108</f>
        <v>HOMOLOGADO</v>
      </c>
      <c r="S447" s="226"/>
      <c r="T447" s="226"/>
      <c r="U447" s="226"/>
      <c r="V447" s="226"/>
      <c r="W447" s="226"/>
      <c r="X447" s="226"/>
      <c r="Y447" s="226"/>
      <c r="Z447" s="226"/>
    </row>
    <row r="448" hidden="1">
      <c r="A448" s="79" t="s">
        <v>39</v>
      </c>
      <c r="B448" s="35">
        <f>'90186_2024'!A109</f>
        <v>24</v>
      </c>
      <c r="C448" s="35" t="str">
        <f>'90186_2024'!B109</f>
        <v>P-11-01A-DTS</v>
      </c>
      <c r="D448" s="35" t="str">
        <f>'90186_2024'!C109</f>
        <v>PICK UP CABINE DUPLA</v>
      </c>
      <c r="E448" s="35">
        <f>'90186_2024'!D109</f>
        <v>2</v>
      </c>
      <c r="F448" s="323">
        <f>'90186_2024'!E109</f>
        <v>2</v>
      </c>
      <c r="G448" s="56">
        <f>'90186_2024'!F109</f>
        <v>0</v>
      </c>
      <c r="H448" s="28">
        <f>'90186_2024'!G109</f>
        <v>208646</v>
      </c>
      <c r="I448" s="28">
        <f>'90186_2024'!H109</f>
        <v>417292</v>
      </c>
      <c r="J448" s="35" t="str">
        <f>'90186_2024'!I109</f>
        <v>CINDACTA 2</v>
      </c>
      <c r="K448" s="35" t="str">
        <f>'90186_2024'!J109</f>
        <v>FIAT/ TITANO</v>
      </c>
      <c r="L448" s="35" t="str">
        <f>'90186_2024'!K109</f>
        <v>16.701.716/0001-56 </v>
      </c>
      <c r="M448" s="35" t="str">
        <f>'90186_2024'!L109</f>
        <v>FCA FIAT CHRYSLER AUTOMOVEIS BRASIL LTDA</v>
      </c>
      <c r="N448" s="35" t="str">
        <f>'90186_2024'!M109</f>
        <v/>
      </c>
      <c r="O448" s="35" t="str">
        <f>'90186_2024'!N109</f>
        <v/>
      </c>
      <c r="P448" s="35" t="str">
        <f>'90186_2024'!O109</f>
        <v/>
      </c>
      <c r="Q448" s="63" t="str">
        <f>'90186_2024'!P109</f>
        <v/>
      </c>
      <c r="R448" s="35" t="str">
        <f>'90186_2024'!Q109</f>
        <v>HOMOLOGADO</v>
      </c>
    </row>
    <row r="449" hidden="1">
      <c r="A449" s="77" t="s">
        <v>39</v>
      </c>
      <c r="B449" s="52">
        <f>'90186_2024'!A110</f>
        <v>24</v>
      </c>
      <c r="C449" s="52" t="str">
        <f>'90186_2024'!B110</f>
        <v>P-11-01A-DTS</v>
      </c>
      <c r="D449" s="52" t="str">
        <f>'90186_2024'!C110</f>
        <v>PICK UP CABINE DUPLA</v>
      </c>
      <c r="E449" s="52">
        <f>'90186_2024'!D110</f>
        <v>10</v>
      </c>
      <c r="F449" s="321">
        <f>'90186_2024'!E110</f>
        <v>10</v>
      </c>
      <c r="G449" s="67">
        <f>'90186_2024'!F110</f>
        <v>0</v>
      </c>
      <c r="H449" s="46">
        <f>'90186_2024'!G110</f>
        <v>208646</v>
      </c>
      <c r="I449" s="46">
        <f>'90186_2024'!H110</f>
        <v>2086460</v>
      </c>
      <c r="J449" s="52" t="str">
        <f>'90186_2024'!I110</f>
        <v>CINDACTA 3</v>
      </c>
      <c r="K449" s="52" t="str">
        <f>'90186_2024'!J110</f>
        <v>FIAT/ TITANO</v>
      </c>
      <c r="L449" s="52" t="str">
        <f>'90186_2024'!K110</f>
        <v>16.701.716/0001-56 </v>
      </c>
      <c r="M449" s="52" t="str">
        <f>'90186_2024'!L110</f>
        <v>FCA FIAT CHRYSLER AUTOMOVEIS BRASIL LTDA</v>
      </c>
      <c r="N449" s="52" t="str">
        <f>'90186_2024'!M110</f>
        <v/>
      </c>
      <c r="O449" s="52" t="str">
        <f>'90186_2024'!N110</f>
        <v/>
      </c>
      <c r="P449" s="52" t="str">
        <f>'90186_2024'!O110</f>
        <v/>
      </c>
      <c r="Q449" s="70" t="str">
        <f>'90186_2024'!P110</f>
        <v/>
      </c>
      <c r="R449" s="52" t="str">
        <f>'90186_2024'!Q110</f>
        <v>HOMOLOGADO</v>
      </c>
    </row>
    <row r="450" hidden="1">
      <c r="A450" s="79" t="s">
        <v>39</v>
      </c>
      <c r="B450" s="35">
        <f>'90186_2024'!A111</f>
        <v>24</v>
      </c>
      <c r="C450" s="35" t="str">
        <f>'90186_2024'!B111</f>
        <v>P-11-01A-DTS</v>
      </c>
      <c r="D450" s="35" t="str">
        <f>'90186_2024'!C111</f>
        <v>PICK UP CABINE DUPLA</v>
      </c>
      <c r="E450" s="35">
        <f>'90186_2024'!D111</f>
        <v>5</v>
      </c>
      <c r="F450" s="321">
        <f>'90186_2024'!E111</f>
        <v>5</v>
      </c>
      <c r="G450" s="56">
        <f>'90186_2024'!F111</f>
        <v>0</v>
      </c>
      <c r="H450" s="28">
        <f>'90186_2024'!G111</f>
        <v>208646</v>
      </c>
      <c r="I450" s="28">
        <f>'90186_2024'!H111</f>
        <v>1043230</v>
      </c>
      <c r="J450" s="35" t="str">
        <f>'90186_2024'!I111</f>
        <v>CINDACTA 4</v>
      </c>
      <c r="K450" s="35" t="str">
        <f>'90186_2024'!J111</f>
        <v>FIAT/ TITANO</v>
      </c>
      <c r="L450" s="35" t="str">
        <f>'90186_2024'!K111</f>
        <v>16.701.716/0001-56 </v>
      </c>
      <c r="M450" s="35" t="str">
        <f>'90186_2024'!L111</f>
        <v>FCA FIAT CHRYSLER AUTOMOVEIS BRASIL LTDA</v>
      </c>
      <c r="N450" s="35" t="str">
        <f>'90186_2024'!M111</f>
        <v/>
      </c>
      <c r="O450" s="35" t="str">
        <f>'90186_2024'!N111</f>
        <v/>
      </c>
      <c r="P450" s="35" t="str">
        <f>'90186_2024'!O111</f>
        <v/>
      </c>
      <c r="Q450" s="63" t="str">
        <f>'90186_2024'!P111</f>
        <v/>
      </c>
      <c r="R450" s="35" t="str">
        <f>'90186_2024'!Q111</f>
        <v>HOMOLOGADO</v>
      </c>
    </row>
    <row r="451" hidden="1">
      <c r="A451" s="77" t="s">
        <v>39</v>
      </c>
      <c r="B451" s="52">
        <f>'90186_2024'!A112</f>
        <v>24</v>
      </c>
      <c r="C451" s="52" t="str">
        <f>'90186_2024'!B112</f>
        <v>P-11-01A-DTS</v>
      </c>
      <c r="D451" s="52" t="str">
        <f>'90186_2024'!C112</f>
        <v>PICK UP CABINE DUPLA</v>
      </c>
      <c r="E451" s="52">
        <f>'90186_2024'!D112</f>
        <v>6</v>
      </c>
      <c r="F451" s="321">
        <f>'90186_2024'!E112</f>
        <v>6</v>
      </c>
      <c r="G451" s="67">
        <f>'90186_2024'!F112</f>
        <v>0</v>
      </c>
      <c r="H451" s="46">
        <f>'90186_2024'!G112</f>
        <v>208646</v>
      </c>
      <c r="I451" s="46">
        <f>'90186_2024'!H112</f>
        <v>1251876</v>
      </c>
      <c r="J451" s="52" t="str">
        <f>'90186_2024'!I112</f>
        <v>CRCEA-SE</v>
      </c>
      <c r="K451" s="52" t="str">
        <f>'90186_2024'!J112</f>
        <v>FIAT/ TITANO</v>
      </c>
      <c r="L451" s="52" t="str">
        <f>'90186_2024'!K112</f>
        <v>16.701.716/0001-56 </v>
      </c>
      <c r="M451" s="52" t="str">
        <f>'90186_2024'!L112</f>
        <v>FCA FIAT CHRYSLER AUTOMOVEIS BRASIL LTDA</v>
      </c>
      <c r="N451" s="52" t="str">
        <f>'90186_2024'!M112</f>
        <v/>
      </c>
      <c r="O451" s="52" t="str">
        <f>'90186_2024'!N112</f>
        <v/>
      </c>
      <c r="P451" s="52" t="str">
        <f>'90186_2024'!O112</f>
        <v/>
      </c>
      <c r="Q451" s="70" t="str">
        <f>'90186_2024'!P112</f>
        <v/>
      </c>
      <c r="R451" s="52" t="str">
        <f>'90186_2024'!Q112</f>
        <v>HOMOLOGADO</v>
      </c>
    </row>
    <row r="452" hidden="1">
      <c r="A452" s="79" t="s">
        <v>39</v>
      </c>
      <c r="B452" s="35">
        <f>'90186_2024'!A113</f>
        <v>24</v>
      </c>
      <c r="C452" s="35" t="str">
        <f>'90186_2024'!B113</f>
        <v>P-11-01A-DTS</v>
      </c>
      <c r="D452" s="35" t="str">
        <f>'90186_2024'!C113</f>
        <v>PICK UP CABINE DUPLA</v>
      </c>
      <c r="E452" s="35">
        <f>'90186_2024'!D113</f>
        <v>6</v>
      </c>
      <c r="F452" s="321">
        <f>'90186_2024'!E113</f>
        <v>6</v>
      </c>
      <c r="G452" s="56">
        <f>'90186_2024'!F113</f>
        <v>0</v>
      </c>
      <c r="H452" s="28">
        <f>'90186_2024'!G113</f>
        <v>208646</v>
      </c>
      <c r="I452" s="28">
        <f>'90186_2024'!H113</f>
        <v>1251876</v>
      </c>
      <c r="J452" s="35" t="str">
        <f>'90186_2024'!I113</f>
        <v>DECEA</v>
      </c>
      <c r="K452" s="35" t="str">
        <f>'90186_2024'!J113</f>
        <v>FIAT/ TITANO</v>
      </c>
      <c r="L452" s="35" t="str">
        <f>'90186_2024'!K113</f>
        <v>16.701.716/0001-56 </v>
      </c>
      <c r="M452" s="35" t="str">
        <f>'90186_2024'!L113</f>
        <v>FCA FIAT CHRYSLER AUTOMOVEIS BRASIL LTDA</v>
      </c>
      <c r="N452" s="35" t="str">
        <f>'90186_2024'!M113</f>
        <v/>
      </c>
      <c r="O452" s="35" t="str">
        <f>'90186_2024'!N113</f>
        <v/>
      </c>
      <c r="P452" s="35" t="str">
        <f>'90186_2024'!O113</f>
        <v/>
      </c>
      <c r="Q452" s="63" t="str">
        <f>'90186_2024'!P113</f>
        <v/>
      </c>
      <c r="R452" s="35" t="str">
        <f>'90186_2024'!Q113</f>
        <v>HOMOLOGADO</v>
      </c>
    </row>
    <row r="453" hidden="1">
      <c r="A453" s="77" t="s">
        <v>39</v>
      </c>
      <c r="B453" s="52">
        <f>'90186_2024'!A114</f>
        <v>24</v>
      </c>
      <c r="C453" s="52" t="str">
        <f>'90186_2024'!B114</f>
        <v>P-11-01A-DTS</v>
      </c>
      <c r="D453" s="52" t="str">
        <f>'90186_2024'!C114</f>
        <v>PICK UP CABINE DUPLA</v>
      </c>
      <c r="E453" s="52">
        <f>'90186_2024'!D114</f>
        <v>2</v>
      </c>
      <c r="F453" s="321">
        <f>'90186_2024'!E114</f>
        <v>2</v>
      </c>
      <c r="G453" s="67">
        <f>'90186_2024'!F114</f>
        <v>0</v>
      </c>
      <c r="H453" s="46">
        <f>'90186_2024'!G114</f>
        <v>208646</v>
      </c>
      <c r="I453" s="46">
        <f>'90186_2024'!H114</f>
        <v>417292</v>
      </c>
      <c r="J453" s="52" t="str">
        <f>'90186_2024'!I114</f>
        <v>CISCEA</v>
      </c>
      <c r="K453" s="52" t="str">
        <f>'90186_2024'!J114</f>
        <v>FIAT/ TITANO</v>
      </c>
      <c r="L453" s="52" t="str">
        <f>'90186_2024'!K114</f>
        <v>16.701.716/0001-56 </v>
      </c>
      <c r="M453" s="52" t="str">
        <f>'90186_2024'!L114</f>
        <v>FCA FIAT CHRYSLER AUTOMOVEIS BRASIL LTDA</v>
      </c>
      <c r="N453" s="52" t="str">
        <f>'90186_2024'!M114</f>
        <v/>
      </c>
      <c r="O453" s="52" t="str">
        <f>'90186_2024'!N114</f>
        <v/>
      </c>
      <c r="P453" s="52" t="str">
        <f>'90186_2024'!O114</f>
        <v/>
      </c>
      <c r="Q453" s="70" t="str">
        <f>'90186_2024'!P114</f>
        <v/>
      </c>
      <c r="R453" s="52" t="str">
        <f>'90186_2024'!Q114</f>
        <v>HOMOLOGADO</v>
      </c>
    </row>
    <row r="454" hidden="1">
      <c r="A454" s="218" t="s">
        <v>39</v>
      </c>
      <c r="B454" s="324">
        <f>'90186_2024'!A115</f>
        <v>24</v>
      </c>
      <c r="C454" s="324" t="str">
        <f>'90186_2024'!B115</f>
        <v>P-11-01A-DTS</v>
      </c>
      <c r="D454" s="324" t="str">
        <f>'90186_2024'!C115</f>
        <v>PICK UP CABINE DUPLA</v>
      </c>
      <c r="E454" s="324">
        <f>'90186_2024'!D115</f>
        <v>1</v>
      </c>
      <c r="F454" s="414">
        <v>1.0</v>
      </c>
      <c r="G454" s="325">
        <v>0.0</v>
      </c>
      <c r="H454" s="223">
        <f>'90186_2024'!G115</f>
        <v>208646</v>
      </c>
      <c r="I454" s="223">
        <f>'90186_2024'!H115</f>
        <v>208646</v>
      </c>
      <c r="J454" s="324" t="str">
        <f>'90186_2024'!I115</f>
        <v>ICEA</v>
      </c>
      <c r="K454" s="324" t="str">
        <f>'90186_2024'!J115</f>
        <v>FIAT/ TITANO</v>
      </c>
      <c r="L454" s="324" t="str">
        <f>'90186_2024'!K115</f>
        <v>16.701.716/0001-56 </v>
      </c>
      <c r="M454" s="324" t="str">
        <f>'90186_2024'!L115</f>
        <v>FCA FIAT CHRYSLER AUTOMOVEIS BRASIL LTDA</v>
      </c>
      <c r="N454" s="324" t="str">
        <f>'90186_2024'!M115</f>
        <v/>
      </c>
      <c r="O454" s="324" t="str">
        <f>'90186_2024'!N115</f>
        <v/>
      </c>
      <c r="P454" s="324" t="str">
        <f>'90186_2024'!O115</f>
        <v/>
      </c>
      <c r="Q454" s="242" t="str">
        <f>'90186_2024'!P115</f>
        <v/>
      </c>
      <c r="R454" s="324" t="str">
        <f>'90186_2024'!Q115</f>
        <v>HOMOLOGADO</v>
      </c>
      <c r="S454" s="226"/>
      <c r="T454" s="226"/>
      <c r="U454" s="226"/>
      <c r="V454" s="226"/>
      <c r="W454" s="226"/>
      <c r="X454" s="226"/>
      <c r="Y454" s="226"/>
      <c r="Z454" s="226"/>
    </row>
    <row r="455" hidden="1">
      <c r="A455" s="77" t="s">
        <v>39</v>
      </c>
      <c r="B455" s="52">
        <f>'90186_2024'!A116</f>
        <v>25</v>
      </c>
      <c r="C455" s="52" t="str">
        <f>'90186_2024'!B116</f>
        <v>C-6-01A-DTS</v>
      </c>
      <c r="D455" s="52" t="str">
        <f>'90186_2024'!C116</f>
        <v>PICK UP CABINE SIMPLES</v>
      </c>
      <c r="E455" s="52">
        <f>'90186_2024'!D116</f>
        <v>3</v>
      </c>
      <c r="F455" s="321">
        <f>'90186_2024'!E116</f>
        <v>3</v>
      </c>
      <c r="G455" s="67">
        <f>'90186_2024'!F116</f>
        <v>0</v>
      </c>
      <c r="H455" s="46">
        <f>'90186_2024'!G116</f>
        <v>126880</v>
      </c>
      <c r="I455" s="46">
        <f>'90186_2024'!H116</f>
        <v>380640</v>
      </c>
      <c r="J455" s="52" t="str">
        <f>'90186_2024'!I116</f>
        <v>CINDACTA3</v>
      </c>
      <c r="K455" s="52" t="str">
        <f>'90186_2024'!J116</f>
        <v>FIAT / STRADA CS</v>
      </c>
      <c r="L455" s="52" t="str">
        <f>'90186_2024'!K116</f>
        <v>50.325.167/0001-09 </v>
      </c>
      <c r="M455" s="52" t="str">
        <f>'90186_2024'!L116</f>
        <v>X CAR VEICULOS LTDA FRACASSADO</v>
      </c>
      <c r="N455" s="52" t="str">
        <f>'90186_2024'!M116</f>
        <v/>
      </c>
      <c r="O455" s="52" t="str">
        <f>'90186_2024'!N116</f>
        <v/>
      </c>
      <c r="P455" s="52" t="str">
        <f>'90186_2024'!O116</f>
        <v/>
      </c>
      <c r="Q455" s="70" t="str">
        <f>'90186_2024'!P116</f>
        <v/>
      </c>
      <c r="R455" s="52" t="str">
        <f>'90186_2024'!Q116</f>
        <v>HOMOLOGADO</v>
      </c>
    </row>
    <row r="456" hidden="1">
      <c r="A456" s="79" t="s">
        <v>39</v>
      </c>
      <c r="B456" s="35">
        <f>'90186_2024'!A117</f>
        <v>26</v>
      </c>
      <c r="C456" s="35" t="str">
        <f>'90186_2024'!B117</f>
        <v>C-9-01A-DTS</v>
      </c>
      <c r="D456" s="35" t="str">
        <f>'90186_2024'!C117</f>
        <v>REBOQUE CARGA</v>
      </c>
      <c r="E456" s="35">
        <f>'90186_2024'!D117</f>
        <v>2</v>
      </c>
      <c r="F456" s="35">
        <f>'90186_2024'!E117</f>
        <v>1</v>
      </c>
      <c r="G456" s="56">
        <f>'90186_2024'!F117</f>
        <v>1</v>
      </c>
      <c r="H456" s="28">
        <f>'90186_2024'!G117</f>
        <v>15250</v>
      </c>
      <c r="I456" s="28">
        <f>'90186_2024'!H117</f>
        <v>30500</v>
      </c>
      <c r="J456" s="35" t="str">
        <f>'90186_2024'!I117</f>
        <v>BASC</v>
      </c>
      <c r="K456" s="35" t="str">
        <f>'90186_2024'!J117</f>
        <v>CARRETAS RUSSO/P.C.S. DAMASCENO &amp; CIA LTDA / R/ RUSSO CR 1700 1E-CARGA</v>
      </c>
      <c r="L456" s="35" t="str">
        <f>'90186_2024'!K117</f>
        <v>46.151.804/0001-92</v>
      </c>
      <c r="M456" s="35" t="str">
        <f>'90186_2024'!L117</f>
        <v>L D UNIDADES MOVEIS &amp; REPRESENTACOES LTDA</v>
      </c>
      <c r="N456" s="35" t="str">
        <f>'90186_2024'!M117</f>
        <v/>
      </c>
      <c r="O456" s="35" t="str">
        <f>'90186_2024'!N117</f>
        <v/>
      </c>
      <c r="P456" s="35" t="str">
        <f>'90186_2024'!O117</f>
        <v/>
      </c>
      <c r="Q456" s="63" t="str">
        <f>'90186_2024'!P117</f>
        <v/>
      </c>
      <c r="R456" s="35" t="str">
        <f>'90186_2024'!Q117</f>
        <v>HOMOLOGADO</v>
      </c>
    </row>
    <row r="457" hidden="1">
      <c r="A457" s="77" t="s">
        <v>39</v>
      </c>
      <c r="B457" s="52">
        <f>'90186_2024'!A118</f>
        <v>26</v>
      </c>
      <c r="C457" s="52" t="str">
        <f>'90186_2024'!B118</f>
        <v>C-9-01A-DTS</v>
      </c>
      <c r="D457" s="52" t="str">
        <f>'90186_2024'!C118</f>
        <v>REBOQUE CARGA</v>
      </c>
      <c r="E457" s="52">
        <f>'90186_2024'!D118</f>
        <v>4</v>
      </c>
      <c r="F457" s="321">
        <f>'90186_2024'!E118</f>
        <v>1</v>
      </c>
      <c r="G457" s="67">
        <f>'90186_2024'!F118</f>
        <v>3</v>
      </c>
      <c r="H457" s="46">
        <f>'90186_2024'!G118</f>
        <v>15250</v>
      </c>
      <c r="I457" s="46">
        <f>'90186_2024'!H118</f>
        <v>61000</v>
      </c>
      <c r="J457" s="52" t="str">
        <f>'90186_2024'!I118</f>
        <v>CINDACTA 3</v>
      </c>
      <c r="K457" s="52" t="str">
        <f>'90186_2024'!J118</f>
        <v>CARRETAS RUSSO/P.C.S. DAMASCENO &amp; CIA LTDA / R/ RUSSO CR 1700 1E-CARGA</v>
      </c>
      <c r="L457" s="52" t="str">
        <f>'90186_2024'!K118</f>
        <v>46.151.804/0001-92</v>
      </c>
      <c r="M457" s="52" t="str">
        <f>'90186_2024'!L118</f>
        <v>L D UNIDADES MOVEIS &amp; REPRESENTACOES LTDA</v>
      </c>
      <c r="N457" s="52" t="str">
        <f>'90186_2024'!M118</f>
        <v/>
      </c>
      <c r="O457" s="52" t="str">
        <f>'90186_2024'!N118</f>
        <v/>
      </c>
      <c r="P457" s="52" t="str">
        <f>'90186_2024'!O118</f>
        <v/>
      </c>
      <c r="Q457" s="70" t="str">
        <f>'90186_2024'!P118</f>
        <v/>
      </c>
      <c r="R457" s="52" t="str">
        <f>'90186_2024'!Q118</f>
        <v>HOMOLOGADO</v>
      </c>
    </row>
    <row r="458" hidden="1">
      <c r="A458" s="79" t="s">
        <v>39</v>
      </c>
      <c r="B458" s="35">
        <f>'90186_2024'!A119</f>
        <v>27</v>
      </c>
      <c r="C458" s="35" t="str">
        <f>'90186_2024'!B119</f>
        <v>E-22-01A-DTS</v>
      </c>
      <c r="D458" s="35" t="str">
        <f>'90186_2024'!C119</f>
        <v>REBOQUE MOTOCICLETA</v>
      </c>
      <c r="E458" s="35">
        <f>'90186_2024'!D119</f>
        <v>1</v>
      </c>
      <c r="F458" s="35" t="str">
        <f>'90186_2024'!E119</f>
        <v>X</v>
      </c>
      <c r="G458" s="56">
        <f>'90186_2024'!F119</f>
        <v>0</v>
      </c>
      <c r="H458" s="28">
        <f>'90186_2024'!G119</f>
        <v>13000</v>
      </c>
      <c r="I458" s="28">
        <f>'90186_2024'!H119</f>
        <v>13000</v>
      </c>
      <c r="J458" s="35" t="str">
        <f>'90186_2024'!I119</f>
        <v>BANT</v>
      </c>
      <c r="K458" s="35" t="str">
        <f>'90186_2024'!J119</f>
        <v>ARC / CR01</v>
      </c>
      <c r="L458" s="35" t="str">
        <f>'90186_2024'!K119</f>
        <v>57.212.891/0001-67 </v>
      </c>
      <c r="M458" s="35" t="str">
        <f>'90186_2024'!L119</f>
        <v>LJX DO BRASIL LTDA FRACASADO</v>
      </c>
      <c r="N458" s="35" t="str">
        <f>'90186_2024'!M119</f>
        <v/>
      </c>
      <c r="O458" s="35" t="str">
        <f>'90186_2024'!N119</f>
        <v/>
      </c>
      <c r="P458" s="35" t="str">
        <f>'90186_2024'!O119</f>
        <v/>
      </c>
      <c r="Q458" s="63" t="str">
        <f>'90186_2024'!P119</f>
        <v/>
      </c>
      <c r="R458" s="35" t="str">
        <f>'90186_2024'!Q119</f>
        <v>FRACASSADO</v>
      </c>
    </row>
    <row r="459" hidden="1">
      <c r="A459" s="77" t="s">
        <v>39</v>
      </c>
      <c r="B459" s="52">
        <f>'90186_2024'!A120</f>
        <v>27</v>
      </c>
      <c r="C459" s="52" t="str">
        <f>'90186_2024'!B120</f>
        <v>E-22-01A-DTS</v>
      </c>
      <c r="D459" s="52" t="str">
        <f>'90186_2024'!C120</f>
        <v>REBOQUE MOTOCICLETA</v>
      </c>
      <c r="E459" s="52">
        <f>'90186_2024'!D120</f>
        <v>1</v>
      </c>
      <c r="F459" s="52" t="str">
        <f>'90186_2024'!E120</f>
        <v>X</v>
      </c>
      <c r="G459" s="67">
        <f>'90186_2024'!F120</f>
        <v>0</v>
      </c>
      <c r="H459" s="46">
        <f>'90186_2024'!G120</f>
        <v>13000</v>
      </c>
      <c r="I459" s="46">
        <f>'90186_2024'!H120</f>
        <v>13000</v>
      </c>
      <c r="J459" s="52" t="str">
        <f>'90186_2024'!I120</f>
        <v>GAP-BE</v>
      </c>
      <c r="K459" s="52" t="str">
        <f>'90186_2024'!J120</f>
        <v>ARC / CR01</v>
      </c>
      <c r="L459" s="52" t="str">
        <f>'90186_2024'!K120</f>
        <v>57.212.891/0001-67 </v>
      </c>
      <c r="M459" s="52" t="str">
        <f>'90186_2024'!L120</f>
        <v>LJX DO BRASIL LTDA FRACASADO</v>
      </c>
      <c r="N459" s="52" t="str">
        <f>'90186_2024'!M120</f>
        <v/>
      </c>
      <c r="O459" s="52" t="str">
        <f>'90186_2024'!N120</f>
        <v/>
      </c>
      <c r="P459" s="52" t="str">
        <f>'90186_2024'!O120</f>
        <v/>
      </c>
      <c r="Q459" s="70" t="str">
        <f>'90186_2024'!P120</f>
        <v/>
      </c>
      <c r="R459" s="52" t="str">
        <f>'90186_2024'!Q120</f>
        <v>FRACASSADO</v>
      </c>
    </row>
    <row r="460" hidden="1">
      <c r="A460" s="79" t="s">
        <v>39</v>
      </c>
      <c r="B460" s="35">
        <f>'90186_2024'!A121</f>
        <v>27</v>
      </c>
      <c r="C460" s="35" t="str">
        <f>'90186_2024'!B121</f>
        <v>E-22-01A-DTS</v>
      </c>
      <c r="D460" s="35" t="str">
        <f>'90186_2024'!C121</f>
        <v>REBOQUE MOTOCICLETA</v>
      </c>
      <c r="E460" s="35">
        <f>'90186_2024'!D121</f>
        <v>1</v>
      </c>
      <c r="F460" s="35" t="str">
        <f>'90186_2024'!E121</f>
        <v>X</v>
      </c>
      <c r="G460" s="56">
        <f>'90186_2024'!F121</f>
        <v>0</v>
      </c>
      <c r="H460" s="28">
        <f>'90186_2024'!G121</f>
        <v>13000</v>
      </c>
      <c r="I460" s="28">
        <f>'90186_2024'!H121</f>
        <v>13000</v>
      </c>
      <c r="J460" s="35" t="str">
        <f>'90186_2024'!I121</f>
        <v>GAP-CO</v>
      </c>
      <c r="K460" s="35" t="str">
        <f>'90186_2024'!J121</f>
        <v>ARC / CR01</v>
      </c>
      <c r="L460" s="35" t="str">
        <f>'90186_2024'!K121</f>
        <v>57.212.891/0001-67 </v>
      </c>
      <c r="M460" s="35" t="str">
        <f>'90186_2024'!L121</f>
        <v>LJX DO BRASIL LTDA FRACASADO</v>
      </c>
      <c r="N460" s="35" t="str">
        <f>'90186_2024'!M121</f>
        <v/>
      </c>
      <c r="O460" s="35" t="str">
        <f>'90186_2024'!N121</f>
        <v/>
      </c>
      <c r="P460" s="35" t="str">
        <f>'90186_2024'!O121</f>
        <v/>
      </c>
      <c r="Q460" s="63" t="str">
        <f>'90186_2024'!P121</f>
        <v/>
      </c>
      <c r="R460" s="35" t="str">
        <f>'90186_2024'!Q121</f>
        <v>FRACASSADO</v>
      </c>
    </row>
    <row r="461" hidden="1">
      <c r="A461" s="77" t="s">
        <v>39</v>
      </c>
      <c r="B461" s="52">
        <f>'90186_2024'!A122</f>
        <v>27</v>
      </c>
      <c r="C461" s="52" t="str">
        <f>'90186_2024'!B122</f>
        <v>E-22-01A-DTS</v>
      </c>
      <c r="D461" s="52" t="str">
        <f>'90186_2024'!C122</f>
        <v>REBOQUE MOTOCICLETA</v>
      </c>
      <c r="E461" s="52">
        <f>'90186_2024'!D122</f>
        <v>1</v>
      </c>
      <c r="F461" s="52" t="str">
        <f>'90186_2024'!E122</f>
        <v>X</v>
      </c>
      <c r="G461" s="67">
        <f>'90186_2024'!F122</f>
        <v>0</v>
      </c>
      <c r="H461" s="46">
        <f>'90186_2024'!G122</f>
        <v>13000</v>
      </c>
      <c r="I461" s="46">
        <f>'90186_2024'!H122</f>
        <v>13000</v>
      </c>
      <c r="J461" s="52" t="str">
        <f>'90186_2024'!I122</f>
        <v>GAP-DF</v>
      </c>
      <c r="K461" s="52" t="str">
        <f>'90186_2024'!J122</f>
        <v>ARC / CR01</v>
      </c>
      <c r="L461" s="52" t="str">
        <f>'90186_2024'!K122</f>
        <v>57.212.891/0001-67 </v>
      </c>
      <c r="M461" s="52" t="str">
        <f>'90186_2024'!L122</f>
        <v>LJX DO BRASIL LTDA FRACASADO</v>
      </c>
      <c r="N461" s="52" t="str">
        <f>'90186_2024'!M122</f>
        <v/>
      </c>
      <c r="O461" s="52" t="str">
        <f>'90186_2024'!N122</f>
        <v/>
      </c>
      <c r="P461" s="52" t="str">
        <f>'90186_2024'!O122</f>
        <v/>
      </c>
      <c r="Q461" s="70" t="str">
        <f>'90186_2024'!P122</f>
        <v/>
      </c>
      <c r="R461" s="52" t="str">
        <f>'90186_2024'!Q122</f>
        <v>FRACASSADO</v>
      </c>
    </row>
    <row r="462" hidden="1">
      <c r="A462" s="79" t="s">
        <v>39</v>
      </c>
      <c r="B462" s="35">
        <f>'90186_2024'!A123</f>
        <v>27</v>
      </c>
      <c r="C462" s="35" t="str">
        <f>'90186_2024'!B123</f>
        <v>E-22-01A-DTS</v>
      </c>
      <c r="D462" s="35" t="str">
        <f>'90186_2024'!C123</f>
        <v>REBOQUE MOTOCICLETA</v>
      </c>
      <c r="E462" s="35">
        <f>'90186_2024'!D123</f>
        <v>1</v>
      </c>
      <c r="F462" s="35" t="str">
        <f>'90186_2024'!E123</f>
        <v>X</v>
      </c>
      <c r="G462" s="56">
        <f>'90186_2024'!F123</f>
        <v>0</v>
      </c>
      <c r="H462" s="28">
        <f>'90186_2024'!G123</f>
        <v>13000</v>
      </c>
      <c r="I462" s="28">
        <f>'90186_2024'!H123</f>
        <v>13000</v>
      </c>
      <c r="J462" s="35" t="str">
        <f>'90186_2024'!I123</f>
        <v>GAP-GL</v>
      </c>
      <c r="K462" s="35" t="str">
        <f>'90186_2024'!J123</f>
        <v>ARC / CR01</v>
      </c>
      <c r="L462" s="35" t="str">
        <f>'90186_2024'!K123</f>
        <v>57.212.891/0001-67 </v>
      </c>
      <c r="M462" s="35" t="str">
        <f>'90186_2024'!L123</f>
        <v>LJX DO BRASIL LTDA FRACASADO</v>
      </c>
      <c r="N462" s="35" t="str">
        <f>'90186_2024'!M123</f>
        <v/>
      </c>
      <c r="O462" s="35" t="str">
        <f>'90186_2024'!N123</f>
        <v/>
      </c>
      <c r="P462" s="35" t="str">
        <f>'90186_2024'!O123</f>
        <v/>
      </c>
      <c r="Q462" s="63" t="str">
        <f>'90186_2024'!P123</f>
        <v/>
      </c>
      <c r="R462" s="35" t="str">
        <f>'90186_2024'!Q123</f>
        <v>FRACASSADO</v>
      </c>
    </row>
    <row r="463" hidden="1">
      <c r="A463" s="77" t="s">
        <v>39</v>
      </c>
      <c r="B463" s="52">
        <f>'90186_2024'!A124</f>
        <v>27</v>
      </c>
      <c r="C463" s="52" t="str">
        <f>'90186_2024'!B124</f>
        <v>E-22-01A-DTS</v>
      </c>
      <c r="D463" s="52" t="str">
        <f>'90186_2024'!C124</f>
        <v>REBOQUE MOTOCICLETA</v>
      </c>
      <c r="E463" s="52">
        <f>'90186_2024'!D124</f>
        <v>1</v>
      </c>
      <c r="F463" s="52" t="str">
        <f>'90186_2024'!E124</f>
        <v>X</v>
      </c>
      <c r="G463" s="67">
        <f>'90186_2024'!F124</f>
        <v>0</v>
      </c>
      <c r="H463" s="46">
        <f>'90186_2024'!G124</f>
        <v>13000</v>
      </c>
      <c r="I463" s="46">
        <f>'90186_2024'!H124</f>
        <v>13000</v>
      </c>
      <c r="J463" s="52" t="str">
        <f>'90186_2024'!I124</f>
        <v>GAP-MN</v>
      </c>
      <c r="K463" s="52" t="str">
        <f>'90186_2024'!J124</f>
        <v>ARC / CR01</v>
      </c>
      <c r="L463" s="52" t="str">
        <f>'90186_2024'!K124</f>
        <v>57.212.891/0001-67 </v>
      </c>
      <c r="M463" s="52" t="str">
        <f>'90186_2024'!L124</f>
        <v>LJX DO BRASIL LTDA FRACASADO</v>
      </c>
      <c r="N463" s="52" t="str">
        <f>'90186_2024'!M124</f>
        <v/>
      </c>
      <c r="O463" s="52" t="str">
        <f>'90186_2024'!N124</f>
        <v/>
      </c>
      <c r="P463" s="52" t="str">
        <f>'90186_2024'!O124</f>
        <v/>
      </c>
      <c r="Q463" s="70" t="str">
        <f>'90186_2024'!P124</f>
        <v/>
      </c>
      <c r="R463" s="52" t="str">
        <f>'90186_2024'!Q124</f>
        <v>FRACASSADO</v>
      </c>
    </row>
    <row r="464" hidden="1">
      <c r="A464" s="79" t="s">
        <v>39</v>
      </c>
      <c r="B464" s="35">
        <f>'90186_2024'!A125</f>
        <v>27</v>
      </c>
      <c r="C464" s="35" t="str">
        <f>'90186_2024'!B125</f>
        <v>E-22-01A-DTS</v>
      </c>
      <c r="D464" s="35" t="str">
        <f>'90186_2024'!C125</f>
        <v>REBOQUE MOTOCICLETA</v>
      </c>
      <c r="E464" s="35">
        <f>'90186_2024'!D125</f>
        <v>1</v>
      </c>
      <c r="F464" s="35" t="str">
        <f>'90186_2024'!E125</f>
        <v>X</v>
      </c>
      <c r="G464" s="56">
        <f>'90186_2024'!F125</f>
        <v>0</v>
      </c>
      <c r="H464" s="28">
        <f>'90186_2024'!G125</f>
        <v>13000</v>
      </c>
      <c r="I464" s="28">
        <f>'90186_2024'!H125</f>
        <v>13000</v>
      </c>
      <c r="J464" s="35" t="str">
        <f>'90186_2024'!I125</f>
        <v>GAP-RF</v>
      </c>
      <c r="K464" s="35" t="str">
        <f>'90186_2024'!J125</f>
        <v>ARC / CR01</v>
      </c>
      <c r="L464" s="35" t="str">
        <f>'90186_2024'!K125</f>
        <v>57.212.891/0001-67 </v>
      </c>
      <c r="M464" s="35" t="str">
        <f>'90186_2024'!L125</f>
        <v>LJX DO BRASIL LTDA FRACASADO</v>
      </c>
      <c r="N464" s="35" t="str">
        <f>'90186_2024'!M125</f>
        <v/>
      </c>
      <c r="O464" s="35" t="str">
        <f>'90186_2024'!N125</f>
        <v/>
      </c>
      <c r="P464" s="35" t="str">
        <f>'90186_2024'!O125</f>
        <v/>
      </c>
      <c r="Q464" s="63" t="str">
        <f>'90186_2024'!P125</f>
        <v/>
      </c>
      <c r="R464" s="35" t="str">
        <f>'90186_2024'!Q125</f>
        <v>FRACASSADO</v>
      </c>
    </row>
    <row r="465" hidden="1">
      <c r="A465" s="77" t="s">
        <v>39</v>
      </c>
      <c r="B465" s="52">
        <f>'90186_2024'!A126</f>
        <v>27</v>
      </c>
      <c r="C465" s="52" t="str">
        <f>'90186_2024'!B126</f>
        <v>E-22-01A-DTS</v>
      </c>
      <c r="D465" s="52" t="str">
        <f>'90186_2024'!C126</f>
        <v>REBOQUE MOTOCICLETA</v>
      </c>
      <c r="E465" s="52">
        <f>'90186_2024'!D126</f>
        <v>1</v>
      </c>
      <c r="F465" s="52" t="str">
        <f>'90186_2024'!E126</f>
        <v>X</v>
      </c>
      <c r="G465" s="67">
        <f>'90186_2024'!F126</f>
        <v>0</v>
      </c>
      <c r="H465" s="46">
        <f>'90186_2024'!G126</f>
        <v>13000</v>
      </c>
      <c r="I465" s="46">
        <f>'90186_2024'!H126</f>
        <v>13000</v>
      </c>
      <c r="J465" s="52" t="str">
        <f>'90186_2024'!I126</f>
        <v>GAP-RJ</v>
      </c>
      <c r="K465" s="52" t="str">
        <f>'90186_2024'!J126</f>
        <v>ARC / CR01</v>
      </c>
      <c r="L465" s="52" t="str">
        <f>'90186_2024'!K126</f>
        <v>57.212.891/0001-67 </v>
      </c>
      <c r="M465" s="52" t="str">
        <f>'90186_2024'!L126</f>
        <v>LJX DO BRASIL LTDA FRACASADO</v>
      </c>
      <c r="N465" s="52" t="str">
        <f>'90186_2024'!M126</f>
        <v/>
      </c>
      <c r="O465" s="52" t="str">
        <f>'90186_2024'!N126</f>
        <v/>
      </c>
      <c r="P465" s="52" t="str">
        <f>'90186_2024'!O126</f>
        <v/>
      </c>
      <c r="Q465" s="70" t="str">
        <f>'90186_2024'!P126</f>
        <v/>
      </c>
      <c r="R465" s="52" t="str">
        <f>'90186_2024'!Q126</f>
        <v>FRACASSADO</v>
      </c>
    </row>
    <row r="466" hidden="1">
      <c r="A466" s="79" t="s">
        <v>39</v>
      </c>
      <c r="B466" s="35">
        <f>'90186_2024'!A127</f>
        <v>27</v>
      </c>
      <c r="C466" s="35" t="str">
        <f>'90186_2024'!B127</f>
        <v>E-22-01A-DTS</v>
      </c>
      <c r="D466" s="35" t="str">
        <f>'90186_2024'!C127</f>
        <v>REBOQUE MOTOCICLETA</v>
      </c>
      <c r="E466" s="35">
        <f>'90186_2024'!D127</f>
        <v>1</v>
      </c>
      <c r="F466" s="35" t="str">
        <f>'90186_2024'!E127</f>
        <v>X</v>
      </c>
      <c r="G466" s="56">
        <f>'90186_2024'!F127</f>
        <v>0</v>
      </c>
      <c r="H466" s="28">
        <f>'90186_2024'!G127</f>
        <v>13000</v>
      </c>
      <c r="I466" s="28">
        <f>'90186_2024'!H127</f>
        <v>13000</v>
      </c>
      <c r="J466" s="35" t="str">
        <f>'90186_2024'!I127</f>
        <v>GAP-SJ</v>
      </c>
      <c r="K466" s="35" t="str">
        <f>'90186_2024'!J127</f>
        <v>ARC / CR01</v>
      </c>
      <c r="L466" s="35" t="str">
        <f>'90186_2024'!K127</f>
        <v>57.212.891/0001-67 </v>
      </c>
      <c r="M466" s="35" t="str">
        <f>'90186_2024'!L127</f>
        <v>LJX DO BRASIL LTDA FRACASADO</v>
      </c>
      <c r="N466" s="35" t="str">
        <f>'90186_2024'!M127</f>
        <v/>
      </c>
      <c r="O466" s="35" t="str">
        <f>'90186_2024'!N127</f>
        <v/>
      </c>
      <c r="P466" s="35" t="str">
        <f>'90186_2024'!O127</f>
        <v/>
      </c>
      <c r="Q466" s="63" t="str">
        <f>'90186_2024'!P127</f>
        <v/>
      </c>
      <c r="R466" s="35" t="str">
        <f>'90186_2024'!Q127</f>
        <v>FRACASSADO</v>
      </c>
    </row>
    <row r="467" hidden="1">
      <c r="A467" s="77" t="s">
        <v>39</v>
      </c>
      <c r="B467" s="52">
        <f>'90186_2024'!A128</f>
        <v>27</v>
      </c>
      <c r="C467" s="52" t="str">
        <f>'90186_2024'!B128</f>
        <v>E-22-01A-DTS</v>
      </c>
      <c r="D467" s="52" t="str">
        <f>'90186_2024'!C128</f>
        <v>REBOQUE MOTOCICLETA</v>
      </c>
      <c r="E467" s="52">
        <f>'90186_2024'!D128</f>
        <v>1</v>
      </c>
      <c r="F467" s="52" t="str">
        <f>'90186_2024'!E128</f>
        <v>X</v>
      </c>
      <c r="G467" s="67">
        <f>'90186_2024'!F128</f>
        <v>0</v>
      </c>
      <c r="H467" s="46">
        <f>'90186_2024'!G128</f>
        <v>13000</v>
      </c>
      <c r="I467" s="46">
        <f>'90186_2024'!H128</f>
        <v>13000</v>
      </c>
      <c r="J467" s="52" t="str">
        <f>'90186_2024'!I128</f>
        <v>GAP-SP</v>
      </c>
      <c r="K467" s="52" t="str">
        <f>'90186_2024'!J128</f>
        <v>ARC / CR01</v>
      </c>
      <c r="L467" s="52" t="str">
        <f>'90186_2024'!K128</f>
        <v>57.212.891/0001-67 </v>
      </c>
      <c r="M467" s="52" t="str">
        <f>'90186_2024'!L128</f>
        <v>LJX DO BRASIL LTDA FRACASADO</v>
      </c>
      <c r="N467" s="52" t="str">
        <f>'90186_2024'!M128</f>
        <v/>
      </c>
      <c r="O467" s="52" t="str">
        <f>'90186_2024'!N128</f>
        <v/>
      </c>
      <c r="P467" s="52" t="str">
        <f>'90186_2024'!O128</f>
        <v/>
      </c>
      <c r="Q467" s="70" t="str">
        <f>'90186_2024'!P128</f>
        <v/>
      </c>
      <c r="R467" s="52" t="str">
        <f>'90186_2024'!Q128</f>
        <v>FRACASSADO</v>
      </c>
    </row>
    <row r="468" hidden="1">
      <c r="A468" s="79" t="s">
        <v>39</v>
      </c>
      <c r="B468" s="35">
        <f>'90186_2024'!A129</f>
        <v>28</v>
      </c>
      <c r="C468" s="35" t="str">
        <f>'90186_2024'!B129</f>
        <v>E-17-01A-DTS</v>
      </c>
      <c r="D468" s="35" t="str">
        <f>'90186_2024'!C129</f>
        <v>RETROESCAVADEIRA COM PÁ CARREGADEIRA</v>
      </c>
      <c r="E468" s="35">
        <f>'90186_2024'!D129</f>
        <v>1</v>
      </c>
      <c r="F468" s="35">
        <f>'90186_2024'!E129</f>
        <v>1</v>
      </c>
      <c r="G468" s="56">
        <f>'90186_2024'!F129</f>
        <v>0</v>
      </c>
      <c r="H468" s="28">
        <f>'90186_2024'!G129</f>
        <v>350000</v>
      </c>
      <c r="I468" s="28">
        <f>'90186_2024'!H129</f>
        <v>350000</v>
      </c>
      <c r="J468" s="35" t="str">
        <f>'90186_2024'!I129</f>
        <v>BACG</v>
      </c>
      <c r="K468" s="35" t="str">
        <f>'90186_2024'!J129</f>
        <v>DIKKWELL / 3CX</v>
      </c>
      <c r="L468" s="35" t="str">
        <f>'90186_2024'!K129</f>
        <v>29.127.216/0001-02 </v>
      </c>
      <c r="M468" s="35" t="str">
        <f>'90186_2024'!L129</f>
        <v>AF EMPREENDIMENTOS LTDA</v>
      </c>
      <c r="N468" s="35" t="str">
        <f>'90186_2024'!M129</f>
        <v>062 3952-1122</v>
      </c>
      <c r="O468" s="35" t="str">
        <f>'90186_2024'!N129</f>
        <v>licitacao@afempreendimentos.com</v>
      </c>
      <c r="P468" s="35" t="str">
        <f>'90186_2024'!O129</f>
        <v/>
      </c>
      <c r="Q468" s="63" t="str">
        <f>'90186_2024'!P129</f>
        <v/>
      </c>
      <c r="R468" s="35" t="str">
        <f>'90186_2024'!Q129</f>
        <v>HOMOLOGADO</v>
      </c>
    </row>
    <row r="469" hidden="1">
      <c r="A469" s="77" t="s">
        <v>39</v>
      </c>
      <c r="B469" s="52">
        <f>'90186_2024'!A130</f>
        <v>29</v>
      </c>
      <c r="C469" s="52" t="str">
        <f>'90186_2024'!B130</f>
        <v>C-3-01A-DTS</v>
      </c>
      <c r="D469" s="52" t="str">
        <f>'90186_2024'!C130</f>
        <v>SEMIRREBOQUE</v>
      </c>
      <c r="E469" s="52">
        <f>'90186_2024'!D130</f>
        <v>2</v>
      </c>
      <c r="F469" s="321">
        <f>'90186_2024'!E130</f>
        <v>1</v>
      </c>
      <c r="G469" s="67">
        <f>'90186_2024'!F130</f>
        <v>1</v>
      </c>
      <c r="H469" s="46">
        <f>'90186_2024'!G130</f>
        <v>290900</v>
      </c>
      <c r="I469" s="46">
        <f>'90186_2024'!H130</f>
        <v>581800</v>
      </c>
      <c r="J469" s="52" t="str">
        <f>'90186_2024'!I130</f>
        <v>DECEA</v>
      </c>
      <c r="K469" s="52" t="str">
        <f>'90186_2024'!J130</f>
        <v>FACCHINI / SEMIRREBOQUE</v>
      </c>
      <c r="L469" s="52" t="str">
        <f>'90186_2024'!K130</f>
        <v>08.206.867/0001-00 </v>
      </c>
      <c r="M469" s="52" t="str">
        <f>'90186_2024'!L130</f>
        <v>ECS COMERCIO DE VEICULOS E EQUIPAMENTOS LTDA</v>
      </c>
      <c r="N469" s="52" t="str">
        <f>'90186_2024'!M130</f>
        <v/>
      </c>
      <c r="O469" s="52" t="str">
        <f>'90186_2024'!N130</f>
        <v/>
      </c>
      <c r="P469" s="52" t="str">
        <f>'90186_2024'!O130</f>
        <v/>
      </c>
      <c r="Q469" s="70" t="str">
        <f>'90186_2024'!P130</f>
        <v/>
      </c>
      <c r="R469" s="52" t="str">
        <f>'90186_2024'!Q130</f>
        <v>HOMOLOGADO</v>
      </c>
    </row>
    <row r="470" hidden="1">
      <c r="A470" s="79" t="s">
        <v>39</v>
      </c>
      <c r="B470" s="35">
        <f>'90186_2024'!A131</f>
        <v>30</v>
      </c>
      <c r="C470" s="35" t="str">
        <f>'90186_2024'!B131</f>
        <v>E-13-01A-DTS</v>
      </c>
      <c r="D470" s="35" t="str">
        <f>'90186_2024'!C131</f>
        <v>TRATOR DE ESTEIRAS</v>
      </c>
      <c r="E470" s="35">
        <f>'90186_2024'!D131</f>
        <v>1</v>
      </c>
      <c r="F470" s="35">
        <f>'90186_2024'!E131</f>
        <v>1</v>
      </c>
      <c r="G470" s="56">
        <f>'90186_2024'!F131</f>
        <v>0</v>
      </c>
      <c r="H470" s="28">
        <f>'90186_2024'!G131</f>
        <v>1150000</v>
      </c>
      <c r="I470" s="28">
        <f>'90186_2024'!H131</f>
        <v>1150000</v>
      </c>
      <c r="J470" s="35" t="str">
        <f>'90186_2024'!I131</f>
        <v>CPBV</v>
      </c>
      <c r="K470" s="35" t="str">
        <f>'90186_2024'!J131</f>
        <v>KOMATSU</v>
      </c>
      <c r="L470" s="35" t="str">
        <f>'90186_2024'!K131</f>
        <v>46.872.557/0001-13
</v>
      </c>
      <c r="M470" s="35" t="str">
        <f>'90186_2024'!L131</f>
        <v>RIO VERMELHO COMERCIO DE MAQUINAS EQUIPAMENTOS E SERVICOS LTDA
</v>
      </c>
      <c r="N470" s="35" t="str">
        <f>'90186_2024'!M131</f>
        <v/>
      </c>
      <c r="O470" s="35" t="str">
        <f>'90186_2024'!N131</f>
        <v/>
      </c>
      <c r="P470" s="35" t="str">
        <f>'90186_2024'!O131</f>
        <v/>
      </c>
      <c r="Q470" s="63" t="str">
        <f>'90186_2024'!P131</f>
        <v/>
      </c>
      <c r="R470" s="35" t="str">
        <f>'90186_2024'!Q131</f>
        <v>HOMOLOGADO</v>
      </c>
    </row>
    <row r="471" hidden="1">
      <c r="A471" s="77" t="s">
        <v>39</v>
      </c>
      <c r="B471" s="52">
        <f>'90186_2024'!A132</f>
        <v>31</v>
      </c>
      <c r="C471" s="52" t="str">
        <f>'90186_2024'!B132</f>
        <v>E-12-03B-DTS</v>
      </c>
      <c r="D471" s="52" t="str">
        <f>'90186_2024'!C132</f>
        <v>TRATOR DE RODAS</v>
      </c>
      <c r="E471" s="52">
        <f>'90186_2024'!D132</f>
        <v>1</v>
      </c>
      <c r="F471" s="52">
        <f>'90186_2024'!E132</f>
        <v>0</v>
      </c>
      <c r="G471" s="67">
        <f>'90186_2024'!F132</f>
        <v>1</v>
      </c>
      <c r="H471" s="46">
        <f>'90186_2024'!G132</f>
        <v>243520</v>
      </c>
      <c r="I471" s="46">
        <f>'90186_2024'!H132</f>
        <v>243520</v>
      </c>
      <c r="J471" s="52" t="str">
        <f>'90186_2024'!I132</f>
        <v>AFA</v>
      </c>
      <c r="K471" s="52" t="str">
        <f>'90186_2024'!J132</f>
        <v>LOVOL</v>
      </c>
      <c r="L471" s="52" t="str">
        <f>'90186_2024'!K132</f>
        <v>13.798.658/0001-32
</v>
      </c>
      <c r="M471" s="52" t="str">
        <f>'90186_2024'!L132</f>
        <v>LIDON COMERCIO E REPRESENTACAO COMERCIAL DE MAQUINAS LTDA
</v>
      </c>
      <c r="N471" s="52" t="str">
        <f>'90186_2024'!M132</f>
        <v/>
      </c>
      <c r="O471" s="52" t="str">
        <f>'90186_2024'!N132</f>
        <v/>
      </c>
      <c r="P471" s="52" t="str">
        <f>'90186_2024'!O132</f>
        <v/>
      </c>
      <c r="Q471" s="70" t="str">
        <f>'90186_2024'!P132</f>
        <v/>
      </c>
      <c r="R471" s="52" t="str">
        <f>'90186_2024'!Q132</f>
        <v>HOMOLOGADO</v>
      </c>
    </row>
    <row r="472" hidden="1">
      <c r="A472" s="79" t="s">
        <v>39</v>
      </c>
      <c r="B472" s="35">
        <f>'90186_2024'!A133</f>
        <v>31</v>
      </c>
      <c r="C472" s="35" t="str">
        <f>'90186_2024'!B133</f>
        <v>E-12-03B-DTS</v>
      </c>
      <c r="D472" s="35" t="str">
        <f>'90186_2024'!C133</f>
        <v>TRATOR DE RODAS</v>
      </c>
      <c r="E472" s="35">
        <f>'90186_2024'!D133</f>
        <v>1</v>
      </c>
      <c r="F472" s="35">
        <f>'90186_2024'!E133</f>
        <v>1</v>
      </c>
      <c r="G472" s="56">
        <f>'90186_2024'!F133</f>
        <v>0</v>
      </c>
      <c r="H472" s="28">
        <f>'90186_2024'!G133</f>
        <v>243520</v>
      </c>
      <c r="I472" s="28">
        <f>'90186_2024'!H133</f>
        <v>243520</v>
      </c>
      <c r="J472" s="35" t="str">
        <f>'90186_2024'!I133</f>
        <v>BAAN</v>
      </c>
      <c r="K472" s="35" t="str">
        <f>'90186_2024'!J133</f>
        <v>LOVOL</v>
      </c>
      <c r="L472" s="35" t="str">
        <f>'90186_2024'!K133</f>
        <v>13.798.658/0001-32
</v>
      </c>
      <c r="M472" s="35" t="str">
        <f>'90186_2024'!L133</f>
        <v>LIDON COMERCIO E REPRESENTACAO COMERCIAL DE MAQUINAS LTDA
</v>
      </c>
      <c r="N472" s="35" t="str">
        <f>'90186_2024'!M133</f>
        <v/>
      </c>
      <c r="O472" s="35" t="str">
        <f>'90186_2024'!N133</f>
        <v/>
      </c>
      <c r="P472" s="35" t="str">
        <f>'90186_2024'!O133</f>
        <v/>
      </c>
      <c r="Q472" s="63" t="str">
        <f>'90186_2024'!P133</f>
        <v/>
      </c>
      <c r="R472" s="35" t="str">
        <f>'90186_2024'!Q133</f>
        <v>HOMOLOGADO</v>
      </c>
    </row>
    <row r="473" hidden="1">
      <c r="A473" s="218" t="s">
        <v>39</v>
      </c>
      <c r="B473" s="324">
        <f>'90186_2024'!A134</f>
        <v>31</v>
      </c>
      <c r="C473" s="324" t="str">
        <f>'90186_2024'!B134</f>
        <v>E-12-03B-DTS</v>
      </c>
      <c r="D473" s="324" t="str">
        <f>'90186_2024'!C134</f>
        <v>TRATOR DE RODAS</v>
      </c>
      <c r="E473" s="324">
        <f>'90186_2024'!D134</f>
        <v>2</v>
      </c>
      <c r="F473" s="414">
        <v>2.0</v>
      </c>
      <c r="G473" s="325">
        <v>0.0</v>
      </c>
      <c r="H473" s="223">
        <f>'90186_2024'!G134</f>
        <v>243520</v>
      </c>
      <c r="I473" s="223">
        <f>'90186_2024'!H134</f>
        <v>487040</v>
      </c>
      <c r="J473" s="324" t="str">
        <f>'90186_2024'!I134</f>
        <v>BABV</v>
      </c>
      <c r="K473" s="324" t="str">
        <f>'90186_2024'!J134</f>
        <v>LOVOL</v>
      </c>
      <c r="L473" s="324" t="str">
        <f>'90186_2024'!K134</f>
        <v>13.798.658/0001-32
</v>
      </c>
      <c r="M473" s="324" t="str">
        <f>'90186_2024'!L134</f>
        <v>LIDON COMERCIO E REPRESENTACAO COMERCIAL DE MAQUINAS LTDA
</v>
      </c>
      <c r="N473" s="324" t="str">
        <f>'90186_2024'!M134</f>
        <v/>
      </c>
      <c r="O473" s="324" t="str">
        <f>'90186_2024'!N134</f>
        <v/>
      </c>
      <c r="P473" s="324" t="str">
        <f>'90186_2024'!O134</f>
        <v/>
      </c>
      <c r="Q473" s="242" t="str">
        <f>'90186_2024'!P134</f>
        <v/>
      </c>
      <c r="R473" s="324" t="str">
        <f>'90186_2024'!Q134</f>
        <v>HOMOLOGADO</v>
      </c>
      <c r="S473" s="226"/>
      <c r="T473" s="226"/>
      <c r="U473" s="226"/>
      <c r="V473" s="226"/>
      <c r="W473" s="226"/>
      <c r="X473" s="226"/>
      <c r="Y473" s="226"/>
      <c r="Z473" s="226"/>
    </row>
    <row r="474" hidden="1">
      <c r="A474" s="79" t="s">
        <v>39</v>
      </c>
      <c r="B474" s="35">
        <f>'90186_2024'!A135</f>
        <v>31</v>
      </c>
      <c r="C474" s="35" t="str">
        <f>'90186_2024'!B135</f>
        <v>E-12-03B-DTS</v>
      </c>
      <c r="D474" s="35" t="str">
        <f>'90186_2024'!C135</f>
        <v>TRATOR DE RODAS</v>
      </c>
      <c r="E474" s="35">
        <f>'90186_2024'!D135</f>
        <v>1</v>
      </c>
      <c r="F474" s="35">
        <f>'90186_2024'!E135</f>
        <v>1</v>
      </c>
      <c r="G474" s="56">
        <f>'90186_2024'!F135</f>
        <v>0</v>
      </c>
      <c r="H474" s="28">
        <f>'90186_2024'!G135</f>
        <v>243520</v>
      </c>
      <c r="I474" s="28">
        <f>'90186_2024'!H135</f>
        <v>243520</v>
      </c>
      <c r="J474" s="35" t="str">
        <f>'90186_2024'!I135</f>
        <v>BAFL</v>
      </c>
      <c r="K474" s="35" t="str">
        <f>'90186_2024'!J135</f>
        <v>LOVOL</v>
      </c>
      <c r="L474" s="35" t="str">
        <f>'90186_2024'!K135</f>
        <v>13.798.658/0001-32
</v>
      </c>
      <c r="M474" s="35" t="str">
        <f>'90186_2024'!L135</f>
        <v>LIDON COMERCIO E REPRESENTACAO COMERCIAL DE MAQUINAS LTDA
</v>
      </c>
      <c r="N474" s="35" t="str">
        <f>'90186_2024'!M135</f>
        <v/>
      </c>
      <c r="O474" s="35" t="str">
        <f>'90186_2024'!N135</f>
        <v/>
      </c>
      <c r="P474" s="35" t="str">
        <f>'90186_2024'!O135</f>
        <v/>
      </c>
      <c r="Q474" s="63" t="str">
        <f>'90186_2024'!P135</f>
        <v/>
      </c>
      <c r="R474" s="35" t="str">
        <f>'90186_2024'!Q135</f>
        <v>HOMOLOGADO</v>
      </c>
    </row>
    <row r="475" hidden="1">
      <c r="A475" s="218" t="s">
        <v>39</v>
      </c>
      <c r="B475" s="324">
        <f>'90186_2024'!A136</f>
        <v>31</v>
      </c>
      <c r="C475" s="324" t="str">
        <f>'90186_2024'!B136</f>
        <v>E-12-03B-DTS</v>
      </c>
      <c r="D475" s="324" t="str">
        <f>'90186_2024'!C136</f>
        <v>TRATOR DE RODAS</v>
      </c>
      <c r="E475" s="324">
        <f>'90186_2024'!D136</f>
        <v>2</v>
      </c>
      <c r="F475" s="414">
        <v>2.0</v>
      </c>
      <c r="G475" s="325">
        <v>0.0</v>
      </c>
      <c r="H475" s="223">
        <f>'90186_2024'!G136</f>
        <v>243520</v>
      </c>
      <c r="I475" s="223">
        <f>'90186_2024'!H136</f>
        <v>487040</v>
      </c>
      <c r="J475" s="324" t="str">
        <f>'90186_2024'!I136</f>
        <v>BAFZ</v>
      </c>
      <c r="K475" s="324" t="str">
        <f>'90186_2024'!J136</f>
        <v>LOVOL</v>
      </c>
      <c r="L475" s="324" t="str">
        <f>'90186_2024'!K136</f>
        <v>13.798.658/0001-32
</v>
      </c>
      <c r="M475" s="324" t="str">
        <f>'90186_2024'!L136</f>
        <v>LIDON COMERCIO E REPRESENTACAO COMERCIAL DE MAQUINAS LTDA
</v>
      </c>
      <c r="N475" s="324" t="str">
        <f>'90186_2024'!M136</f>
        <v/>
      </c>
      <c r="O475" s="324" t="str">
        <f>'90186_2024'!N136</f>
        <v/>
      </c>
      <c r="P475" s="324" t="str">
        <f>'90186_2024'!O136</f>
        <v/>
      </c>
      <c r="Q475" s="242" t="str">
        <f>'90186_2024'!P136</f>
        <v/>
      </c>
      <c r="R475" s="324" t="str">
        <f>'90186_2024'!Q136</f>
        <v>HOMOLOGADO</v>
      </c>
      <c r="S475" s="226"/>
      <c r="T475" s="226"/>
      <c r="U475" s="226"/>
      <c r="V475" s="226"/>
      <c r="W475" s="226"/>
      <c r="X475" s="226"/>
      <c r="Y475" s="226"/>
      <c r="Z475" s="226"/>
    </row>
    <row r="476" hidden="1">
      <c r="A476" s="218" t="s">
        <v>39</v>
      </c>
      <c r="B476" s="324">
        <f>'90186_2024'!A137</f>
        <v>31</v>
      </c>
      <c r="C476" s="324" t="str">
        <f>'90186_2024'!B137</f>
        <v>E-12-03B-DTS</v>
      </c>
      <c r="D476" s="324" t="str">
        <f>'90186_2024'!C137</f>
        <v>TRATOR DE RODAS</v>
      </c>
      <c r="E476" s="324">
        <f>'90186_2024'!D137</f>
        <v>6</v>
      </c>
      <c r="F476" s="414">
        <v>6.0</v>
      </c>
      <c r="G476" s="325">
        <v>0.0</v>
      </c>
      <c r="H476" s="223">
        <f>'90186_2024'!G137</f>
        <v>243520</v>
      </c>
      <c r="I476" s="223">
        <f>'90186_2024'!H137</f>
        <v>1461120</v>
      </c>
      <c r="J476" s="324" t="str">
        <f>'90186_2024'!I137</f>
        <v>BANT</v>
      </c>
      <c r="K476" s="324" t="str">
        <f>'90186_2024'!J137</f>
        <v>LOVOL</v>
      </c>
      <c r="L476" s="324" t="str">
        <f>'90186_2024'!K137</f>
        <v>13.798.658/0001-32
</v>
      </c>
      <c r="M476" s="324" t="str">
        <f>'90186_2024'!L137</f>
        <v>LIDON COMERCIO E REPRESENTACAO COMERCIAL DE MAQUINAS LTDA
</v>
      </c>
      <c r="N476" s="324" t="str">
        <f>'90186_2024'!M137</f>
        <v/>
      </c>
      <c r="O476" s="324" t="str">
        <f>'90186_2024'!N137</f>
        <v/>
      </c>
      <c r="P476" s="324" t="str">
        <f>'90186_2024'!O137</f>
        <v/>
      </c>
      <c r="Q476" s="242" t="str">
        <f>'90186_2024'!P137</f>
        <v/>
      </c>
      <c r="R476" s="324" t="str">
        <f>'90186_2024'!Q137</f>
        <v>HOMOLOGADO</v>
      </c>
      <c r="S476" s="226"/>
      <c r="T476" s="226"/>
      <c r="U476" s="226"/>
      <c r="V476" s="226"/>
      <c r="W476" s="226"/>
      <c r="X476" s="226"/>
      <c r="Y476" s="226"/>
      <c r="Z476" s="226"/>
    </row>
    <row r="477" hidden="1">
      <c r="A477" s="77" t="s">
        <v>39</v>
      </c>
      <c r="B477" s="52">
        <f>'90186_2024'!A138</f>
        <v>31</v>
      </c>
      <c r="C477" s="52" t="str">
        <f>'90186_2024'!B138</f>
        <v>E-12-03B-DTS</v>
      </c>
      <c r="D477" s="52" t="str">
        <f>'90186_2024'!C138</f>
        <v>TRATOR DE RODAS</v>
      </c>
      <c r="E477" s="52">
        <f>'90186_2024'!D138</f>
        <v>2</v>
      </c>
      <c r="F477" s="52">
        <f>'90186_2024'!E138</f>
        <v>0</v>
      </c>
      <c r="G477" s="67">
        <f>'90186_2024'!F138</f>
        <v>2</v>
      </c>
      <c r="H477" s="46">
        <f>'90186_2024'!G138</f>
        <v>243520</v>
      </c>
      <c r="I477" s="46">
        <f>'90186_2024'!H138</f>
        <v>487040</v>
      </c>
      <c r="J477" s="52" t="str">
        <f>'90186_2024'!I138</f>
        <v>BASM</v>
      </c>
      <c r="K477" s="52" t="str">
        <f>'90186_2024'!J138</f>
        <v>LOVOL</v>
      </c>
      <c r="L477" s="52" t="str">
        <f>'90186_2024'!K138</f>
        <v>13.798.658/0001-32
</v>
      </c>
      <c r="M477" s="52" t="str">
        <f>'90186_2024'!L138</f>
        <v>LIDON COMERCIO E REPRESENTACAO COMERCIAL DE MAQUINAS LTDA
</v>
      </c>
      <c r="N477" s="52" t="str">
        <f>'90186_2024'!M138</f>
        <v/>
      </c>
      <c r="O477" s="52" t="str">
        <f>'90186_2024'!N138</f>
        <v/>
      </c>
      <c r="P477" s="52" t="str">
        <f>'90186_2024'!O138</f>
        <v/>
      </c>
      <c r="Q477" s="70" t="str">
        <f>'90186_2024'!P138</f>
        <v/>
      </c>
      <c r="R477" s="52" t="str">
        <f>'90186_2024'!Q138</f>
        <v>HOMOLOGADO</v>
      </c>
    </row>
    <row r="478" hidden="1">
      <c r="A478" s="79" t="s">
        <v>39</v>
      </c>
      <c r="B478" s="35">
        <f>'90186_2024'!A139</f>
        <v>31</v>
      </c>
      <c r="C478" s="35" t="str">
        <f>'90186_2024'!B139</f>
        <v>E-12-03B-DTS</v>
      </c>
      <c r="D478" s="35" t="str">
        <f>'90186_2024'!C139</f>
        <v>TRATOR DE RODAS</v>
      </c>
      <c r="E478" s="35">
        <f>'90186_2024'!D139</f>
        <v>1</v>
      </c>
      <c r="F478" s="35">
        <f>'90186_2024'!E139</f>
        <v>0</v>
      </c>
      <c r="G478" s="56">
        <f>'90186_2024'!F139</f>
        <v>1</v>
      </c>
      <c r="H478" s="28">
        <f>'90186_2024'!G139</f>
        <v>243520</v>
      </c>
      <c r="I478" s="28">
        <f>'90186_2024'!H139</f>
        <v>243520</v>
      </c>
      <c r="J478" s="35" t="str">
        <f>'90186_2024'!I139</f>
        <v>BASV</v>
      </c>
      <c r="K478" s="35" t="str">
        <f>'90186_2024'!J139</f>
        <v>LOVOL</v>
      </c>
      <c r="L478" s="35" t="str">
        <f>'90186_2024'!K139</f>
        <v>13.798.658/0001-32
</v>
      </c>
      <c r="M478" s="35" t="str">
        <f>'90186_2024'!L139</f>
        <v>LIDON COMERCIO E REPRESENTACAO COMERCIAL DE MAQUINAS LTDA
</v>
      </c>
      <c r="N478" s="35" t="str">
        <f>'90186_2024'!M139</f>
        <v/>
      </c>
      <c r="O478" s="35" t="str">
        <f>'90186_2024'!N139</f>
        <v/>
      </c>
      <c r="P478" s="35" t="str">
        <f>'90186_2024'!O139</f>
        <v/>
      </c>
      <c r="Q478" s="63" t="str">
        <f>'90186_2024'!P139</f>
        <v/>
      </c>
      <c r="R478" s="35" t="str">
        <f>'90186_2024'!Q139</f>
        <v>HOMOLOGADO</v>
      </c>
    </row>
    <row r="479" hidden="1">
      <c r="A479" s="77" t="s">
        <v>39</v>
      </c>
      <c r="B479" s="52">
        <f>'90186_2024'!A140</f>
        <v>31</v>
      </c>
      <c r="C479" s="52" t="str">
        <f>'90186_2024'!B140</f>
        <v>E-12-03B-DTS</v>
      </c>
      <c r="D479" s="52" t="str">
        <f>'90186_2024'!C140</f>
        <v>TRATOR DE RODAS</v>
      </c>
      <c r="E479" s="52">
        <f>'90186_2024'!D140</f>
        <v>2</v>
      </c>
      <c r="F479" s="52">
        <f>'90186_2024'!E140</f>
        <v>0</v>
      </c>
      <c r="G479" s="67">
        <f>'90186_2024'!F140</f>
        <v>2</v>
      </c>
      <c r="H479" s="46">
        <f>'90186_2024'!G140</f>
        <v>243520</v>
      </c>
      <c r="I479" s="46">
        <f>'90186_2024'!H140</f>
        <v>487040</v>
      </c>
      <c r="J479" s="52" t="str">
        <f>'90186_2024'!I140</f>
        <v>CPBV</v>
      </c>
      <c r="K479" s="52" t="str">
        <f>'90186_2024'!J140</f>
        <v>LOVOL</v>
      </c>
      <c r="L479" s="52" t="str">
        <f>'90186_2024'!K140</f>
        <v>13.798.658/0001-32
</v>
      </c>
      <c r="M479" s="52" t="str">
        <f>'90186_2024'!L140</f>
        <v>LIDON COMERCIO E REPRESENTACAO COMERCIAL DE MAQUINAS LTDA
</v>
      </c>
      <c r="N479" s="52" t="str">
        <f>'90186_2024'!M140</f>
        <v/>
      </c>
      <c r="O479" s="52" t="str">
        <f>'90186_2024'!N140</f>
        <v/>
      </c>
      <c r="P479" s="52" t="str">
        <f>'90186_2024'!O140</f>
        <v/>
      </c>
      <c r="Q479" s="70" t="str">
        <f>'90186_2024'!P140</f>
        <v/>
      </c>
      <c r="R479" s="52" t="str">
        <f>'90186_2024'!Q140</f>
        <v>HOMOLOGADO</v>
      </c>
    </row>
    <row r="480" hidden="1">
      <c r="A480" s="79" t="s">
        <v>39</v>
      </c>
      <c r="B480" s="35">
        <f>'90186_2024'!A141</f>
        <v>31</v>
      </c>
      <c r="C480" s="35" t="str">
        <f>'90186_2024'!B141</f>
        <v>E-12-03B-DTS</v>
      </c>
      <c r="D480" s="35" t="str">
        <f>'90186_2024'!C141</f>
        <v>TRATOR DE RODAS</v>
      </c>
      <c r="E480" s="35">
        <f>'90186_2024'!D141</f>
        <v>2</v>
      </c>
      <c r="F480" s="35">
        <f>'90186_2024'!E141</f>
        <v>2</v>
      </c>
      <c r="G480" s="56">
        <f>'90186_2024'!F141</f>
        <v>0</v>
      </c>
      <c r="H480" s="28">
        <f>'90186_2024'!G141</f>
        <v>243520</v>
      </c>
      <c r="I480" s="28">
        <f>'90186_2024'!H141</f>
        <v>487040</v>
      </c>
      <c r="J480" s="35" t="str">
        <f>'90186_2024'!I141</f>
        <v>DECEA</v>
      </c>
      <c r="K480" s="35" t="str">
        <f>'90186_2024'!J141</f>
        <v>LOVOL</v>
      </c>
      <c r="L480" s="35" t="str">
        <f>'90186_2024'!K141</f>
        <v>13.798.658/0001-32
</v>
      </c>
      <c r="M480" s="35" t="str">
        <f>'90186_2024'!L141</f>
        <v>LIDON COMERCIO E REPRESENTACAO COMERCIAL DE MAQUINAS LTDA
</v>
      </c>
      <c r="N480" s="35" t="str">
        <f>'90186_2024'!M141</f>
        <v/>
      </c>
      <c r="O480" s="35" t="str">
        <f>'90186_2024'!N141</f>
        <v/>
      </c>
      <c r="P480" s="35" t="str">
        <f>'90186_2024'!O141</f>
        <v/>
      </c>
      <c r="Q480" s="63" t="str">
        <f>'90186_2024'!P141</f>
        <v/>
      </c>
      <c r="R480" s="35" t="str">
        <f>'90186_2024'!Q141</f>
        <v>HOMOLOGADO</v>
      </c>
    </row>
    <row r="481" hidden="1">
      <c r="A481" s="77" t="s">
        <v>39</v>
      </c>
      <c r="B481" s="52">
        <f>'90186_2024'!A142</f>
        <v>31</v>
      </c>
      <c r="C481" s="52" t="str">
        <f>'90186_2024'!B142</f>
        <v>E-12-03B-DTS</v>
      </c>
      <c r="D481" s="52" t="str">
        <f>'90186_2024'!C142</f>
        <v>TRATOR DE RODAS</v>
      </c>
      <c r="E481" s="52">
        <f>'90186_2024'!D142</f>
        <v>1</v>
      </c>
      <c r="F481" s="52">
        <f>'90186_2024'!E142</f>
        <v>1</v>
      </c>
      <c r="G481" s="67">
        <f>'90186_2024'!F142</f>
        <v>0</v>
      </c>
      <c r="H481" s="46">
        <f>'90186_2024'!G142</f>
        <v>243520</v>
      </c>
      <c r="I481" s="46">
        <f>'90186_2024'!H142</f>
        <v>243520</v>
      </c>
      <c r="J481" s="52" t="str">
        <f>'90186_2024'!I142</f>
        <v>EEAR</v>
      </c>
      <c r="K481" s="52" t="str">
        <f>'90186_2024'!J142</f>
        <v>LOVOL</v>
      </c>
      <c r="L481" s="52" t="str">
        <f>'90186_2024'!K142</f>
        <v>13.798.658/0001-32
</v>
      </c>
      <c r="M481" s="52" t="str">
        <f>'90186_2024'!L142</f>
        <v>LIDON COMERCIO E REPRESENTACAO COMERCIAL DE MAQUINAS LTDA
</v>
      </c>
      <c r="N481" s="52" t="str">
        <f>'90186_2024'!M142</f>
        <v/>
      </c>
      <c r="O481" s="52" t="str">
        <f>'90186_2024'!N142</f>
        <v/>
      </c>
      <c r="P481" s="52" t="str">
        <f>'90186_2024'!O142</f>
        <v/>
      </c>
      <c r="Q481" s="70" t="str">
        <f>'90186_2024'!P142</f>
        <v/>
      </c>
      <c r="R481" s="52" t="str">
        <f>'90186_2024'!Q142</f>
        <v>HOMOLOGADO</v>
      </c>
    </row>
    <row r="482" hidden="1">
      <c r="A482" s="79" t="s">
        <v>39</v>
      </c>
      <c r="B482" s="35">
        <f>'90186_2024'!A143</f>
        <v>31</v>
      </c>
      <c r="C482" s="35" t="str">
        <f>'90186_2024'!B143</f>
        <v>E-12-03B-DTS</v>
      </c>
      <c r="D482" s="35" t="str">
        <f>'90186_2024'!C143</f>
        <v>TRATOR DE RODAS</v>
      </c>
      <c r="E482" s="35">
        <f>'90186_2024'!D143</f>
        <v>6</v>
      </c>
      <c r="F482" s="321">
        <f>'90186_2024'!E143</f>
        <v>3</v>
      </c>
      <c r="G482" s="56">
        <f>'90186_2024'!F143</f>
        <v>3</v>
      </c>
      <c r="H482" s="28">
        <f>'90186_2024'!G143</f>
        <v>243520</v>
      </c>
      <c r="I482" s="28">
        <f>'90186_2024'!H143</f>
        <v>1461120</v>
      </c>
      <c r="J482" s="35" t="str">
        <f>'90186_2024'!I143</f>
        <v>GAP-AF</v>
      </c>
      <c r="K482" s="35" t="str">
        <f>'90186_2024'!J143</f>
        <v>LOVOL</v>
      </c>
      <c r="L482" s="35" t="str">
        <f>'90186_2024'!K143</f>
        <v>13.798.658/0001-32
</v>
      </c>
      <c r="M482" s="35" t="str">
        <f>'90186_2024'!L143</f>
        <v>LIDON COMERCIO E REPRESENTACAO COMERCIAL DE MAQUINAS LTDA
</v>
      </c>
      <c r="N482" s="35" t="str">
        <f>'90186_2024'!M143</f>
        <v/>
      </c>
      <c r="O482" s="35" t="str">
        <f>'90186_2024'!N143</f>
        <v/>
      </c>
      <c r="P482" s="35" t="str">
        <f>'90186_2024'!O143</f>
        <v/>
      </c>
      <c r="Q482" s="63" t="str">
        <f>'90186_2024'!P143</f>
        <v/>
      </c>
      <c r="R482" s="35" t="str">
        <f>'90186_2024'!Q143</f>
        <v>HOMOLOGADO</v>
      </c>
    </row>
    <row r="483" hidden="1">
      <c r="A483" s="77" t="s">
        <v>39</v>
      </c>
      <c r="B483" s="52">
        <f>'90186_2024'!A144</f>
        <v>31</v>
      </c>
      <c r="C483" s="52" t="str">
        <f>'90186_2024'!B144</f>
        <v>E-12-03B-DTS</v>
      </c>
      <c r="D483" s="52" t="str">
        <f>'90186_2024'!C144</f>
        <v>TRATOR DE RODAS</v>
      </c>
      <c r="E483" s="52">
        <f>'90186_2024'!D144</f>
        <v>5</v>
      </c>
      <c r="F483" s="52">
        <f>'90186_2024'!E144</f>
        <v>0</v>
      </c>
      <c r="G483" s="67">
        <f>'90186_2024'!F144</f>
        <v>5</v>
      </c>
      <c r="H483" s="46">
        <f>'90186_2024'!G144</f>
        <v>243520</v>
      </c>
      <c r="I483" s="46">
        <f>'90186_2024'!H144</f>
        <v>1217600</v>
      </c>
      <c r="J483" s="52" t="str">
        <f>'90186_2024'!I144</f>
        <v>GAP-CO</v>
      </c>
      <c r="K483" s="52" t="str">
        <f>'90186_2024'!J144</f>
        <v>LOVOL</v>
      </c>
      <c r="L483" s="52" t="str">
        <f>'90186_2024'!K144</f>
        <v>13.798.658/0001-32
</v>
      </c>
      <c r="M483" s="52" t="str">
        <f>'90186_2024'!L144</f>
        <v>LIDON COMERCIO E REPRESENTACAO COMERCIAL DE MAQUINAS LTDA
</v>
      </c>
      <c r="N483" s="52" t="str">
        <f>'90186_2024'!M144</f>
        <v/>
      </c>
      <c r="O483" s="52" t="str">
        <f>'90186_2024'!N144</f>
        <v/>
      </c>
      <c r="P483" s="52" t="str">
        <f>'90186_2024'!O144</f>
        <v/>
      </c>
      <c r="Q483" s="70" t="str">
        <f>'90186_2024'!P144</f>
        <v/>
      </c>
      <c r="R483" s="52" t="str">
        <f>'90186_2024'!Q144</f>
        <v>HOMOLOGADO</v>
      </c>
    </row>
    <row r="484" hidden="1">
      <c r="A484" s="79" t="s">
        <v>39</v>
      </c>
      <c r="B484" s="35">
        <f>'90186_2024'!A145</f>
        <v>31</v>
      </c>
      <c r="C484" s="35" t="str">
        <f>'90186_2024'!B145</f>
        <v>E-12-03B-DTS</v>
      </c>
      <c r="D484" s="35" t="str">
        <f>'90186_2024'!C145</f>
        <v>TRATOR DE RODAS</v>
      </c>
      <c r="E484" s="35">
        <f>'90186_2024'!D145</f>
        <v>2</v>
      </c>
      <c r="F484" s="35">
        <f>'90186_2024'!E145</f>
        <v>0</v>
      </c>
      <c r="G484" s="56">
        <f>'90186_2024'!F145</f>
        <v>2</v>
      </c>
      <c r="H484" s="28">
        <f>'90186_2024'!G145</f>
        <v>243520</v>
      </c>
      <c r="I484" s="28">
        <f>'90186_2024'!H145</f>
        <v>487040</v>
      </c>
      <c r="J484" s="35" t="str">
        <f>'90186_2024'!I145</f>
        <v>GAP-DF</v>
      </c>
      <c r="K484" s="35" t="str">
        <f>'90186_2024'!J145</f>
        <v>LOVOL</v>
      </c>
      <c r="L484" s="35" t="str">
        <f>'90186_2024'!K145</f>
        <v>13.798.658/0001-32
</v>
      </c>
      <c r="M484" s="35" t="str">
        <f>'90186_2024'!L145</f>
        <v>LIDON COMERCIO E REPRESENTACAO COMERCIAL DE MAQUINAS LTDA
</v>
      </c>
      <c r="N484" s="35" t="str">
        <f>'90186_2024'!M145</f>
        <v/>
      </c>
      <c r="O484" s="35" t="str">
        <f>'90186_2024'!N145</f>
        <v/>
      </c>
      <c r="P484" s="35" t="str">
        <f>'90186_2024'!O145</f>
        <v/>
      </c>
      <c r="Q484" s="63" t="str">
        <f>'90186_2024'!P145</f>
        <v/>
      </c>
      <c r="R484" s="35" t="str">
        <f>'90186_2024'!Q145</f>
        <v>HOMOLOGADO</v>
      </c>
    </row>
    <row r="485" hidden="1">
      <c r="A485" s="77" t="s">
        <v>39</v>
      </c>
      <c r="B485" s="52">
        <f>'90186_2024'!A146</f>
        <v>31</v>
      </c>
      <c r="C485" s="52" t="str">
        <f>'90186_2024'!B146</f>
        <v>E-12-03B-DTS</v>
      </c>
      <c r="D485" s="52" t="str">
        <f>'90186_2024'!C146</f>
        <v>TRATOR DE RODAS</v>
      </c>
      <c r="E485" s="52">
        <f>'90186_2024'!D146</f>
        <v>1</v>
      </c>
      <c r="F485" s="52">
        <f>'90186_2024'!E146</f>
        <v>1</v>
      </c>
      <c r="G485" s="67">
        <f>'90186_2024'!F146</f>
        <v>0</v>
      </c>
      <c r="H485" s="46">
        <f>'90186_2024'!G146</f>
        <v>243520</v>
      </c>
      <c r="I485" s="46">
        <f>'90186_2024'!H146</f>
        <v>243520</v>
      </c>
      <c r="J485" s="52" t="str">
        <f>'90186_2024'!I146</f>
        <v>GAP-GL</v>
      </c>
      <c r="K485" s="52" t="str">
        <f>'90186_2024'!J146</f>
        <v>LOVOL</v>
      </c>
      <c r="L485" s="52" t="str">
        <f>'90186_2024'!K146</f>
        <v>13.798.658/0001-32
</v>
      </c>
      <c r="M485" s="52" t="str">
        <f>'90186_2024'!L146</f>
        <v>LIDON COMERCIO E REPRESENTACAO COMERCIAL DE MAQUINAS LTDA
</v>
      </c>
      <c r="N485" s="52" t="str">
        <f>'90186_2024'!M146</f>
        <v/>
      </c>
      <c r="O485" s="52" t="str">
        <f>'90186_2024'!N146</f>
        <v/>
      </c>
      <c r="P485" s="52" t="str">
        <f>'90186_2024'!O146</f>
        <v/>
      </c>
      <c r="Q485" s="70" t="str">
        <f>'90186_2024'!P146</f>
        <v/>
      </c>
      <c r="R485" s="52" t="str">
        <f>'90186_2024'!Q146</f>
        <v>HOMOLOGADO</v>
      </c>
    </row>
    <row r="486" hidden="1">
      <c r="A486" s="79" t="s">
        <v>39</v>
      </c>
      <c r="B486" s="35">
        <f>'90186_2024'!A147</f>
        <v>31</v>
      </c>
      <c r="C486" s="35" t="str">
        <f>'90186_2024'!B147</f>
        <v>E-12-03B-DTS</v>
      </c>
      <c r="D486" s="35" t="str">
        <f>'90186_2024'!C147</f>
        <v>TRATOR DE RODAS</v>
      </c>
      <c r="E486" s="35">
        <f>'90186_2024'!D147</f>
        <v>1</v>
      </c>
      <c r="F486" s="35">
        <f>'90186_2024'!E147</f>
        <v>0</v>
      </c>
      <c r="G486" s="56">
        <f>'90186_2024'!F147</f>
        <v>1</v>
      </c>
      <c r="H486" s="28">
        <f>'90186_2024'!G147</f>
        <v>243520</v>
      </c>
      <c r="I486" s="28">
        <f>'90186_2024'!H147</f>
        <v>243520</v>
      </c>
      <c r="J486" s="35" t="str">
        <f>'90186_2024'!I147</f>
        <v>GAP-LS</v>
      </c>
      <c r="K486" s="35" t="str">
        <f>'90186_2024'!J147</f>
        <v>LOVOL</v>
      </c>
      <c r="L486" s="35" t="str">
        <f>'90186_2024'!K147</f>
        <v>13.798.658/0001-32
</v>
      </c>
      <c r="M486" s="35" t="str">
        <f>'90186_2024'!L147</f>
        <v>LIDON COMERCIO E REPRESENTACAO COMERCIAL DE MAQUINAS LTDA
</v>
      </c>
      <c r="N486" s="35" t="str">
        <f>'90186_2024'!M147</f>
        <v/>
      </c>
      <c r="O486" s="35" t="str">
        <f>'90186_2024'!N147</f>
        <v/>
      </c>
      <c r="P486" s="35" t="str">
        <f>'90186_2024'!O147</f>
        <v/>
      </c>
      <c r="Q486" s="63" t="str">
        <f>'90186_2024'!P147</f>
        <v/>
      </c>
      <c r="R486" s="35" t="str">
        <f>'90186_2024'!Q147</f>
        <v>HOMOLOGADO</v>
      </c>
    </row>
    <row r="487" hidden="1">
      <c r="A487" s="77" t="s">
        <v>39</v>
      </c>
      <c r="B487" s="52">
        <f>'90186_2024'!A148</f>
        <v>31</v>
      </c>
      <c r="C487" s="52" t="str">
        <f>'90186_2024'!B148</f>
        <v>E-12-03B-DTS</v>
      </c>
      <c r="D487" s="52" t="str">
        <f>'90186_2024'!C148</f>
        <v>TRATOR DE RODAS</v>
      </c>
      <c r="E487" s="52">
        <f>'90186_2024'!D148</f>
        <v>1</v>
      </c>
      <c r="F487" s="52">
        <f>'90186_2024'!E148</f>
        <v>0</v>
      </c>
      <c r="G487" s="67">
        <f>'90186_2024'!F148</f>
        <v>1</v>
      </c>
      <c r="H487" s="46">
        <f>'90186_2024'!G148</f>
        <v>243520</v>
      </c>
      <c r="I487" s="46">
        <f>'90186_2024'!H148</f>
        <v>243520</v>
      </c>
      <c r="J487" s="52" t="str">
        <f>'90186_2024'!I148</f>
        <v>GAP-MN</v>
      </c>
      <c r="K487" s="52" t="str">
        <f>'90186_2024'!J148</f>
        <v>LOVOL</v>
      </c>
      <c r="L487" s="52" t="str">
        <f>'90186_2024'!K148</f>
        <v>13.798.658/0001-32
</v>
      </c>
      <c r="M487" s="52" t="str">
        <f>'90186_2024'!L148</f>
        <v>LIDON COMERCIO E REPRESENTACAO COMERCIAL DE MAQUINAS LTDA
</v>
      </c>
      <c r="N487" s="52" t="str">
        <f>'90186_2024'!M148</f>
        <v/>
      </c>
      <c r="O487" s="52" t="str">
        <f>'90186_2024'!N148</f>
        <v/>
      </c>
      <c r="P487" s="52" t="str">
        <f>'90186_2024'!O148</f>
        <v/>
      </c>
      <c r="Q487" s="70" t="str">
        <f>'90186_2024'!P148</f>
        <v/>
      </c>
      <c r="R487" s="52" t="str">
        <f>'90186_2024'!Q148</f>
        <v>HOMOLOGADO</v>
      </c>
    </row>
    <row r="488" hidden="1">
      <c r="A488" s="79" t="s">
        <v>39</v>
      </c>
      <c r="B488" s="35">
        <f>'90186_2024'!A149</f>
        <v>31</v>
      </c>
      <c r="C488" s="35" t="str">
        <f>'90186_2024'!B149</f>
        <v>E-12-03B-DTS</v>
      </c>
      <c r="D488" s="35" t="str">
        <f>'90186_2024'!C149</f>
        <v>TRATOR DE RODAS</v>
      </c>
      <c r="E488" s="35">
        <f>'90186_2024'!D149</f>
        <v>1</v>
      </c>
      <c r="F488" s="35">
        <f>'90186_2024'!E149</f>
        <v>0</v>
      </c>
      <c r="G488" s="56">
        <f>'90186_2024'!F149</f>
        <v>1</v>
      </c>
      <c r="H488" s="28">
        <f>'90186_2024'!G149</f>
        <v>243520</v>
      </c>
      <c r="I488" s="28">
        <f>'90186_2024'!H149</f>
        <v>243520</v>
      </c>
      <c r="J488" s="35" t="str">
        <f>'90186_2024'!I149</f>
        <v>GAP-RF</v>
      </c>
      <c r="K488" s="35" t="str">
        <f>'90186_2024'!J149</f>
        <v>LOVOL</v>
      </c>
      <c r="L488" s="35" t="str">
        <f>'90186_2024'!K149</f>
        <v>13.798.658/0001-32
</v>
      </c>
      <c r="M488" s="35" t="str">
        <f>'90186_2024'!L149</f>
        <v>LIDON COMERCIO E REPRESENTACAO COMERCIAL DE MAQUINAS LTDA
</v>
      </c>
      <c r="N488" s="35" t="str">
        <f>'90186_2024'!M149</f>
        <v/>
      </c>
      <c r="O488" s="35" t="str">
        <f>'90186_2024'!N149</f>
        <v/>
      </c>
      <c r="P488" s="35" t="str">
        <f>'90186_2024'!O149</f>
        <v/>
      </c>
      <c r="Q488" s="63" t="str">
        <f>'90186_2024'!P149</f>
        <v/>
      </c>
      <c r="R488" s="35" t="str">
        <f>'90186_2024'!Q149</f>
        <v>HOMOLOGADO</v>
      </c>
    </row>
    <row r="489" hidden="1">
      <c r="A489" s="77" t="s">
        <v>39</v>
      </c>
      <c r="B489" s="52">
        <f>'90186_2024'!A150</f>
        <v>31</v>
      </c>
      <c r="C489" s="52" t="str">
        <f>'90186_2024'!B150</f>
        <v>E-12-03B-DTS</v>
      </c>
      <c r="D489" s="52" t="str">
        <f>'90186_2024'!C150</f>
        <v>TRATOR DE RODAS</v>
      </c>
      <c r="E489" s="52">
        <f>'90186_2024'!D150</f>
        <v>6</v>
      </c>
      <c r="F489" s="52">
        <f>'90186_2024'!E150</f>
        <v>1</v>
      </c>
      <c r="G489" s="67">
        <f>'90186_2024'!F150</f>
        <v>5</v>
      </c>
      <c r="H489" s="46">
        <f>'90186_2024'!G150</f>
        <v>243520</v>
      </c>
      <c r="I489" s="46">
        <f>'90186_2024'!H150</f>
        <v>1461120</v>
      </c>
      <c r="J489" s="52" t="str">
        <f>'90186_2024'!I150</f>
        <v>GAP-SJ</v>
      </c>
      <c r="K489" s="52" t="str">
        <f>'90186_2024'!J150</f>
        <v>LOVOL</v>
      </c>
      <c r="L489" s="52" t="str">
        <f>'90186_2024'!K150</f>
        <v>13.798.658/0001-32
</v>
      </c>
      <c r="M489" s="52" t="str">
        <f>'90186_2024'!L150</f>
        <v>LIDON COMERCIO E REPRESENTACAO COMERCIAL DE MAQUINAS LTDA
</v>
      </c>
      <c r="N489" s="52" t="str">
        <f>'90186_2024'!M150</f>
        <v/>
      </c>
      <c r="O489" s="52" t="str">
        <f>'90186_2024'!N150</f>
        <v/>
      </c>
      <c r="P489" s="52" t="str">
        <f>'90186_2024'!O150</f>
        <v/>
      </c>
      <c r="Q489" s="70" t="str">
        <f>'90186_2024'!P150</f>
        <v/>
      </c>
      <c r="R489" s="52" t="str">
        <f>'90186_2024'!Q150</f>
        <v>HOMOLOGADO</v>
      </c>
    </row>
    <row r="490" hidden="1">
      <c r="A490" s="79" t="s">
        <v>39</v>
      </c>
      <c r="B490" s="35">
        <f>'90186_2024'!A151</f>
        <v>31</v>
      </c>
      <c r="C490" s="35" t="str">
        <f>'90186_2024'!B151</f>
        <v>E-12-03B-DTS</v>
      </c>
      <c r="D490" s="35" t="str">
        <f>'90186_2024'!C151</f>
        <v>TRATOR DE RODAS</v>
      </c>
      <c r="E490" s="35">
        <f>'90186_2024'!D151</f>
        <v>1</v>
      </c>
      <c r="F490" s="35">
        <f>'90186_2024'!E151</f>
        <v>0</v>
      </c>
      <c r="G490" s="56">
        <f>'90186_2024'!F151</f>
        <v>1</v>
      </c>
      <c r="H490" s="28">
        <f>'90186_2024'!G151</f>
        <v>243520</v>
      </c>
      <c r="I490" s="28">
        <f>'90186_2024'!H151</f>
        <v>243520</v>
      </c>
      <c r="J490" s="35" t="str">
        <f>'90186_2024'!I151</f>
        <v>GAP-SP</v>
      </c>
      <c r="K490" s="35" t="str">
        <f>'90186_2024'!J151</f>
        <v>LOVOL</v>
      </c>
      <c r="L490" s="35" t="str">
        <f>'90186_2024'!K151</f>
        <v>13.798.658/0001-32
</v>
      </c>
      <c r="M490" s="35" t="str">
        <f>'90186_2024'!L151</f>
        <v>LIDON COMERCIO E REPRESENTACAO COMERCIAL DE MAQUINAS LTDA
</v>
      </c>
      <c r="N490" s="35" t="str">
        <f>'90186_2024'!M151</f>
        <v/>
      </c>
      <c r="O490" s="35" t="str">
        <f>'90186_2024'!N151</f>
        <v/>
      </c>
      <c r="P490" s="35" t="str">
        <f>'90186_2024'!O151</f>
        <v/>
      </c>
      <c r="Q490" s="63" t="str">
        <f>'90186_2024'!P151</f>
        <v/>
      </c>
      <c r="R490" s="35" t="str">
        <f>'90186_2024'!Q151</f>
        <v>HOMOLOGADO</v>
      </c>
    </row>
    <row r="491" hidden="1">
      <c r="A491" s="77" t="s">
        <v>39</v>
      </c>
      <c r="B491" s="52">
        <f>'90186_2024'!A152</f>
        <v>32</v>
      </c>
      <c r="C491" s="52" t="str">
        <f>'90186_2024'!B152</f>
        <v>P-3-01A-DTS</v>
      </c>
      <c r="D491" s="52" t="str">
        <f>'90186_2024'!C152</f>
        <v>UTILITÁRIO</v>
      </c>
      <c r="E491" s="52">
        <f>'90186_2024'!D152</f>
        <v>5</v>
      </c>
      <c r="F491" s="52">
        <f>'90186_2024'!E152</f>
        <v>5</v>
      </c>
      <c r="G491" s="67">
        <f>'90186_2024'!F152</f>
        <v>0</v>
      </c>
      <c r="H491" s="46">
        <f>'90186_2024'!G152</f>
        <v>125197.29</v>
      </c>
      <c r="I491" s="46">
        <f>'90186_2024'!H152</f>
        <v>625986.45</v>
      </c>
      <c r="J491" s="52" t="str">
        <f>'90186_2024'!I152</f>
        <v>1 BACG,           1 BAAN,             1 BASC,            1 BANT,              1 BAPV</v>
      </c>
      <c r="K491" s="52" t="str">
        <f>'90186_2024'!J152</f>
        <v>CITROEN / AIRCROSS FEEL 7 LUGARES 1.0</v>
      </c>
      <c r="L491" s="52" t="str">
        <f>'90186_2024'!K152</f>
        <v>29.034.608/0001-19 </v>
      </c>
      <c r="M491" s="52" t="str">
        <f>'90186_2024'!L152</f>
        <v>SAINT-TROPEZ DISTRIBUIDORA DE VEICULOS LTDA</v>
      </c>
      <c r="N491" s="52" t="str">
        <f>'90186_2024'!M152</f>
        <v/>
      </c>
      <c r="O491" s="52" t="str">
        <f>'90186_2024'!N152</f>
        <v/>
      </c>
      <c r="P491" s="52" t="str">
        <f>'90186_2024'!O152</f>
        <v/>
      </c>
      <c r="Q491" s="70">
        <f>'90186_2024'!P152</f>
        <v>45975</v>
      </c>
      <c r="R491" s="52" t="str">
        <f>'90186_2024'!Q152</f>
        <v>CONFORME OF N° 7202/SPOG-20/14784 DE 25/11/2024 DO COMPREP</v>
      </c>
    </row>
    <row r="492" hidden="1">
      <c r="A492" s="79" t="s">
        <v>39</v>
      </c>
      <c r="B492" s="35">
        <f>'90186_2024'!A153</f>
        <v>32</v>
      </c>
      <c r="C492" s="35" t="str">
        <f>'90186_2024'!B153</f>
        <v>P-3-01A-DTS</v>
      </c>
      <c r="D492" s="35" t="str">
        <f>'90186_2024'!C153</f>
        <v>UTILITÁRIO</v>
      </c>
      <c r="E492" s="35">
        <f>'90186_2024'!D153</f>
        <v>5</v>
      </c>
      <c r="F492" s="321">
        <f>'90186_2024'!E153</f>
        <v>5</v>
      </c>
      <c r="G492" s="56">
        <f>'90186_2024'!F153</f>
        <v>0</v>
      </c>
      <c r="H492" s="28">
        <f>'90186_2024'!G153</f>
        <v>125197.29</v>
      </c>
      <c r="I492" s="28">
        <f>'90186_2024'!H153</f>
        <v>625986.45</v>
      </c>
      <c r="J492" s="35" t="str">
        <f>'90186_2024'!I153</f>
        <v>CINDACTA 1</v>
      </c>
      <c r="K492" s="35" t="str">
        <f>'90186_2024'!J153</f>
        <v>CITROEN / AIRCROSS FEEL 7 LUGARES 1.0</v>
      </c>
      <c r="L492" s="35" t="str">
        <f>'90186_2024'!K153</f>
        <v>29.034.608/0001-19 </v>
      </c>
      <c r="M492" s="35" t="str">
        <f>'90186_2024'!L153</f>
        <v>SAINT-TROPEZ DISTRIBUIDORA DE VEICULOS LTDA</v>
      </c>
      <c r="N492" s="35" t="str">
        <f>'90186_2024'!M153</f>
        <v/>
      </c>
      <c r="O492" s="35" t="str">
        <f>'90186_2024'!N153</f>
        <v/>
      </c>
      <c r="P492" s="35" t="str">
        <f>'90186_2024'!O153</f>
        <v/>
      </c>
      <c r="Q492" s="63">
        <f>'90186_2024'!P153</f>
        <v>45975</v>
      </c>
      <c r="R492" s="35" t="str">
        <f>'90186_2024'!Q153</f>
        <v>HOMOLOGADO</v>
      </c>
    </row>
    <row r="493" hidden="1">
      <c r="A493" s="77" t="s">
        <v>39</v>
      </c>
      <c r="B493" s="52">
        <f>'90186_2024'!A154</f>
        <v>32</v>
      </c>
      <c r="C493" s="52" t="str">
        <f>'90186_2024'!B154</f>
        <v>P-3-01A-DTS</v>
      </c>
      <c r="D493" s="52" t="str">
        <f>'90186_2024'!C154</f>
        <v>UTILITÁRIO</v>
      </c>
      <c r="E493" s="52">
        <f>'90186_2024'!D154</f>
        <v>4</v>
      </c>
      <c r="F493" s="321">
        <f>'90186_2024'!E154</f>
        <v>4</v>
      </c>
      <c r="G493" s="67">
        <f>'90186_2024'!F154</f>
        <v>0</v>
      </c>
      <c r="H493" s="46">
        <f>'90186_2024'!G154</f>
        <v>125197.29</v>
      </c>
      <c r="I493" s="46">
        <f>'90186_2024'!H154</f>
        <v>500789.16</v>
      </c>
      <c r="J493" s="52" t="str">
        <f>'90186_2024'!I154</f>
        <v>CINDACTA 2</v>
      </c>
      <c r="K493" s="52" t="str">
        <f>'90186_2024'!J154</f>
        <v>CITROEN / AIRCROSS FEEL 7 LUGARES 1.0</v>
      </c>
      <c r="L493" s="52" t="str">
        <f>'90186_2024'!K154</f>
        <v>29.034.608/0001-19 </v>
      </c>
      <c r="M493" s="52" t="str">
        <f>'90186_2024'!L154</f>
        <v>SAINT-TROPEZ DISTRIBUIDORA DE VEICULOS LTDA</v>
      </c>
      <c r="N493" s="52" t="str">
        <f>'90186_2024'!M154</f>
        <v/>
      </c>
      <c r="O493" s="52" t="str">
        <f>'90186_2024'!N154</f>
        <v/>
      </c>
      <c r="P493" s="52" t="str">
        <f>'90186_2024'!O154</f>
        <v/>
      </c>
      <c r="Q493" s="70">
        <f>'90186_2024'!P154</f>
        <v>45975</v>
      </c>
      <c r="R493" s="52" t="str">
        <f>'90186_2024'!Q154</f>
        <v>HOMOLOGADO</v>
      </c>
    </row>
    <row r="494" hidden="1">
      <c r="A494" s="79" t="s">
        <v>39</v>
      </c>
      <c r="B494" s="35">
        <f>'90186_2024'!A155</f>
        <v>32</v>
      </c>
      <c r="C494" s="35" t="str">
        <f>'90186_2024'!B155</f>
        <v>P-3-01A-DTS</v>
      </c>
      <c r="D494" s="35" t="str">
        <f>'90186_2024'!C155</f>
        <v>UTILITÁRIO</v>
      </c>
      <c r="E494" s="35">
        <f>'90186_2024'!D155</f>
        <v>5</v>
      </c>
      <c r="F494" s="321">
        <f>'90186_2024'!E155</f>
        <v>5</v>
      </c>
      <c r="G494" s="56">
        <f>'90186_2024'!F155</f>
        <v>0</v>
      </c>
      <c r="H494" s="28">
        <f>'90186_2024'!G155</f>
        <v>125197.29</v>
      </c>
      <c r="I494" s="28">
        <f>'90186_2024'!H155</f>
        <v>625986.45</v>
      </c>
      <c r="J494" s="35" t="str">
        <f>'90186_2024'!I155</f>
        <v>CINDACTA3</v>
      </c>
      <c r="K494" s="35" t="str">
        <f>'90186_2024'!J155</f>
        <v>CITROEN / AIRCROSS FEEL 7 LUGARES 1.0</v>
      </c>
      <c r="L494" s="35" t="str">
        <f>'90186_2024'!K155</f>
        <v>29.034.608/0001-19 </v>
      </c>
      <c r="M494" s="35" t="str">
        <f>'90186_2024'!L155</f>
        <v>SAINT-TROPEZ DISTRIBUIDORA DE VEICULOS LTDA</v>
      </c>
      <c r="N494" s="35" t="str">
        <f>'90186_2024'!M155</f>
        <v/>
      </c>
      <c r="O494" s="35" t="str">
        <f>'90186_2024'!N155</f>
        <v/>
      </c>
      <c r="P494" s="35" t="str">
        <f>'90186_2024'!O155</f>
        <v/>
      </c>
      <c r="Q494" s="63">
        <f>'90186_2024'!P155</f>
        <v>45975</v>
      </c>
      <c r="R494" s="35" t="str">
        <f>'90186_2024'!Q155</f>
        <v>HOMOLOGADO</v>
      </c>
    </row>
    <row r="495" hidden="1">
      <c r="A495" s="77" t="s">
        <v>39</v>
      </c>
      <c r="B495" s="52">
        <f>'90186_2024'!A156</f>
        <v>32</v>
      </c>
      <c r="C495" s="52" t="str">
        <f>'90186_2024'!B156</f>
        <v>P-3-01A-DTS</v>
      </c>
      <c r="D495" s="52" t="str">
        <f>'90186_2024'!C156</f>
        <v>UTILITÁRIO</v>
      </c>
      <c r="E495" s="52">
        <f>'90186_2024'!D156</f>
        <v>4</v>
      </c>
      <c r="F495" s="216">
        <f>'90186_2024'!E156</f>
        <v>4</v>
      </c>
      <c r="G495" s="449">
        <f t="shared" ref="G495:G503" si="2">E495-F495</f>
        <v>0</v>
      </c>
      <c r="H495" s="46">
        <f>'90186_2024'!G156</f>
        <v>125197.29</v>
      </c>
      <c r="I495" s="46">
        <f>'90186_2024'!H156</f>
        <v>500789.16</v>
      </c>
      <c r="J495" s="52" t="str">
        <f>'90186_2024'!I156</f>
        <v>CINDACTA 4</v>
      </c>
      <c r="K495" s="52" t="str">
        <f>'90186_2024'!J156</f>
        <v>CITROEN / AIRCROSS FEEL 7 LUGARES 1.0</v>
      </c>
      <c r="L495" s="52" t="str">
        <f>'90186_2024'!K156</f>
        <v>29.034.608/0001-19 </v>
      </c>
      <c r="M495" s="52" t="str">
        <f>'90186_2024'!L156</f>
        <v>SAINT-TROPEZ DISTRIBUIDORA DE VEICULOS LTDA</v>
      </c>
      <c r="N495" s="52" t="str">
        <f>'90186_2024'!M156</f>
        <v/>
      </c>
      <c r="O495" s="52" t="str">
        <f>'90186_2024'!N156</f>
        <v/>
      </c>
      <c r="P495" s="52" t="str">
        <f>'90186_2024'!O156</f>
        <v/>
      </c>
      <c r="Q495" s="70">
        <f>'90186_2024'!P156</f>
        <v>45975</v>
      </c>
      <c r="R495" s="52" t="str">
        <f>'90186_2024'!Q156</f>
        <v>HOMOLOGADO</v>
      </c>
    </row>
    <row r="496" hidden="1">
      <c r="A496" s="79" t="s">
        <v>39</v>
      </c>
      <c r="B496" s="35">
        <f>'90186_2024'!A157</f>
        <v>32</v>
      </c>
      <c r="C496" s="35" t="str">
        <f>'90186_2024'!B157</f>
        <v>P-3-01A-DTS</v>
      </c>
      <c r="D496" s="35" t="str">
        <f>'90186_2024'!C157</f>
        <v>UTILITÁRIO</v>
      </c>
      <c r="E496" s="35">
        <f>'90186_2024'!D157</f>
        <v>5</v>
      </c>
      <c r="F496" s="35">
        <f>'90186_2024'!E157</f>
        <v>0</v>
      </c>
      <c r="G496" s="450">
        <f t="shared" si="2"/>
        <v>5</v>
      </c>
      <c r="H496" s="28">
        <f>'90186_2024'!G157</f>
        <v>125197.29</v>
      </c>
      <c r="I496" s="28">
        <f>'90186_2024'!H157</f>
        <v>625986.45</v>
      </c>
      <c r="J496" s="35" t="str">
        <f>'90186_2024'!I157</f>
        <v>CRCEA-SE</v>
      </c>
      <c r="K496" s="35" t="str">
        <f>'90186_2024'!J157</f>
        <v>CITROEN / AIRCROSS FEEL 7 LUGARES 1.0</v>
      </c>
      <c r="L496" s="35" t="str">
        <f>'90186_2024'!K157</f>
        <v>29.034.608/0001-19 </v>
      </c>
      <c r="M496" s="35" t="str">
        <f>'90186_2024'!L157</f>
        <v>SAINT-TROPEZ DISTRIBUIDORA DE VEICULOS LTDA</v>
      </c>
      <c r="N496" s="35" t="str">
        <f>'90186_2024'!M157</f>
        <v/>
      </c>
      <c r="O496" s="35" t="str">
        <f>'90186_2024'!N157</f>
        <v/>
      </c>
      <c r="P496" s="35" t="str">
        <f>'90186_2024'!O157</f>
        <v/>
      </c>
      <c r="Q496" s="63">
        <f>'90186_2024'!P157</f>
        <v>45975</v>
      </c>
      <c r="R496" s="35" t="str">
        <f>'90186_2024'!Q157</f>
        <v>HOMOLOGADO</v>
      </c>
    </row>
    <row r="497" hidden="1">
      <c r="A497" s="77" t="s">
        <v>39</v>
      </c>
      <c r="B497" s="52">
        <f>'90186_2024'!A158</f>
        <v>32</v>
      </c>
      <c r="C497" s="52" t="str">
        <f>'90186_2024'!B158</f>
        <v>P-3-01A-DTS</v>
      </c>
      <c r="D497" s="52" t="str">
        <f>'90186_2024'!C158</f>
        <v>UTILITÁRIO</v>
      </c>
      <c r="E497" s="52">
        <f>'90186_2024'!D158</f>
        <v>2</v>
      </c>
      <c r="F497" s="216">
        <f>'90186_2024'!E158</f>
        <v>2</v>
      </c>
      <c r="G497" s="449">
        <f t="shared" si="2"/>
        <v>0</v>
      </c>
      <c r="H497" s="46">
        <f>'90186_2024'!G158</f>
        <v>125197.29</v>
      </c>
      <c r="I497" s="46">
        <f>'90186_2024'!H158</f>
        <v>250394.58</v>
      </c>
      <c r="J497" s="52" t="str">
        <f>'90186_2024'!I158</f>
        <v>DECEA</v>
      </c>
      <c r="K497" s="52" t="str">
        <f>'90186_2024'!J158</f>
        <v>CITROEN / AIRCROSS FEEL 7 LUGARES 1.0</v>
      </c>
      <c r="L497" s="52" t="str">
        <f>'90186_2024'!K158</f>
        <v>29.034.608/0001-19 </v>
      </c>
      <c r="M497" s="52" t="str">
        <f>'90186_2024'!L158</f>
        <v>SAINT-TROPEZ DISTRIBUIDORA DE VEICULOS LTDA</v>
      </c>
      <c r="N497" s="52" t="str">
        <f>'90186_2024'!M158</f>
        <v/>
      </c>
      <c r="O497" s="52" t="str">
        <f>'90186_2024'!N158</f>
        <v/>
      </c>
      <c r="P497" s="52" t="str">
        <f>'90186_2024'!O158</f>
        <v/>
      </c>
      <c r="Q497" s="70">
        <f>'90186_2024'!P158</f>
        <v>45975</v>
      </c>
      <c r="R497" s="52" t="str">
        <f>'90186_2024'!Q158</f>
        <v>HOMOLOGADO</v>
      </c>
    </row>
    <row r="498" hidden="1">
      <c r="A498" s="79" t="s">
        <v>39</v>
      </c>
      <c r="B498" s="35">
        <f>'90186_2024'!A159</f>
        <v>32</v>
      </c>
      <c r="C498" s="35" t="str">
        <f>'90186_2024'!B159</f>
        <v>P-3-01A-DTS</v>
      </c>
      <c r="D498" s="35" t="str">
        <f>'90186_2024'!C159</f>
        <v>UTILITÁRIO</v>
      </c>
      <c r="E498" s="35">
        <f>'90186_2024'!D159</f>
        <v>1</v>
      </c>
      <c r="F498" s="33">
        <v>0.0</v>
      </c>
      <c r="G498" s="450">
        <f t="shared" si="2"/>
        <v>1</v>
      </c>
      <c r="H498" s="28">
        <f>'90186_2024'!G159</f>
        <v>125197.29</v>
      </c>
      <c r="I498" s="28">
        <f>'90186_2024'!H159</f>
        <v>125197.29</v>
      </c>
      <c r="J498" s="35" t="str">
        <f>'90186_2024'!I159</f>
        <v>GAP-BE</v>
      </c>
      <c r="K498" s="35" t="str">
        <f>'90186_2024'!J159</f>
        <v>CITROEN / AIRCROSS FEEL 7 LUGARES 1.0</v>
      </c>
      <c r="L498" s="35" t="str">
        <f>'90186_2024'!K159</f>
        <v>29.034.608/0001-19 </v>
      </c>
      <c r="M498" s="35" t="str">
        <f>'90186_2024'!L159</f>
        <v>SAINT-TROPEZ DISTRIBUIDORA DE VEICULOS LTDA</v>
      </c>
      <c r="N498" s="35" t="str">
        <f>'90186_2024'!M159</f>
        <v/>
      </c>
      <c r="O498" s="35" t="str">
        <f>'90186_2024'!N159</f>
        <v/>
      </c>
      <c r="P498" s="35" t="str">
        <f>'90186_2024'!O159</f>
        <v/>
      </c>
      <c r="Q498" s="63">
        <f>'90186_2024'!P159</f>
        <v>45975</v>
      </c>
      <c r="R498" s="35" t="str">
        <f>'90186_2024'!Q159</f>
        <v>HOMOLOGADO</v>
      </c>
    </row>
    <row r="499" hidden="1">
      <c r="A499" s="77" t="s">
        <v>39</v>
      </c>
      <c r="B499" s="52">
        <f>'90186_2024'!A160</f>
        <v>32</v>
      </c>
      <c r="C499" s="52" t="str">
        <f>'90186_2024'!B160</f>
        <v>P-3-01A-DTS</v>
      </c>
      <c r="D499" s="52" t="str">
        <f>'90186_2024'!C160</f>
        <v>UTILITÁRIO</v>
      </c>
      <c r="E499" s="52">
        <f>'90186_2024'!D160</f>
        <v>2</v>
      </c>
      <c r="F499" s="49">
        <v>0.0</v>
      </c>
      <c r="G499" s="449">
        <f t="shared" si="2"/>
        <v>2</v>
      </c>
      <c r="H499" s="46">
        <f>'90186_2024'!G160</f>
        <v>125197.29</v>
      </c>
      <c r="I499" s="46">
        <f>'90186_2024'!H160</f>
        <v>250394.58</v>
      </c>
      <c r="J499" s="52" t="str">
        <f>'90186_2024'!I160</f>
        <v>GAP-DF</v>
      </c>
      <c r="K499" s="52" t="str">
        <f>'90186_2024'!J160</f>
        <v>CITROEN / AIRCROSS FEEL 7 LUGARES 1.0</v>
      </c>
      <c r="L499" s="52" t="str">
        <f>'90186_2024'!K160</f>
        <v>29.034.608/0001-19 </v>
      </c>
      <c r="M499" s="52" t="str">
        <f>'90186_2024'!L160</f>
        <v>SAINT-TROPEZ DISTRIBUIDORA DE VEICULOS LTDA</v>
      </c>
      <c r="N499" s="52" t="str">
        <f>'90186_2024'!M160</f>
        <v/>
      </c>
      <c r="O499" s="52" t="str">
        <f>'90186_2024'!N160</f>
        <v/>
      </c>
      <c r="P499" s="52" t="str">
        <f>'90186_2024'!O160</f>
        <v/>
      </c>
      <c r="Q499" s="70">
        <f>'90186_2024'!P160</f>
        <v>45975</v>
      </c>
      <c r="R499" s="52" t="str">
        <f>'90186_2024'!Q160</f>
        <v>HOMOLOGADO</v>
      </c>
    </row>
    <row r="500" hidden="1">
      <c r="A500" s="79" t="s">
        <v>39</v>
      </c>
      <c r="B500" s="35">
        <f>'90186_2024'!A161</f>
        <v>32</v>
      </c>
      <c r="C500" s="35" t="str">
        <f>'90186_2024'!B161</f>
        <v>P-3-01A-DTS</v>
      </c>
      <c r="D500" s="35" t="str">
        <f>'90186_2024'!C161</f>
        <v>UTILITÁRIO</v>
      </c>
      <c r="E500" s="35">
        <f>'90186_2024'!D161</f>
        <v>2</v>
      </c>
      <c r="F500" s="33">
        <v>0.0</v>
      </c>
      <c r="G500" s="450">
        <f t="shared" si="2"/>
        <v>2</v>
      </c>
      <c r="H500" s="28">
        <f>'90186_2024'!G161</f>
        <v>125197.29</v>
      </c>
      <c r="I500" s="28">
        <f>'90186_2024'!H161</f>
        <v>250394.58</v>
      </c>
      <c r="J500" s="35" t="str">
        <f>'90186_2024'!I161</f>
        <v>GAP-GL</v>
      </c>
      <c r="K500" s="35" t="str">
        <f>'90186_2024'!J161</f>
        <v>CITROEN / AIRCROSS FEEL 7 LUGARES 1.0</v>
      </c>
      <c r="L500" s="35" t="str">
        <f>'90186_2024'!K161</f>
        <v>29.034.608/0001-19 </v>
      </c>
      <c r="M500" s="35" t="str">
        <f>'90186_2024'!L161</f>
        <v>SAINT-TROPEZ DISTRIBUIDORA DE VEICULOS LTDA</v>
      </c>
      <c r="N500" s="35" t="str">
        <f>'90186_2024'!M161</f>
        <v/>
      </c>
      <c r="O500" s="35" t="str">
        <f>'90186_2024'!N161</f>
        <v/>
      </c>
      <c r="P500" s="35" t="str">
        <f>'90186_2024'!O161</f>
        <v/>
      </c>
      <c r="Q500" s="63">
        <f>'90186_2024'!P161</f>
        <v>45975</v>
      </c>
      <c r="R500" s="35" t="str">
        <f>'90186_2024'!Q161</f>
        <v>HOMOLOGADO</v>
      </c>
    </row>
    <row r="501" hidden="1">
      <c r="A501" s="77" t="s">
        <v>39</v>
      </c>
      <c r="B501" s="52">
        <f>'90186_2024'!A162</f>
        <v>32</v>
      </c>
      <c r="C501" s="52" t="str">
        <f>'90186_2024'!B162</f>
        <v>P-3-01A-DTS</v>
      </c>
      <c r="D501" s="52" t="str">
        <f>'90186_2024'!C162</f>
        <v>UTILITÁRIO</v>
      </c>
      <c r="E501" s="52">
        <f>'90186_2024'!D162</f>
        <v>1</v>
      </c>
      <c r="F501" s="49">
        <v>0.0</v>
      </c>
      <c r="G501" s="449">
        <f t="shared" si="2"/>
        <v>1</v>
      </c>
      <c r="H501" s="46">
        <f>'90186_2024'!G162</f>
        <v>125197.29</v>
      </c>
      <c r="I501" s="46">
        <f>'90186_2024'!H162</f>
        <v>125197.29</v>
      </c>
      <c r="J501" s="52" t="str">
        <f>'90186_2024'!I162</f>
        <v>GAP-MN</v>
      </c>
      <c r="K501" s="52" t="str">
        <f>'90186_2024'!J162</f>
        <v>CITROEN / AIRCROSS FEEL 7 LUGARES 1.0</v>
      </c>
      <c r="L501" s="52" t="str">
        <f>'90186_2024'!K162</f>
        <v>29.034.608/0001-19 </v>
      </c>
      <c r="M501" s="52" t="str">
        <f>'90186_2024'!L162</f>
        <v>SAINT-TROPEZ DISTRIBUIDORA DE VEICULOS LTDA</v>
      </c>
      <c r="N501" s="52" t="str">
        <f>'90186_2024'!M162</f>
        <v/>
      </c>
      <c r="O501" s="52" t="str">
        <f>'90186_2024'!N162</f>
        <v/>
      </c>
      <c r="P501" s="52" t="str">
        <f>'90186_2024'!O162</f>
        <v/>
      </c>
      <c r="Q501" s="70">
        <f>'90186_2024'!P162</f>
        <v>45975</v>
      </c>
      <c r="R501" s="52" t="str">
        <f>'90186_2024'!Q162</f>
        <v>HOMOLOGADO</v>
      </c>
    </row>
    <row r="502" hidden="1">
      <c r="A502" s="79" t="s">
        <v>39</v>
      </c>
      <c r="B502" s="35">
        <f>'90186_2024'!A163</f>
        <v>32</v>
      </c>
      <c r="C502" s="35" t="str">
        <f>'90186_2024'!B163</f>
        <v>P-3-01A-DTS</v>
      </c>
      <c r="D502" s="35" t="str">
        <f>'90186_2024'!C163</f>
        <v>UTILITÁRIO</v>
      </c>
      <c r="E502" s="35">
        <f>'90186_2024'!D163</f>
        <v>1</v>
      </c>
      <c r="F502" s="33">
        <v>0.0</v>
      </c>
      <c r="G502" s="450">
        <f t="shared" si="2"/>
        <v>1</v>
      </c>
      <c r="H502" s="28">
        <f>'90186_2024'!G163</f>
        <v>125197.29</v>
      </c>
      <c r="I502" s="28">
        <f>'90186_2024'!H163</f>
        <v>125197.29</v>
      </c>
      <c r="J502" s="35" t="str">
        <f>'90186_2024'!I163</f>
        <v>GAP-SJ</v>
      </c>
      <c r="K502" s="35" t="str">
        <f>'90186_2024'!J163</f>
        <v>CITROEN / AIRCROSS FEEL 7 LUGARES 1.0</v>
      </c>
      <c r="L502" s="35" t="str">
        <f>'90186_2024'!K163</f>
        <v>29.034.608/0001-19 </v>
      </c>
      <c r="M502" s="35" t="str">
        <f>'90186_2024'!L163</f>
        <v>SAINT-TROPEZ DISTRIBUIDORA DE VEICULOS LTDA</v>
      </c>
      <c r="N502" s="35" t="str">
        <f>'90186_2024'!M163</f>
        <v/>
      </c>
      <c r="O502" s="35" t="str">
        <f>'90186_2024'!N163</f>
        <v/>
      </c>
      <c r="P502" s="35" t="str">
        <f>'90186_2024'!O163</f>
        <v/>
      </c>
      <c r="Q502" s="63">
        <f>'90186_2024'!P163</f>
        <v>45975</v>
      </c>
      <c r="R502" s="35" t="str">
        <f>'90186_2024'!Q163</f>
        <v>HOMOLOGADO</v>
      </c>
    </row>
    <row r="503" hidden="1">
      <c r="A503" s="77" t="s">
        <v>39</v>
      </c>
      <c r="B503" s="52">
        <f>'90186_2024'!A164</f>
        <v>32</v>
      </c>
      <c r="C503" s="52" t="str">
        <f>'90186_2024'!B164</f>
        <v>P-3-01A-DTS</v>
      </c>
      <c r="D503" s="52" t="str">
        <f>'90186_2024'!C164</f>
        <v>UTILITÁRIO</v>
      </c>
      <c r="E503" s="52">
        <f>'90186_2024'!D164</f>
        <v>2</v>
      </c>
      <c r="F503" s="49">
        <v>0.0</v>
      </c>
      <c r="G503" s="449">
        <f t="shared" si="2"/>
        <v>2</v>
      </c>
      <c r="H503" s="46">
        <f>'90186_2024'!G164</f>
        <v>125197.29</v>
      </c>
      <c r="I503" s="46">
        <f>'90186_2024'!H164</f>
        <v>250394.58</v>
      </c>
      <c r="J503" s="52" t="str">
        <f>'90186_2024'!I164</f>
        <v>GAP-SP</v>
      </c>
      <c r="K503" s="52" t="str">
        <f>'90186_2024'!J164</f>
        <v>CITROEN / AIRCROSS FEEL 7 LUGARES 1.0</v>
      </c>
      <c r="L503" s="52" t="str">
        <f>'90186_2024'!K164</f>
        <v>29.034.608/0001-19 </v>
      </c>
      <c r="M503" s="52" t="str">
        <f>'90186_2024'!L164</f>
        <v>SAINT-TROPEZ DISTRIBUIDORA DE VEICULOS LTDA</v>
      </c>
      <c r="N503" s="52" t="str">
        <f>'90186_2024'!M164</f>
        <v/>
      </c>
      <c r="O503" s="52" t="str">
        <f>'90186_2024'!N164</f>
        <v/>
      </c>
      <c r="P503" s="52" t="str">
        <f>'90186_2024'!O164</f>
        <v/>
      </c>
      <c r="Q503" s="70">
        <f>'90186_2024'!P164</f>
        <v>45975</v>
      </c>
      <c r="R503" s="52" t="str">
        <f>'90186_2024'!Q164</f>
        <v>HOMOLOGADO</v>
      </c>
    </row>
    <row r="504" hidden="1">
      <c r="A504" s="79" t="s">
        <v>39</v>
      </c>
      <c r="B504" s="35">
        <f>'90186_2024'!A165</f>
        <v>33</v>
      </c>
      <c r="C504" s="35" t="str">
        <f>'90186_2024'!B165</f>
        <v>P-14-01A-DTS</v>
      </c>
      <c r="D504" s="35" t="str">
        <f>'90186_2024'!C165</f>
        <v>VAN</v>
      </c>
      <c r="E504" s="35">
        <f>'90186_2024'!D165</f>
        <v>2</v>
      </c>
      <c r="F504" s="323">
        <f>'90186_2024'!E165</f>
        <v>2</v>
      </c>
      <c r="G504" s="56">
        <f>'90186_2024'!F165</f>
        <v>0</v>
      </c>
      <c r="H504" s="28">
        <f>'90186_2024'!G165</f>
        <v>328900</v>
      </c>
      <c r="I504" s="28">
        <f>'90186_2024'!H165</f>
        <v>657800</v>
      </c>
      <c r="J504" s="35" t="str">
        <f>'90186_2024'!I165</f>
        <v>CINDACTA 1</v>
      </c>
      <c r="K504" s="35" t="str">
        <f>'90186_2024'!J165</f>
        <v>FORD / TRANSIT MINIBUS 17+1 L4H3 MT</v>
      </c>
      <c r="L504" s="35" t="str">
        <f>'90186_2024'!K165</f>
        <v>14.480.377/0001-08 </v>
      </c>
      <c r="M504" s="35" t="str">
        <f>'90186_2024'!L165</f>
        <v>MBR COMERCIO DE VEICULOS LTDA</v>
      </c>
      <c r="N504" s="35" t="str">
        <f>'90186_2024'!M165</f>
        <v/>
      </c>
      <c r="O504" s="35" t="str">
        <f>'90186_2024'!N165</f>
        <v/>
      </c>
      <c r="P504" s="35" t="str">
        <f>'90186_2024'!O165</f>
        <v/>
      </c>
      <c r="Q504" s="63" t="str">
        <f>'90186_2024'!P165</f>
        <v/>
      </c>
      <c r="R504" s="35" t="str">
        <f>'90186_2024'!Q165</f>
        <v>HOMOLOGADO</v>
      </c>
    </row>
    <row r="505" hidden="1">
      <c r="A505" s="77" t="s">
        <v>39</v>
      </c>
      <c r="B505" s="52">
        <f>'90186_2024'!A166</f>
        <v>33</v>
      </c>
      <c r="C505" s="52" t="str">
        <f>'90186_2024'!B166</f>
        <v>P-14-01A-DTS</v>
      </c>
      <c r="D505" s="52" t="str">
        <f>'90186_2024'!C166</f>
        <v>VAN</v>
      </c>
      <c r="E505" s="52">
        <f>'90186_2024'!D166</f>
        <v>2</v>
      </c>
      <c r="F505" s="323">
        <f>'90186_2024'!E166</f>
        <v>2</v>
      </c>
      <c r="G505" s="67">
        <f>'90186_2024'!F166</f>
        <v>0</v>
      </c>
      <c r="H505" s="46">
        <f>'90186_2024'!G166</f>
        <v>328900</v>
      </c>
      <c r="I505" s="46">
        <f>'90186_2024'!H166</f>
        <v>657800</v>
      </c>
      <c r="J505" s="52" t="str">
        <f>'90186_2024'!I166</f>
        <v>CINDACTA 2</v>
      </c>
      <c r="K505" s="52" t="str">
        <f>'90186_2024'!J166</f>
        <v>FORD / TRANSIT MINIBUS 17+1 L4H3 MT</v>
      </c>
      <c r="L505" s="52" t="str">
        <f>'90186_2024'!K166</f>
        <v>14.480.377/0001-08 </v>
      </c>
      <c r="M505" s="52" t="str">
        <f>'90186_2024'!L166</f>
        <v>MBR COMERCIO DE VEICULOS LTDA</v>
      </c>
      <c r="N505" s="52" t="str">
        <f>'90186_2024'!M166</f>
        <v/>
      </c>
      <c r="O505" s="52" t="str">
        <f>'90186_2024'!N166</f>
        <v/>
      </c>
      <c r="P505" s="52" t="str">
        <f>'90186_2024'!O166</f>
        <v/>
      </c>
      <c r="Q505" s="70" t="str">
        <f>'90186_2024'!P166</f>
        <v/>
      </c>
      <c r="R505" s="52" t="str">
        <f>'90186_2024'!Q166</f>
        <v>HOMOLOGADO</v>
      </c>
    </row>
    <row r="506" hidden="1">
      <c r="A506" s="79" t="s">
        <v>39</v>
      </c>
      <c r="B506" s="35">
        <f>'90186_2024'!A167</f>
        <v>33</v>
      </c>
      <c r="C506" s="35" t="str">
        <f>'90186_2024'!B167</f>
        <v>P-14-01A-DTS</v>
      </c>
      <c r="D506" s="35" t="str">
        <f>'90186_2024'!C167</f>
        <v>VAN</v>
      </c>
      <c r="E506" s="35">
        <f>'90186_2024'!D167</f>
        <v>3</v>
      </c>
      <c r="F506" s="323">
        <f>'90186_2024'!E167</f>
        <v>3</v>
      </c>
      <c r="G506" s="56">
        <f>'90186_2024'!F167</f>
        <v>0</v>
      </c>
      <c r="H506" s="28">
        <f>'90186_2024'!G167</f>
        <v>328900</v>
      </c>
      <c r="I506" s="28">
        <f>'90186_2024'!H167</f>
        <v>986700</v>
      </c>
      <c r="J506" s="35" t="str">
        <f>'90186_2024'!I167</f>
        <v>CINDACTA 4</v>
      </c>
      <c r="K506" s="35" t="str">
        <f>'90186_2024'!J167</f>
        <v>FORD / TRANSIT MINIBUS 17+1 L4H3 MT</v>
      </c>
      <c r="L506" s="35" t="str">
        <f>'90186_2024'!K167</f>
        <v>14.480.377/0001-08 </v>
      </c>
      <c r="M506" s="35" t="str">
        <f>'90186_2024'!L167</f>
        <v>MBR COMERCIO DE VEICULOS LTDA</v>
      </c>
      <c r="N506" s="35" t="str">
        <f>'90186_2024'!M167</f>
        <v/>
      </c>
      <c r="O506" s="35" t="str">
        <f>'90186_2024'!N167</f>
        <v/>
      </c>
      <c r="P506" s="35" t="str">
        <f>'90186_2024'!O167</f>
        <v/>
      </c>
      <c r="Q506" s="63" t="str">
        <f>'90186_2024'!P167</f>
        <v/>
      </c>
      <c r="R506" s="35" t="str">
        <f>'90186_2024'!Q167</f>
        <v>HOMOLOGADO</v>
      </c>
    </row>
    <row r="507" hidden="1">
      <c r="A507" s="77" t="s">
        <v>39</v>
      </c>
      <c r="B507" s="52">
        <f>'90186_2024'!A168</f>
        <v>33</v>
      </c>
      <c r="C507" s="52" t="str">
        <f>'90186_2024'!B168</f>
        <v>P-14-01A-DTS</v>
      </c>
      <c r="D507" s="52" t="str">
        <f>'90186_2024'!C168</f>
        <v>VAN</v>
      </c>
      <c r="E507" s="52">
        <f>'90186_2024'!D168</f>
        <v>2</v>
      </c>
      <c r="F507" s="323">
        <f>'90186_2024'!E168</f>
        <v>2</v>
      </c>
      <c r="G507" s="67">
        <f t="shared" ref="G507:G508" si="3">E507-F507</f>
        <v>0</v>
      </c>
      <c r="H507" s="46">
        <f>'90186_2024'!G168</f>
        <v>328900</v>
      </c>
      <c r="I507" s="46">
        <f>'90186_2024'!H168</f>
        <v>657800</v>
      </c>
      <c r="J507" s="52" t="str">
        <f>'90186_2024'!I168</f>
        <v>CRCEA-SE</v>
      </c>
      <c r="K507" s="52" t="str">
        <f>'90186_2024'!J168</f>
        <v>FORD / TRANSIT MINIBUS 17+1 L4H3 MT</v>
      </c>
      <c r="L507" s="52" t="str">
        <f>'90186_2024'!K168</f>
        <v>14.480.377/0001-08 </v>
      </c>
      <c r="M507" s="52" t="str">
        <f>'90186_2024'!L168</f>
        <v>MBR COMERCIO DE VEICULOS LTDA</v>
      </c>
      <c r="N507" s="52" t="str">
        <f>'90186_2024'!M168</f>
        <v/>
      </c>
      <c r="O507" s="52" t="str">
        <f>'90186_2024'!N168</f>
        <v/>
      </c>
      <c r="P507" s="52" t="str">
        <f>'90186_2024'!O168</f>
        <v/>
      </c>
      <c r="Q507" s="70" t="str">
        <f>'90186_2024'!P168</f>
        <v/>
      </c>
      <c r="R507" s="52" t="str">
        <f>'90186_2024'!Q168</f>
        <v>HOMOLOGADO</v>
      </c>
    </row>
    <row r="508" hidden="1">
      <c r="A508" s="79" t="s">
        <v>39</v>
      </c>
      <c r="B508" s="35">
        <f>'90186_2024'!A169</f>
        <v>33</v>
      </c>
      <c r="C508" s="35" t="str">
        <f>'90186_2024'!B169</f>
        <v>P-14-01A-DTS</v>
      </c>
      <c r="D508" s="35" t="str">
        <f>'90186_2024'!C169</f>
        <v>VAN</v>
      </c>
      <c r="E508" s="35">
        <f>'90186_2024'!D169</f>
        <v>9</v>
      </c>
      <c r="F508" s="216">
        <f>'90186_2024'!E169</f>
        <v>9</v>
      </c>
      <c r="G508" s="56">
        <f t="shared" si="3"/>
        <v>0</v>
      </c>
      <c r="H508" s="28">
        <f>'90186_2024'!G169</f>
        <v>328900</v>
      </c>
      <c r="I508" s="28">
        <f>'90186_2024'!H169</f>
        <v>2960100</v>
      </c>
      <c r="J508" s="35" t="str">
        <f>'90186_2024'!I169</f>
        <v>DECEA</v>
      </c>
      <c r="K508" s="35" t="str">
        <f>'90186_2024'!J169</f>
        <v>FORD / TRANSIT MINIBUS 17+1 L4H3 MT</v>
      </c>
      <c r="L508" s="35" t="str">
        <f>'90186_2024'!K169</f>
        <v>14.480.377/0001-08 </v>
      </c>
      <c r="M508" s="35" t="str">
        <f>'90186_2024'!L169</f>
        <v>MBR COMERCIO DE VEICULOS LTDA</v>
      </c>
      <c r="N508" s="35" t="str">
        <f>'90186_2024'!M169</f>
        <v/>
      </c>
      <c r="O508" s="35" t="str">
        <f>'90186_2024'!N169</f>
        <v/>
      </c>
      <c r="P508" s="35" t="str">
        <f>'90186_2024'!O169</f>
        <v/>
      </c>
      <c r="Q508" s="63" t="str">
        <f>'90186_2024'!P169</f>
        <v/>
      </c>
      <c r="R508" s="35" t="str">
        <f>'90186_2024'!Q169</f>
        <v>HOMOLOGADO</v>
      </c>
    </row>
    <row r="509" hidden="1">
      <c r="A509" s="218" t="s">
        <v>39</v>
      </c>
      <c r="B509" s="324">
        <f>'90186_2024'!A170</f>
        <v>34</v>
      </c>
      <c r="C509" s="324" t="str">
        <f>'90186_2024'!B170</f>
        <v>P-0-01BH-DTS</v>
      </c>
      <c r="D509" s="324" t="str">
        <f>'90186_2024'!C170</f>
        <v>VEÍCULO DE REPRESENTAÇÃO</v>
      </c>
      <c r="E509" s="324">
        <f>'90186_2024'!D170</f>
        <v>2</v>
      </c>
      <c r="F509" s="414">
        <v>1.0</v>
      </c>
      <c r="G509" s="325">
        <v>1.0</v>
      </c>
      <c r="H509" s="223">
        <f>'90186_2024'!G170</f>
        <v>535295</v>
      </c>
      <c r="I509" s="223">
        <f>'90186_2024'!H170</f>
        <v>1070590</v>
      </c>
      <c r="J509" s="324" t="str">
        <f>'90186_2024'!I170</f>
        <v>GABAER</v>
      </c>
      <c r="K509" s="324" t="str">
        <f>'90186_2024'!J170</f>
        <v>HONDA ACCORD ADVANCED HYBRID 2.0 - BLINDADO NÍVEL IIIA</v>
      </c>
      <c r="L509" s="324" t="str">
        <f>'90186_2024'!K170</f>
        <v>59.104.760/0001-91 </v>
      </c>
      <c r="M509" s="324" t="str">
        <f>'90186_2024'!L170</f>
        <v>POTTENCIAL VEICULOS</v>
      </c>
      <c r="N509" s="324" t="str">
        <f>'90186_2024'!M170</f>
        <v/>
      </c>
      <c r="O509" s="324" t="str">
        <f>'90186_2024'!N170</f>
        <v/>
      </c>
      <c r="P509" s="324" t="str">
        <f>'90186_2024'!O170</f>
        <v/>
      </c>
      <c r="Q509" s="242" t="str">
        <f>'90186_2024'!P170</f>
        <v/>
      </c>
      <c r="R509" s="324" t="str">
        <f>'90186_2024'!Q170</f>
        <v>HOMOLOGADO</v>
      </c>
      <c r="S509" s="226"/>
      <c r="T509" s="226"/>
      <c r="U509" s="226"/>
      <c r="V509" s="226"/>
      <c r="W509" s="226"/>
      <c r="X509" s="226"/>
      <c r="Y509" s="226"/>
      <c r="Z509" s="226"/>
    </row>
    <row r="510" hidden="1">
      <c r="A510" s="218" t="s">
        <v>39</v>
      </c>
      <c r="B510" s="324">
        <f>'90186_2024'!A171</f>
        <v>35</v>
      </c>
      <c r="C510" s="324" t="str">
        <f>'90186_2024'!B171</f>
        <v>P-2-01A-DTS</v>
      </c>
      <c r="D510" s="324" t="str">
        <f>'90186_2024'!C171</f>
        <v>VEÍCULO DE SERVIÇO</v>
      </c>
      <c r="E510" s="324">
        <f>'90186_2024'!D171</f>
        <v>1</v>
      </c>
      <c r="F510" s="414">
        <v>1.0</v>
      </c>
      <c r="G510" s="325">
        <v>0.0</v>
      </c>
      <c r="H510" s="223">
        <f>'90186_2024'!G171</f>
        <v>81500</v>
      </c>
      <c r="I510" s="223">
        <f>'90186_2024'!H171</f>
        <v>81500</v>
      </c>
      <c r="J510" s="324" t="str">
        <f>'90186_2024'!I171</f>
        <v>BAAN</v>
      </c>
      <c r="K510" s="324" t="str">
        <f>'90186_2024'!J171</f>
        <v>RENAULT / KWID ZEN ZERO KM</v>
      </c>
      <c r="L510" s="324" t="str">
        <f>'90186_2024'!K171</f>
        <v>22.424.304/0001-19</v>
      </c>
      <c r="M510" s="324" t="str">
        <f>'90186_2024'!L171</f>
        <v>NASA FRANCE VEICULOS LTDA</v>
      </c>
      <c r="N510" s="324" t="str">
        <f>'90186_2024'!M171</f>
        <v/>
      </c>
      <c r="O510" s="324" t="str">
        <f>'90186_2024'!N171</f>
        <v/>
      </c>
      <c r="P510" s="324" t="str">
        <f>'90186_2024'!O171</f>
        <v/>
      </c>
      <c r="Q510" s="242" t="str">
        <f>'90186_2024'!P171</f>
        <v/>
      </c>
      <c r="R510" s="324" t="str">
        <f>'90186_2024'!Q171</f>
        <v>HOMOLOGADO</v>
      </c>
      <c r="S510" s="226"/>
      <c r="T510" s="226"/>
      <c r="U510" s="226"/>
      <c r="V510" s="226"/>
      <c r="W510" s="226"/>
      <c r="X510" s="226"/>
      <c r="Y510" s="226"/>
      <c r="Z510" s="226"/>
    </row>
    <row r="511" hidden="1">
      <c r="A511" s="218" t="s">
        <v>39</v>
      </c>
      <c r="B511" s="324">
        <f>'90186_2024'!A172</f>
        <v>35</v>
      </c>
      <c r="C511" s="324" t="str">
        <f>'90186_2024'!B172</f>
        <v>P-2-01A-DTS</v>
      </c>
      <c r="D511" s="324" t="str">
        <f>'90186_2024'!C172</f>
        <v>VEÍCULO DE SERVIÇO</v>
      </c>
      <c r="E511" s="324">
        <f>'90186_2024'!D172</f>
        <v>1</v>
      </c>
      <c r="F511" s="414">
        <v>1.0</v>
      </c>
      <c r="G511" s="325">
        <v>0.0</v>
      </c>
      <c r="H511" s="223">
        <f>'90186_2024'!G172</f>
        <v>81500</v>
      </c>
      <c r="I511" s="223">
        <f>'90186_2024'!H172</f>
        <v>81500</v>
      </c>
      <c r="J511" s="324" t="str">
        <f>'90186_2024'!I172</f>
        <v>BASV</v>
      </c>
      <c r="K511" s="324" t="str">
        <f>'90186_2024'!J172</f>
        <v>RENAULT / KWID ZEN ZERO KM</v>
      </c>
      <c r="L511" s="324" t="str">
        <f>'90186_2024'!K172</f>
        <v>22.424.304/0001-19</v>
      </c>
      <c r="M511" s="324" t="str">
        <f>'90186_2024'!L172</f>
        <v>NASA FRANCE VEICULOS LTDA</v>
      </c>
      <c r="N511" s="324" t="str">
        <f>'90186_2024'!M172</f>
        <v/>
      </c>
      <c r="O511" s="324" t="str">
        <f>'90186_2024'!N172</f>
        <v/>
      </c>
      <c r="P511" s="324" t="str">
        <f>'90186_2024'!O172</f>
        <v/>
      </c>
      <c r="Q511" s="242" t="str">
        <f>'90186_2024'!P172</f>
        <v/>
      </c>
      <c r="R511" s="324" t="str">
        <f>'90186_2024'!Q172</f>
        <v>HOMOLOGADO</v>
      </c>
      <c r="S511" s="226"/>
      <c r="T511" s="226"/>
      <c r="U511" s="226"/>
      <c r="V511" s="226"/>
      <c r="W511" s="226"/>
      <c r="X511" s="226"/>
      <c r="Y511" s="226"/>
      <c r="Z511" s="226"/>
    </row>
    <row r="512" hidden="1">
      <c r="A512" s="79" t="s">
        <v>39</v>
      </c>
      <c r="B512" s="35">
        <f>'90186_2024'!A173</f>
        <v>35</v>
      </c>
      <c r="C512" s="35" t="str">
        <f>'90186_2024'!B173</f>
        <v>P-2-01A-DTS</v>
      </c>
      <c r="D512" s="35" t="str">
        <f>'90186_2024'!C173</f>
        <v>VEÍCULO DE SERVIÇO</v>
      </c>
      <c r="E512" s="35">
        <f>'90186_2024'!D173</f>
        <v>1</v>
      </c>
      <c r="F512" s="321">
        <f>'90186_2024'!E173</f>
        <v>1</v>
      </c>
      <c r="G512" s="56">
        <f>'90186_2024'!F173</f>
        <v>0</v>
      </c>
      <c r="H512" s="28">
        <f>'90186_2024'!G173</f>
        <v>81500</v>
      </c>
      <c r="I512" s="28">
        <f>'90186_2024'!H173</f>
        <v>81500</v>
      </c>
      <c r="J512" s="35" t="str">
        <f>'90186_2024'!I173</f>
        <v>CINDACTA 1</v>
      </c>
      <c r="K512" s="35" t="str">
        <f>'90186_2024'!J173</f>
        <v>RENAULT / KWID ZEN ZERO KM</v>
      </c>
      <c r="L512" s="35" t="str">
        <f>'90186_2024'!K173</f>
        <v>22.424.304/0001-19</v>
      </c>
      <c r="M512" s="35" t="str">
        <f>'90186_2024'!L173</f>
        <v>NASA FRANCE VEICULOS LTDA</v>
      </c>
      <c r="N512" s="35" t="str">
        <f>'90186_2024'!M173</f>
        <v/>
      </c>
      <c r="O512" s="35" t="str">
        <f>'90186_2024'!N173</f>
        <v/>
      </c>
      <c r="P512" s="35" t="str">
        <f>'90186_2024'!O173</f>
        <v/>
      </c>
      <c r="Q512" s="63" t="str">
        <f>'90186_2024'!P173</f>
        <v/>
      </c>
      <c r="R512" s="35" t="str">
        <f>'90186_2024'!Q173</f>
        <v>HOMOLOGADO</v>
      </c>
    </row>
    <row r="513" hidden="1">
      <c r="A513" s="77" t="s">
        <v>39</v>
      </c>
      <c r="B513" s="52">
        <f>'90186_2024'!A174</f>
        <v>35</v>
      </c>
      <c r="C513" s="52" t="str">
        <f>'90186_2024'!B174</f>
        <v>P-2-01A-DTS</v>
      </c>
      <c r="D513" s="52" t="str">
        <f>'90186_2024'!C174</f>
        <v>VEÍCULO DE SERVIÇO</v>
      </c>
      <c r="E513" s="52">
        <f>'90186_2024'!D174</f>
        <v>1</v>
      </c>
      <c r="F513" s="321">
        <f>'90186_2024'!E174</f>
        <v>1</v>
      </c>
      <c r="G513" s="67">
        <f>'90186_2024'!F174</f>
        <v>0</v>
      </c>
      <c r="H513" s="46">
        <f>'90186_2024'!G174</f>
        <v>81500</v>
      </c>
      <c r="I513" s="46">
        <f>'90186_2024'!H174</f>
        <v>81500</v>
      </c>
      <c r="J513" s="52" t="str">
        <f>'90186_2024'!I174</f>
        <v>CINDACTA 2</v>
      </c>
      <c r="K513" s="52" t="str">
        <f>'90186_2024'!J174</f>
        <v>RENAULT / KWID ZEN ZERO KM</v>
      </c>
      <c r="L513" s="52" t="str">
        <f>'90186_2024'!K174</f>
        <v>22.424.304/0001-19</v>
      </c>
      <c r="M513" s="52" t="str">
        <f>'90186_2024'!L174</f>
        <v>NASA FRANCE VEICULOS LTDA</v>
      </c>
      <c r="N513" s="52" t="str">
        <f>'90186_2024'!M174</f>
        <v/>
      </c>
      <c r="O513" s="52" t="str">
        <f>'90186_2024'!N174</f>
        <v/>
      </c>
      <c r="P513" s="52" t="str">
        <f>'90186_2024'!O174</f>
        <v/>
      </c>
      <c r="Q513" s="70" t="str">
        <f>'90186_2024'!P174</f>
        <v/>
      </c>
      <c r="R513" s="52" t="str">
        <f>'90186_2024'!Q174</f>
        <v>HOMOLOGADO</v>
      </c>
    </row>
    <row r="514" hidden="1">
      <c r="A514" s="79" t="s">
        <v>39</v>
      </c>
      <c r="B514" s="35">
        <f>'90186_2024'!A175</f>
        <v>35</v>
      </c>
      <c r="C514" s="35" t="str">
        <f>'90186_2024'!B175</f>
        <v>P-2-01A-DTS</v>
      </c>
      <c r="D514" s="35" t="str">
        <f>'90186_2024'!C175</f>
        <v>VEÍCULO DE SERVIÇO</v>
      </c>
      <c r="E514" s="35">
        <f>'90186_2024'!D175</f>
        <v>1</v>
      </c>
      <c r="F514" s="321">
        <f>'90186_2024'!E175</f>
        <v>1</v>
      </c>
      <c r="G514" s="56">
        <f>'90186_2024'!F175</f>
        <v>0</v>
      </c>
      <c r="H514" s="28">
        <f>'90186_2024'!G175</f>
        <v>81500</v>
      </c>
      <c r="I514" s="28">
        <f>'90186_2024'!H175</f>
        <v>81500</v>
      </c>
      <c r="J514" s="35" t="str">
        <f>'90186_2024'!I175</f>
        <v>CISCEA</v>
      </c>
      <c r="K514" s="35" t="str">
        <f>'90186_2024'!J175</f>
        <v>RENAULT / KWID ZEN ZERO KM</v>
      </c>
      <c r="L514" s="35" t="str">
        <f>'90186_2024'!K175</f>
        <v>22.424.304/0001-19</v>
      </c>
      <c r="M514" s="35" t="str">
        <f>'90186_2024'!L175</f>
        <v>NASA FRANCE VEICULOS LTDA</v>
      </c>
      <c r="N514" s="35" t="str">
        <f>'90186_2024'!M175</f>
        <v/>
      </c>
      <c r="O514" s="35" t="str">
        <f>'90186_2024'!N175</f>
        <v/>
      </c>
      <c r="P514" s="35" t="str">
        <f>'90186_2024'!O175</f>
        <v/>
      </c>
      <c r="Q514" s="63" t="str">
        <f>'90186_2024'!P175</f>
        <v/>
      </c>
      <c r="R514" s="35" t="str">
        <f>'90186_2024'!Q175</f>
        <v>HOMOLOGADO</v>
      </c>
    </row>
    <row r="515" hidden="1">
      <c r="A515" s="77" t="s">
        <v>39</v>
      </c>
      <c r="B515" s="52">
        <f>'90186_2024'!A176</f>
        <v>35</v>
      </c>
      <c r="C515" s="52" t="str">
        <f>'90186_2024'!B176</f>
        <v>P-2-01A-DTS</v>
      </c>
      <c r="D515" s="52" t="str">
        <f>'90186_2024'!C176</f>
        <v>VEÍCULO DE SERVIÇO</v>
      </c>
      <c r="E515" s="323">
        <f>'90186_2024'!D176</f>
        <v>1</v>
      </c>
      <c r="F515" s="249">
        <v>1.0</v>
      </c>
      <c r="G515" s="449">
        <v>0.0</v>
      </c>
      <c r="H515" s="46">
        <f>'90186_2024'!G176</f>
        <v>81500</v>
      </c>
      <c r="I515" s="46">
        <f>'90186_2024'!H176</f>
        <v>81500</v>
      </c>
      <c r="J515" s="52" t="str">
        <f>'90186_2024'!I176</f>
        <v>CRCEA-SE</v>
      </c>
      <c r="K515" s="52" t="str">
        <f>'90186_2024'!J176</f>
        <v>RENAULT / KWID ZEN ZERO KM</v>
      </c>
      <c r="L515" s="52" t="str">
        <f>'90186_2024'!K176</f>
        <v>22.424.304/0001-19</v>
      </c>
      <c r="M515" s="52" t="str">
        <f>'90186_2024'!L176</f>
        <v>NASA FRANCE VEICULOS LTDA</v>
      </c>
      <c r="N515" s="52" t="str">
        <f>'90186_2024'!M176</f>
        <v/>
      </c>
      <c r="O515" s="52" t="str">
        <f>'90186_2024'!N176</f>
        <v/>
      </c>
      <c r="P515" s="52" t="str">
        <f>'90186_2024'!O176</f>
        <v/>
      </c>
      <c r="Q515" s="70" t="str">
        <f>'90186_2024'!P176</f>
        <v/>
      </c>
      <c r="R515" s="52" t="str">
        <f>'90186_2024'!Q176</f>
        <v>HOMOLOGADO</v>
      </c>
    </row>
    <row r="516" hidden="1">
      <c r="A516" s="79" t="s">
        <v>39</v>
      </c>
      <c r="B516" s="35">
        <f>'90186_2024'!A177</f>
        <v>35</v>
      </c>
      <c r="C516" s="35" t="str">
        <f>'90186_2024'!B177</f>
        <v>P-2-01A-DTS</v>
      </c>
      <c r="D516" s="35" t="str">
        <f>'90186_2024'!C177</f>
        <v>VEÍCULO DE SERVIÇO</v>
      </c>
      <c r="E516" s="35">
        <f>'90186_2024'!D177</f>
        <v>1</v>
      </c>
      <c r="F516" s="321">
        <f>'90186_2024'!E177</f>
        <v>1</v>
      </c>
      <c r="G516" s="56">
        <f>'90186_2024'!F177</f>
        <v>0</v>
      </c>
      <c r="H516" s="28">
        <f>'90186_2024'!G177</f>
        <v>81500</v>
      </c>
      <c r="I516" s="28">
        <f>'90186_2024'!H177</f>
        <v>81500</v>
      </c>
      <c r="J516" s="35" t="str">
        <f>'90186_2024'!I177</f>
        <v>DECEA</v>
      </c>
      <c r="K516" s="35" t="str">
        <f>'90186_2024'!J177</f>
        <v>RENAULT / KWID ZEN ZERO KM</v>
      </c>
      <c r="L516" s="35" t="str">
        <f>'90186_2024'!K177</f>
        <v>22.424.304/0001-19</v>
      </c>
      <c r="M516" s="35" t="str">
        <f>'90186_2024'!L177</f>
        <v>NASA FRANCE VEICULOS LTDA</v>
      </c>
      <c r="N516" s="35" t="str">
        <f>'90186_2024'!M177</f>
        <v/>
      </c>
      <c r="O516" s="35" t="str">
        <f>'90186_2024'!N177</f>
        <v/>
      </c>
      <c r="P516" s="35" t="str">
        <f>'90186_2024'!O177</f>
        <v/>
      </c>
      <c r="Q516" s="63" t="str">
        <f>'90186_2024'!P177</f>
        <v/>
      </c>
      <c r="R516" s="35" t="str">
        <f>'90186_2024'!Q177</f>
        <v>HOMOLOGADO</v>
      </c>
    </row>
    <row r="517" hidden="1">
      <c r="A517" s="218" t="s">
        <v>39</v>
      </c>
      <c r="B517" s="324">
        <f>'90186_2024'!A178</f>
        <v>35</v>
      </c>
      <c r="C517" s="324" t="str">
        <f>'90186_2024'!B178</f>
        <v>P-2-01A-DTS</v>
      </c>
      <c r="D517" s="324" t="str">
        <f>'90186_2024'!C178</f>
        <v>VEÍCULO DE SERVIÇO</v>
      </c>
      <c r="E517" s="324">
        <f>'90186_2024'!D178</f>
        <v>1</v>
      </c>
      <c r="F517" s="414">
        <v>1.0</v>
      </c>
      <c r="G517" s="325">
        <v>0.0</v>
      </c>
      <c r="H517" s="223">
        <f>'90186_2024'!G178</f>
        <v>81500</v>
      </c>
      <c r="I517" s="223">
        <f>'90186_2024'!H178</f>
        <v>81500</v>
      </c>
      <c r="J517" s="324" t="str">
        <f>'90186_2024'!I178</f>
        <v>EEAR</v>
      </c>
      <c r="K517" s="324" t="str">
        <f>'90186_2024'!J178</f>
        <v>RENAULT / KWID ZEN ZERO KM</v>
      </c>
      <c r="L517" s="324" t="str">
        <f>'90186_2024'!K178</f>
        <v>22.424.304/0001-19</v>
      </c>
      <c r="M517" s="324" t="str">
        <f>'90186_2024'!L178</f>
        <v>NASA FRANCE VEICULOS LTDA</v>
      </c>
      <c r="N517" s="324" t="str">
        <f>'90186_2024'!M178</f>
        <v/>
      </c>
      <c r="O517" s="324" t="str">
        <f>'90186_2024'!N178</f>
        <v/>
      </c>
      <c r="P517" s="324" t="str">
        <f>'90186_2024'!O178</f>
        <v/>
      </c>
      <c r="Q517" s="242" t="str">
        <f>'90186_2024'!P178</f>
        <v/>
      </c>
      <c r="R517" s="324" t="str">
        <f>'90186_2024'!Q178</f>
        <v>HOMOLOGADO</v>
      </c>
      <c r="S517" s="226"/>
      <c r="T517" s="226"/>
      <c r="U517" s="226"/>
      <c r="V517" s="226"/>
      <c r="W517" s="226"/>
      <c r="X517" s="226"/>
      <c r="Y517" s="226"/>
      <c r="Z517" s="226"/>
    </row>
    <row r="518" hidden="1">
      <c r="A518" s="218" t="s">
        <v>39</v>
      </c>
      <c r="B518" s="324">
        <f>'90186_2024'!A179</f>
        <v>35</v>
      </c>
      <c r="C518" s="324" t="str">
        <f>'90186_2024'!B179</f>
        <v>P-2-01A-DTS</v>
      </c>
      <c r="D518" s="324" t="str">
        <f>'90186_2024'!C179</f>
        <v>VEÍCULO DE SERVIÇO</v>
      </c>
      <c r="E518" s="324">
        <f>'90186_2024'!D179</f>
        <v>1</v>
      </c>
      <c r="F518" s="414">
        <v>1.0</v>
      </c>
      <c r="G518" s="325">
        <v>0.0</v>
      </c>
      <c r="H518" s="223">
        <f>'90186_2024'!G179</f>
        <v>81500</v>
      </c>
      <c r="I518" s="223">
        <f>'90186_2024'!H179</f>
        <v>81500</v>
      </c>
      <c r="J518" s="324" t="str">
        <f>'90186_2024'!I179</f>
        <v>GAP-AF</v>
      </c>
      <c r="K518" s="324" t="str">
        <f>'90186_2024'!J179</f>
        <v>RENAULT / KWID ZEN ZERO KM</v>
      </c>
      <c r="L518" s="324" t="str">
        <f>'90186_2024'!K179</f>
        <v>22.424.304/0001-19</v>
      </c>
      <c r="M518" s="324" t="str">
        <f>'90186_2024'!L179</f>
        <v>NASA FRANCE VEICULOS LTDA</v>
      </c>
      <c r="N518" s="324" t="str">
        <f>'90186_2024'!M179</f>
        <v/>
      </c>
      <c r="O518" s="324" t="str">
        <f>'90186_2024'!N179</f>
        <v/>
      </c>
      <c r="P518" s="324" t="str">
        <f>'90186_2024'!O179</f>
        <v/>
      </c>
      <c r="Q518" s="242" t="str">
        <f>'90186_2024'!P179</f>
        <v/>
      </c>
      <c r="R518" s="324" t="str">
        <f>'90186_2024'!Q179</f>
        <v>HOMOLOGADO</v>
      </c>
      <c r="S518" s="226"/>
      <c r="T518" s="226"/>
      <c r="U518" s="226"/>
      <c r="V518" s="226"/>
      <c r="W518" s="226"/>
      <c r="X518" s="226"/>
      <c r="Y518" s="226"/>
      <c r="Z518" s="226"/>
    </row>
    <row r="519" hidden="1">
      <c r="A519" s="218" t="s">
        <v>39</v>
      </c>
      <c r="B519" s="324">
        <f>'90186_2024'!A180</f>
        <v>35</v>
      </c>
      <c r="C519" s="324" t="str">
        <f>'90186_2024'!B180</f>
        <v>P-2-01A-DTS</v>
      </c>
      <c r="D519" s="324" t="str">
        <f>'90186_2024'!C180</f>
        <v>VEÍCULO DE SERVIÇO</v>
      </c>
      <c r="E519" s="324">
        <f>'90186_2024'!D180</f>
        <v>1</v>
      </c>
      <c r="F519" s="414">
        <v>1.0</v>
      </c>
      <c r="G519" s="325">
        <v>0.0</v>
      </c>
      <c r="H519" s="223">
        <f>'90186_2024'!G180</f>
        <v>81500</v>
      </c>
      <c r="I519" s="223">
        <f>'90186_2024'!H180</f>
        <v>81500</v>
      </c>
      <c r="J519" s="324" t="str">
        <f>'90186_2024'!I180</f>
        <v>GAP-BR</v>
      </c>
      <c r="K519" s="324" t="str">
        <f>'90186_2024'!J180</f>
        <v>RENAULT / KWID ZEN ZERO KM</v>
      </c>
      <c r="L519" s="324" t="str">
        <f>'90186_2024'!K180</f>
        <v>22.424.304/0001-19</v>
      </c>
      <c r="M519" s="324" t="str">
        <f>'90186_2024'!L180</f>
        <v>NASA FRANCE VEICULOS LTDA</v>
      </c>
      <c r="N519" s="324" t="str">
        <f>'90186_2024'!M180</f>
        <v/>
      </c>
      <c r="O519" s="324" t="str">
        <f>'90186_2024'!N180</f>
        <v/>
      </c>
      <c r="P519" s="324" t="str">
        <f>'90186_2024'!O180</f>
        <v/>
      </c>
      <c r="Q519" s="242" t="str">
        <f>'90186_2024'!P180</f>
        <v/>
      </c>
      <c r="R519" s="324" t="str">
        <f>'90186_2024'!Q180</f>
        <v>HOMOLOGADO</v>
      </c>
      <c r="S519" s="226"/>
      <c r="T519" s="226"/>
      <c r="U519" s="226"/>
      <c r="V519" s="226"/>
      <c r="W519" s="226"/>
      <c r="X519" s="226"/>
      <c r="Y519" s="226"/>
      <c r="Z519" s="226"/>
    </row>
    <row r="520" hidden="1">
      <c r="A520" s="79" t="s">
        <v>39</v>
      </c>
      <c r="B520" s="35" t="str">
        <f>'90186_2024'!#REF!</f>
        <v>#ERROR!</v>
      </c>
      <c r="C520" s="35" t="str">
        <f>'90186_2024'!#REF!</f>
        <v>#ERROR!</v>
      </c>
      <c r="D520" s="35" t="str">
        <f>'90186_2024'!#REF!</f>
        <v>#ERROR!</v>
      </c>
      <c r="E520" s="35" t="str">
        <f>'90186_2024'!#REF!</f>
        <v>#ERROR!</v>
      </c>
      <c r="F520" s="35" t="str">
        <f>'90186_2024'!#REF!</f>
        <v>#ERROR!</v>
      </c>
      <c r="G520" s="56" t="str">
        <f>'90186_2024'!#REF!</f>
        <v>#ERROR!</v>
      </c>
      <c r="H520" s="28" t="str">
        <f>'90186_2024'!#REF!</f>
        <v>#ERROR!</v>
      </c>
      <c r="I520" s="28" t="str">
        <f>'90186_2024'!#REF!</f>
        <v>#ERROR!</v>
      </c>
      <c r="J520" s="35" t="str">
        <f>'90186_2024'!#REF!</f>
        <v>#ERROR!</v>
      </c>
      <c r="K520" s="35" t="str">
        <f>'90186_2024'!#REF!</f>
        <v>#ERROR!</v>
      </c>
      <c r="L520" s="35" t="str">
        <f>'90186_2024'!#REF!</f>
        <v>#ERROR!</v>
      </c>
      <c r="M520" s="35" t="str">
        <f>'90186_2024'!#REF!</f>
        <v>#ERROR!</v>
      </c>
      <c r="N520" s="35" t="str">
        <f>'90186_2024'!#REF!</f>
        <v>#ERROR!</v>
      </c>
      <c r="O520" s="35" t="str">
        <f>'90186_2024'!#REF!</f>
        <v>#ERROR!</v>
      </c>
      <c r="P520" s="35" t="str">
        <f>'90186_2024'!#REF!</f>
        <v>#ERROR!</v>
      </c>
      <c r="Q520" s="63" t="str">
        <f>'90186_2024'!#REF!</f>
        <v>#ERROR!</v>
      </c>
      <c r="R520" s="35" t="str">
        <f>'90186_2024'!#REF!</f>
        <v>#ERROR!</v>
      </c>
    </row>
    <row r="521" hidden="1">
      <c r="A521" s="77" t="s">
        <v>39</v>
      </c>
      <c r="B521" s="52" t="str">
        <f>'90186_2024'!#REF!</f>
        <v>#ERROR!</v>
      </c>
      <c r="C521" s="52" t="str">
        <f>'90186_2024'!#REF!</f>
        <v>#ERROR!</v>
      </c>
      <c r="D521" s="52" t="str">
        <f>'90186_2024'!#REF!</f>
        <v>#ERROR!</v>
      </c>
      <c r="E521" s="52" t="str">
        <f>'90186_2024'!#REF!</f>
        <v>#ERROR!</v>
      </c>
      <c r="F521" s="52" t="str">
        <f>'90186_2024'!#REF!</f>
        <v>#ERROR!</v>
      </c>
      <c r="G521" s="67" t="str">
        <f>'90186_2024'!#REF!</f>
        <v>#ERROR!</v>
      </c>
      <c r="H521" s="46" t="str">
        <f>'90186_2024'!#REF!</f>
        <v>#ERROR!</v>
      </c>
      <c r="I521" s="46" t="str">
        <f>'90186_2024'!#REF!</f>
        <v>#ERROR!</v>
      </c>
      <c r="J521" s="52" t="str">
        <f>'90186_2024'!#REF!</f>
        <v>#ERROR!</v>
      </c>
      <c r="K521" s="52" t="str">
        <f>'90186_2024'!#REF!</f>
        <v>#ERROR!</v>
      </c>
      <c r="L521" s="52" t="str">
        <f>'90186_2024'!#REF!</f>
        <v>#ERROR!</v>
      </c>
      <c r="M521" s="52" t="str">
        <f>'90186_2024'!#REF!</f>
        <v>#ERROR!</v>
      </c>
      <c r="N521" s="52" t="str">
        <f>'90186_2024'!#REF!</f>
        <v>#ERROR!</v>
      </c>
      <c r="O521" s="52" t="str">
        <f>'90186_2024'!#REF!</f>
        <v>#ERROR!</v>
      </c>
      <c r="P521" s="52" t="str">
        <f>'90186_2024'!#REF!</f>
        <v>#ERROR!</v>
      </c>
      <c r="Q521" s="70" t="str">
        <f>'90186_2024'!#REF!</f>
        <v>#ERROR!</v>
      </c>
      <c r="R521" s="52" t="str">
        <f>'90186_2024'!#REF!</f>
        <v>#ERROR!</v>
      </c>
    </row>
    <row r="522" hidden="1">
      <c r="A522" s="79" t="s">
        <v>39</v>
      </c>
      <c r="B522" s="35" t="str">
        <f>'90186_2024'!#REF!</f>
        <v>#ERROR!</v>
      </c>
      <c r="C522" s="35" t="str">
        <f>'90186_2024'!#REF!</f>
        <v>#ERROR!</v>
      </c>
      <c r="D522" s="35" t="str">
        <f>'90186_2024'!#REF!</f>
        <v>#ERROR!</v>
      </c>
      <c r="E522" s="35" t="str">
        <f>'90186_2024'!#REF!</f>
        <v>#ERROR!</v>
      </c>
      <c r="F522" s="35" t="str">
        <f>'90186_2024'!#REF!</f>
        <v>#ERROR!</v>
      </c>
      <c r="G522" s="56" t="str">
        <f>'90186_2024'!#REF!</f>
        <v>#ERROR!</v>
      </c>
      <c r="H522" s="28" t="str">
        <f>'90186_2024'!#REF!</f>
        <v>#ERROR!</v>
      </c>
      <c r="I522" s="28" t="str">
        <f>'90186_2024'!#REF!</f>
        <v>#ERROR!</v>
      </c>
      <c r="J522" s="35" t="str">
        <f>'90186_2024'!#REF!</f>
        <v>#ERROR!</v>
      </c>
      <c r="K522" s="35" t="str">
        <f>'90186_2024'!#REF!</f>
        <v>#ERROR!</v>
      </c>
      <c r="L522" s="35" t="str">
        <f>'90186_2024'!#REF!</f>
        <v>#ERROR!</v>
      </c>
      <c r="M522" s="35" t="str">
        <f>'90186_2024'!#REF!</f>
        <v>#ERROR!</v>
      </c>
      <c r="N522" s="35" t="str">
        <f>'90186_2024'!#REF!</f>
        <v>#ERROR!</v>
      </c>
      <c r="O522" s="35" t="str">
        <f>'90186_2024'!#REF!</f>
        <v>#ERROR!</v>
      </c>
      <c r="P522" s="35" t="str">
        <f>'90186_2024'!#REF!</f>
        <v>#ERROR!</v>
      </c>
      <c r="Q522" s="63" t="str">
        <f>'90186_2024'!#REF!</f>
        <v>#ERROR!</v>
      </c>
      <c r="R522" s="35" t="str">
        <f>'90186_2024'!#REF!</f>
        <v>#ERROR!</v>
      </c>
    </row>
    <row r="523" hidden="1">
      <c r="A523" s="77" t="s">
        <v>39</v>
      </c>
      <c r="B523" s="52" t="str">
        <f>'90186_2024'!#REF!</f>
        <v>#ERROR!</v>
      </c>
      <c r="C523" s="52" t="str">
        <f>'90186_2024'!#REF!</f>
        <v>#ERROR!</v>
      </c>
      <c r="D523" s="52" t="str">
        <f>'90186_2024'!#REF!</f>
        <v>#ERROR!</v>
      </c>
      <c r="E523" s="52" t="str">
        <f>'90186_2024'!#REF!</f>
        <v>#ERROR!</v>
      </c>
      <c r="F523" s="52" t="str">
        <f>'90186_2024'!#REF!</f>
        <v>#ERROR!</v>
      </c>
      <c r="G523" s="67" t="str">
        <f>'90186_2024'!#REF!</f>
        <v>#ERROR!</v>
      </c>
      <c r="H523" s="46" t="str">
        <f>'90186_2024'!#REF!</f>
        <v>#ERROR!</v>
      </c>
      <c r="I523" s="46" t="str">
        <f>'90186_2024'!#REF!</f>
        <v>#ERROR!</v>
      </c>
      <c r="J523" s="52" t="str">
        <f>'90186_2024'!#REF!</f>
        <v>#ERROR!</v>
      </c>
      <c r="K523" s="52" t="str">
        <f>'90186_2024'!#REF!</f>
        <v>#ERROR!</v>
      </c>
      <c r="L523" s="52" t="str">
        <f>'90186_2024'!#REF!</f>
        <v>#ERROR!</v>
      </c>
      <c r="M523" s="52" t="str">
        <f>'90186_2024'!#REF!</f>
        <v>#ERROR!</v>
      </c>
      <c r="N523" s="52" t="str">
        <f>'90186_2024'!#REF!</f>
        <v>#ERROR!</v>
      </c>
      <c r="O523" s="52" t="str">
        <f>'90186_2024'!#REF!</f>
        <v>#ERROR!</v>
      </c>
      <c r="P523" s="52" t="str">
        <f>'90186_2024'!#REF!</f>
        <v>#ERROR!</v>
      </c>
      <c r="Q523" s="70" t="str">
        <f>'90186_2024'!#REF!</f>
        <v>#ERROR!</v>
      </c>
      <c r="R523" s="52" t="str">
        <f>'90186_2024'!#REF!</f>
        <v>#ERROR!</v>
      </c>
    </row>
    <row r="524" hidden="1">
      <c r="A524" s="79" t="s">
        <v>39</v>
      </c>
      <c r="B524" s="35" t="str">
        <f>'90186_2024'!#REF!</f>
        <v>#ERROR!</v>
      </c>
      <c r="C524" s="35" t="str">
        <f>'90186_2024'!#REF!</f>
        <v>#ERROR!</v>
      </c>
      <c r="D524" s="35" t="str">
        <f>'90186_2024'!#REF!</f>
        <v>#ERROR!</v>
      </c>
      <c r="E524" s="35" t="str">
        <f>'90186_2024'!#REF!</f>
        <v>#ERROR!</v>
      </c>
      <c r="F524" s="35" t="str">
        <f>'90186_2024'!#REF!</f>
        <v>#ERROR!</v>
      </c>
      <c r="G524" s="56" t="str">
        <f>'90186_2024'!#REF!</f>
        <v>#ERROR!</v>
      </c>
      <c r="H524" s="28" t="str">
        <f>'90186_2024'!#REF!</f>
        <v>#ERROR!</v>
      </c>
      <c r="I524" s="28" t="str">
        <f>'90186_2024'!#REF!</f>
        <v>#ERROR!</v>
      </c>
      <c r="J524" s="35" t="str">
        <f>'90186_2024'!#REF!</f>
        <v>#ERROR!</v>
      </c>
      <c r="K524" s="35" t="str">
        <f>'90186_2024'!#REF!</f>
        <v>#ERROR!</v>
      </c>
      <c r="L524" s="35" t="str">
        <f>'90186_2024'!#REF!</f>
        <v>#ERROR!</v>
      </c>
      <c r="M524" s="35" t="str">
        <f>'90186_2024'!#REF!</f>
        <v>#ERROR!</v>
      </c>
      <c r="N524" s="35" t="str">
        <f>'90186_2024'!#REF!</f>
        <v>#ERROR!</v>
      </c>
      <c r="O524" s="35" t="str">
        <f>'90186_2024'!#REF!</f>
        <v>#ERROR!</v>
      </c>
      <c r="P524" s="35" t="str">
        <f>'90186_2024'!#REF!</f>
        <v>#ERROR!</v>
      </c>
      <c r="Q524" s="63" t="str">
        <f>'90186_2024'!#REF!</f>
        <v>#ERROR!</v>
      </c>
      <c r="R524" s="35" t="str">
        <f>'90186_2024'!#REF!</f>
        <v>#ERROR!</v>
      </c>
    </row>
    <row r="525" hidden="1">
      <c r="A525" s="77" t="s">
        <v>39</v>
      </c>
      <c r="B525" s="52">
        <f>'90186_2024'!A181</f>
        <v>36</v>
      </c>
      <c r="C525" s="52" t="str">
        <f>'90186_2024'!B181</f>
        <v>E-6-01A-DTS</v>
      </c>
      <c r="D525" s="52" t="str">
        <f>'90186_2024'!C181</f>
        <v>CARRO DE COLETOR</v>
      </c>
      <c r="E525" s="52">
        <f>'90186_2024'!D181</f>
        <v>1</v>
      </c>
      <c r="F525" s="52">
        <f>'90186_2024'!E181</f>
        <v>0</v>
      </c>
      <c r="G525" s="67">
        <f>'90186_2024'!F181</f>
        <v>1</v>
      </c>
      <c r="H525" s="46">
        <f>'90186_2024'!G181</f>
        <v>585000</v>
      </c>
      <c r="I525" s="46">
        <f>'90186_2024'!H181</f>
        <v>585000</v>
      </c>
      <c r="J525" s="52" t="str">
        <f>'90186_2024'!I181</f>
        <v>BANT</v>
      </c>
      <c r="K525" s="52" t="str">
        <f>'90186_2024'!J181</f>
        <v>VOLKSWAGEN TRUCK E BUS / 11180 com compactador de 6 metros cubicos </v>
      </c>
      <c r="L525" s="52" t="str">
        <f>'90186_2024'!K181</f>
        <v>11.726.521/0001-47</v>
      </c>
      <c r="M525" s="52" t="str">
        <f>'90186_2024'!L181</f>
        <v>TRANSRIO CAMINHOES, ONIBUS, MAQUINAS E MOTORES LTDA</v>
      </c>
      <c r="N525" s="52" t="str">
        <f>'90186_2024'!M181</f>
        <v/>
      </c>
      <c r="O525" s="52" t="str">
        <f>'90186_2024'!N181</f>
        <v/>
      </c>
      <c r="P525" s="52" t="str">
        <f>'90186_2024'!O181</f>
        <v/>
      </c>
      <c r="Q525" s="70" t="str">
        <f>'90186_2024'!P181</f>
        <v/>
      </c>
      <c r="R525" s="52" t="str">
        <f>'90186_2024'!Q181</f>
        <v>HOMOLOGADO</v>
      </c>
    </row>
    <row r="526" hidden="1">
      <c r="A526" s="389" t="s">
        <v>39</v>
      </c>
      <c r="B526" s="451">
        <f>'90186_2024'!A182</f>
        <v>37</v>
      </c>
      <c r="C526" s="451" t="str">
        <f>'90186_2024'!B182</f>
        <v>C-5-01A-DTS</v>
      </c>
      <c r="D526" s="451" t="str">
        <f>'90186_2024'!C182</f>
        <v>CAMINHÃO BAÚ</v>
      </c>
      <c r="E526" s="451">
        <f>'90186_2024'!D182</f>
        <v>1</v>
      </c>
      <c r="F526" s="452">
        <v>1.0</v>
      </c>
      <c r="G526" s="453">
        <v>0.0</v>
      </c>
      <c r="H526" s="454">
        <f>'90186_2024'!G182</f>
        <v>584000</v>
      </c>
      <c r="I526" s="454">
        <f>'90186_2024'!H182</f>
        <v>584000</v>
      </c>
      <c r="J526" s="451" t="str">
        <f>'90186_2024'!I182</f>
        <v>BAMN</v>
      </c>
      <c r="K526" s="451" t="str">
        <f>'90186_2024'!J182</f>
        <v>IVECO / 15-210</v>
      </c>
      <c r="L526" s="451" t="str">
        <f>'90186_2024'!K182</f>
        <v>51.552.005/0001-68 </v>
      </c>
      <c r="M526" s="451" t="str">
        <f>'90186_2024'!L182</f>
        <v>NOVO HORIZONTE COMERCIO E SERVICOS LTDA</v>
      </c>
      <c r="N526" s="451" t="str">
        <f>'90186_2024'!M182</f>
        <v/>
      </c>
      <c r="O526" s="451" t="str">
        <f>'90186_2024'!N182</f>
        <v/>
      </c>
      <c r="P526" s="451" t="str">
        <f>'90186_2024'!O182</f>
        <v/>
      </c>
      <c r="Q526" s="455" t="str">
        <f>'90186_2024'!P182</f>
        <v/>
      </c>
      <c r="R526" s="451" t="str">
        <f>'90186_2024'!Q182</f>
        <v>HOMOLOGADO</v>
      </c>
      <c r="S526" s="395"/>
      <c r="T526" s="395"/>
      <c r="U526" s="395"/>
      <c r="V526" s="395"/>
      <c r="W526" s="395"/>
      <c r="X526" s="395"/>
      <c r="Y526" s="395"/>
      <c r="Z526" s="395"/>
    </row>
    <row r="527" hidden="1">
      <c r="A527" s="326" t="s">
        <v>1001</v>
      </c>
      <c r="B527" s="35">
        <f>'90034_2025'!A3</f>
        <v>1</v>
      </c>
      <c r="C527" s="35" t="str">
        <f>'90034_2025'!B3</f>
        <v>P1-01A-DTS</v>
      </c>
      <c r="D527" s="35" t="str">
        <f>'90034_2025'!C3</f>
        <v>VEÍCULO ESPECIAL</v>
      </c>
      <c r="E527" s="35">
        <f>'90034_2025'!D3</f>
        <v>4</v>
      </c>
      <c r="F527" s="456">
        <f>'90034_2025'!E3</f>
        <v>3</v>
      </c>
      <c r="G527" s="56">
        <f>'90034_2025'!F3</f>
        <v>1</v>
      </c>
      <c r="H527" s="28">
        <f>'90034_2025'!G3</f>
        <v>159000</v>
      </c>
      <c r="I527" s="28">
        <f>'90034_2025'!H3</f>
        <v>636000</v>
      </c>
      <c r="J527" s="35" t="str">
        <f>'90034_2025'!I3</f>
        <v>GAP-RJ</v>
      </c>
      <c r="K527" s="35" t="str">
        <f>'90034_2025'!J3</f>
        <v>Toyota </v>
      </c>
      <c r="L527" s="35" t="str">
        <f>'90034_2025'!K3</f>
        <v>59.104.760/0006-04
</v>
      </c>
      <c r="M527" s="35" t="str">
        <f>'90034_2025'!L3</f>
        <v>TOYOTA DO BRASIL</v>
      </c>
      <c r="N527" s="35" t="str">
        <f>'90034_2025'!M3</f>
        <v>(15) 99838-3299</v>
      </c>
      <c r="O527" s="35" t="str">
        <f>'90034_2025'!N3</f>
        <v>danilo.massini@toyota.com.br</v>
      </c>
      <c r="P527" s="35" t="str">
        <f>'90186_2024'!O188</f>
        <v/>
      </c>
      <c r="Q527" s="63" t="str">
        <f>'90186_2024'!P188</f>
        <v/>
      </c>
      <c r="R527" s="33"/>
    </row>
    <row r="528" hidden="1">
      <c r="A528" s="457" t="s">
        <v>1001</v>
      </c>
      <c r="B528" s="324">
        <f>'90034_2025'!A4</f>
        <v>1</v>
      </c>
      <c r="C528" s="324" t="str">
        <f>'90034_2025'!B4</f>
        <v>P1-01A-DTS</v>
      </c>
      <c r="D528" s="324" t="str">
        <f>'90034_2025'!C4</f>
        <v>VEÍCULO ESPECIAL</v>
      </c>
      <c r="E528" s="324">
        <f>'90034_2025'!D4</f>
        <v>14</v>
      </c>
      <c r="F528" s="414">
        <v>10.0</v>
      </c>
      <c r="G528" s="325">
        <v>4.0</v>
      </c>
      <c r="H528" s="223">
        <f>'90034_2025'!G4</f>
        <v>159000</v>
      </c>
      <c r="I528" s="223">
        <f>'90034_2025'!H4</f>
        <v>2226000</v>
      </c>
      <c r="J528" s="324" t="str">
        <f>'90034_2025'!I4</f>
        <v>GAB-BR</v>
      </c>
      <c r="K528" s="324" t="str">
        <f>'90034_2025'!J4</f>
        <v>Toyota </v>
      </c>
      <c r="L528" s="324" t="str">
        <f>'90034_2025'!K4</f>
        <v>59.104.760/0006-04</v>
      </c>
      <c r="M528" s="324" t="str">
        <f>'90034_2025'!L4</f>
        <v>TOYOTA DO BRASIL</v>
      </c>
      <c r="N528" s="324" t="str">
        <f>'90034_2025'!M4</f>
        <v>(15) 99838-3299</v>
      </c>
      <c r="O528" s="324" t="str">
        <f>'90034_2025'!N4</f>
        <v>danilo.massini@toyota.com.br</v>
      </c>
      <c r="P528" s="324"/>
      <c r="Q528" s="242"/>
      <c r="R528" s="414"/>
      <c r="S528" s="226"/>
      <c r="T528" s="226"/>
      <c r="U528" s="226"/>
      <c r="V528" s="226"/>
      <c r="W528" s="226"/>
      <c r="X528" s="226"/>
      <c r="Y528" s="226"/>
      <c r="Z528" s="226"/>
    </row>
    <row r="529" hidden="1">
      <c r="A529" s="326" t="s">
        <v>1001</v>
      </c>
      <c r="B529" s="35">
        <f>'90034_2025'!A5</f>
        <v>1</v>
      </c>
      <c r="C529" s="35" t="str">
        <f>'90034_2025'!B5</f>
        <v>P1-01A-DTS</v>
      </c>
      <c r="D529" s="35" t="str">
        <f>'90034_2025'!C5</f>
        <v>VEÍCULO ESPECIAL</v>
      </c>
      <c r="E529" s="35">
        <f>'90034_2025'!D5</f>
        <v>2</v>
      </c>
      <c r="F529" s="216">
        <v>1.0</v>
      </c>
      <c r="G529" s="56">
        <f>'90034_2025'!F5</f>
        <v>1</v>
      </c>
      <c r="H529" s="28">
        <f>'90034_2025'!G5</f>
        <v>159000</v>
      </c>
      <c r="I529" s="28">
        <f>'90034_2025'!H5</f>
        <v>318000</v>
      </c>
      <c r="J529" s="35" t="str">
        <f>'90034_2025'!I5</f>
        <v>GAP-SP</v>
      </c>
      <c r="K529" s="35" t="str">
        <f>'90034_2025'!J5</f>
        <v>Toyota </v>
      </c>
      <c r="L529" s="35" t="str">
        <f>'90034_2025'!K5</f>
        <v>59.104.760/0006-04
</v>
      </c>
      <c r="M529" s="35" t="str">
        <f>'90034_2025'!L5</f>
        <v>TOYOTA DO BRASIL</v>
      </c>
      <c r="N529" s="35" t="str">
        <f>'90034_2025'!M5</f>
        <v>(15) 99838-3299</v>
      </c>
      <c r="O529" s="35" t="str">
        <f>'90034_2025'!N5</f>
        <v>danilo.massini@toyota.com.br</v>
      </c>
      <c r="P529" s="35" t="str">
        <f>'90186_2024'!O190</f>
        <v/>
      </c>
      <c r="Q529" s="63" t="str">
        <f>'90186_2024'!P190</f>
        <v/>
      </c>
      <c r="R529" s="33"/>
    </row>
    <row r="530" hidden="1">
      <c r="A530" s="458" t="s">
        <v>1001</v>
      </c>
      <c r="B530" s="52">
        <f>'90034_2025'!A6</f>
        <v>2</v>
      </c>
      <c r="C530" s="52" t="str">
        <f>'90034_2025'!B6</f>
        <v>P8-01A-DTS</v>
      </c>
      <c r="D530" s="52" t="str">
        <f>'90034_2025'!C6</f>
        <v>MOTOCICLETA NORMAL</v>
      </c>
      <c r="E530" s="52">
        <f>'90034_2025'!D6</f>
        <v>1</v>
      </c>
      <c r="F530" s="52">
        <f>'90034_2025'!E6</f>
        <v>0</v>
      </c>
      <c r="G530" s="67">
        <f>'90034_2025'!F6</f>
        <v>1</v>
      </c>
      <c r="H530" s="46" t="str">
        <f>'90034_2025'!G6</f>
        <v/>
      </c>
      <c r="I530" s="46">
        <f>'90034_2025'!H6</f>
        <v>0</v>
      </c>
      <c r="J530" s="52" t="str">
        <f>'90034_2025'!I6</f>
        <v>AFA</v>
      </c>
      <c r="K530" s="52" t="str">
        <f>'90034_2025'!J6</f>
        <v>FRACASADA</v>
      </c>
      <c r="L530" s="52" t="str">
        <f>'90034_2025'!K6</f>
        <v/>
      </c>
      <c r="M530" s="52" t="str">
        <f>'90034_2025'!L6</f>
        <v/>
      </c>
      <c r="N530" s="52" t="str">
        <f>'90034_2025'!M6</f>
        <v/>
      </c>
      <c r="O530" s="52" t="str">
        <f>'90034_2025'!N6</f>
        <v/>
      </c>
      <c r="P530" s="52"/>
      <c r="Q530" s="70"/>
      <c r="R530" s="49"/>
    </row>
    <row r="531" hidden="1">
      <c r="A531" s="326" t="s">
        <v>1001</v>
      </c>
      <c r="B531" s="35">
        <f>'90034_2025'!A7</f>
        <v>2</v>
      </c>
      <c r="C531" s="35" t="str">
        <f>'90034_2025'!B7</f>
        <v>P8-01A-DTS</v>
      </c>
      <c r="D531" s="35" t="str">
        <f>'90034_2025'!C7</f>
        <v>MOTOCICLETA NORMAL</v>
      </c>
      <c r="E531" s="35">
        <f>'90034_2025'!D7</f>
        <v>1</v>
      </c>
      <c r="F531" s="35">
        <f>'90034_2025'!E7</f>
        <v>0</v>
      </c>
      <c r="G531" s="56">
        <f>'90034_2025'!F7</f>
        <v>1</v>
      </c>
      <c r="H531" s="28" t="str">
        <f>'90034_2025'!G7</f>
        <v/>
      </c>
      <c r="I531" s="28">
        <f>'90034_2025'!H7</f>
        <v>0</v>
      </c>
      <c r="J531" s="35" t="str">
        <f>'90034_2025'!I7</f>
        <v>BACG</v>
      </c>
      <c r="K531" s="35" t="str">
        <f>'90034_2025'!J7</f>
        <v>FRACASADA</v>
      </c>
      <c r="L531" s="35" t="str">
        <f>'90034_2025'!K7</f>
        <v/>
      </c>
      <c r="M531" s="35" t="str">
        <f>'90034_2025'!L7</f>
        <v/>
      </c>
      <c r="N531" s="35" t="str">
        <f>'90034_2025'!M7</f>
        <v/>
      </c>
      <c r="O531" s="35" t="str">
        <f>'90034_2025'!N7</f>
        <v/>
      </c>
      <c r="P531" s="35" t="str">
        <f>'90186_2024'!O192</f>
        <v/>
      </c>
      <c r="Q531" s="63" t="str">
        <f>'90186_2024'!P192</f>
        <v/>
      </c>
      <c r="R531" s="33" t="s">
        <v>1002</v>
      </c>
    </row>
    <row r="532" hidden="1">
      <c r="A532" s="458" t="s">
        <v>1001</v>
      </c>
      <c r="B532" s="52">
        <f>'90034_2025'!A8</f>
        <v>2</v>
      </c>
      <c r="C532" s="52" t="str">
        <f>'90034_2025'!B8</f>
        <v>P8-01A-DTS</v>
      </c>
      <c r="D532" s="52" t="str">
        <f>'90034_2025'!C8</f>
        <v>MOTOCICLETA NORMAL</v>
      </c>
      <c r="E532" s="52">
        <f>'90034_2025'!D8</f>
        <v>1</v>
      </c>
      <c r="F532" s="52">
        <f>'90034_2025'!E8</f>
        <v>0</v>
      </c>
      <c r="G532" s="67">
        <f>'90034_2025'!F8</f>
        <v>1</v>
      </c>
      <c r="H532" s="46" t="str">
        <f>'90034_2025'!G8</f>
        <v/>
      </c>
      <c r="I532" s="46">
        <f>'90034_2025'!H8</f>
        <v>0</v>
      </c>
      <c r="J532" s="52" t="str">
        <f>'90034_2025'!I8</f>
        <v>BAFL</v>
      </c>
      <c r="K532" s="52" t="str">
        <f>'90034_2025'!J8</f>
        <v>FRACASADA</v>
      </c>
      <c r="L532" s="52" t="str">
        <f>'90034_2025'!K8</f>
        <v/>
      </c>
      <c r="M532" s="52" t="str">
        <f>'90034_2025'!L8</f>
        <v/>
      </c>
      <c r="N532" s="52" t="str">
        <f>'90034_2025'!M8</f>
        <v/>
      </c>
      <c r="O532" s="52" t="str">
        <f>'90034_2025'!N8</f>
        <v/>
      </c>
      <c r="P532" s="52"/>
      <c r="Q532" s="70"/>
      <c r="R532" s="49" t="s">
        <v>1002</v>
      </c>
    </row>
    <row r="533" hidden="1">
      <c r="A533" s="326" t="s">
        <v>1001</v>
      </c>
      <c r="B533" s="35">
        <f>'90034_2025'!A9</f>
        <v>2</v>
      </c>
      <c r="C533" s="35" t="str">
        <f>'90034_2025'!B9</f>
        <v>P8-01A-DTS</v>
      </c>
      <c r="D533" s="35" t="str">
        <f>'90034_2025'!C9</f>
        <v>MOTOCICLETA NORMAL</v>
      </c>
      <c r="E533" s="35">
        <f>'90034_2025'!D9</f>
        <v>1</v>
      </c>
      <c r="F533" s="35">
        <f>'90034_2025'!E9</f>
        <v>0</v>
      </c>
      <c r="G533" s="56">
        <f>'90034_2025'!F9</f>
        <v>1</v>
      </c>
      <c r="H533" s="28" t="str">
        <f>'90034_2025'!G9</f>
        <v/>
      </c>
      <c r="I533" s="28">
        <f>'90034_2025'!H9</f>
        <v>0</v>
      </c>
      <c r="J533" s="35" t="str">
        <f>'90034_2025'!I9</f>
        <v>BANT</v>
      </c>
      <c r="K533" s="35" t="str">
        <f>'90034_2025'!J9</f>
        <v>FRACASADA</v>
      </c>
      <c r="L533" s="35" t="str">
        <f>'90034_2025'!K9</f>
        <v/>
      </c>
      <c r="M533" s="35" t="str">
        <f>'90034_2025'!L9</f>
        <v/>
      </c>
      <c r="N533" s="35" t="str">
        <f>'90034_2025'!M9</f>
        <v/>
      </c>
      <c r="O533" s="35" t="str">
        <f>'90034_2025'!N9</f>
        <v/>
      </c>
      <c r="P533" s="35" t="str">
        <f>'90186_2024'!O194</f>
        <v/>
      </c>
      <c r="Q533" s="63" t="str">
        <f>'90186_2024'!P194</f>
        <v/>
      </c>
      <c r="R533" s="33" t="s">
        <v>1002</v>
      </c>
    </row>
    <row r="534" hidden="1">
      <c r="A534" s="458" t="s">
        <v>1001</v>
      </c>
      <c r="B534" s="52">
        <f>'90034_2025'!A10</f>
        <v>2</v>
      </c>
      <c r="C534" s="52" t="str">
        <f>'90034_2025'!B10</f>
        <v>P8-01A-DTS</v>
      </c>
      <c r="D534" s="52" t="str">
        <f>'90034_2025'!C10</f>
        <v>MOTOCICLETA NORMAL</v>
      </c>
      <c r="E534" s="52">
        <f>'90034_2025'!D10</f>
        <v>1</v>
      </c>
      <c r="F534" s="52">
        <f>'90034_2025'!E10</f>
        <v>0</v>
      </c>
      <c r="G534" s="67">
        <f>'90034_2025'!F10</f>
        <v>1</v>
      </c>
      <c r="H534" s="46" t="str">
        <f>'90034_2025'!G10</f>
        <v/>
      </c>
      <c r="I534" s="46">
        <f>'90034_2025'!H10</f>
        <v>0</v>
      </c>
      <c r="J534" s="52" t="str">
        <f>'90034_2025'!I10</f>
        <v>BAPV</v>
      </c>
      <c r="K534" s="52" t="str">
        <f>'90034_2025'!J10</f>
        <v>FRACASADA</v>
      </c>
      <c r="L534" s="52" t="str">
        <f>'90034_2025'!K10</f>
        <v/>
      </c>
      <c r="M534" s="52" t="str">
        <f>'90034_2025'!L10</f>
        <v/>
      </c>
      <c r="N534" s="52" t="str">
        <f>'90034_2025'!M10</f>
        <v/>
      </c>
      <c r="O534" s="52" t="str">
        <f>'90034_2025'!N10</f>
        <v/>
      </c>
      <c r="P534" s="52"/>
      <c r="Q534" s="70"/>
      <c r="R534" s="49" t="s">
        <v>1002</v>
      </c>
    </row>
    <row r="535" hidden="1">
      <c r="A535" s="326" t="s">
        <v>1001</v>
      </c>
      <c r="B535" s="35">
        <f>'90034_2025'!A11</f>
        <v>2</v>
      </c>
      <c r="C535" s="35" t="str">
        <f>'90034_2025'!B11</f>
        <v>P8-01A-DTS</v>
      </c>
      <c r="D535" s="35" t="str">
        <f>'90034_2025'!C11</f>
        <v>MOTOCICLETA NORMAL</v>
      </c>
      <c r="E535" s="35">
        <f>'90034_2025'!D11</f>
        <v>1</v>
      </c>
      <c r="F535" s="35">
        <f>'90034_2025'!E11</f>
        <v>0</v>
      </c>
      <c r="G535" s="56">
        <f>'90034_2025'!F11</f>
        <v>1</v>
      </c>
      <c r="H535" s="28" t="str">
        <f>'90034_2025'!G11</f>
        <v/>
      </c>
      <c r="I535" s="28">
        <f>'90034_2025'!H11</f>
        <v>0</v>
      </c>
      <c r="J535" s="35" t="str">
        <f>'90034_2025'!I11</f>
        <v>BASV</v>
      </c>
      <c r="K535" s="35" t="str">
        <f>'90034_2025'!J11</f>
        <v>FRACASADA</v>
      </c>
      <c r="L535" s="35" t="str">
        <f>'90034_2025'!K11</f>
        <v/>
      </c>
      <c r="M535" s="35" t="str">
        <f>'90034_2025'!L11</f>
        <v/>
      </c>
      <c r="N535" s="35" t="str">
        <f>'90034_2025'!M11</f>
        <v/>
      </c>
      <c r="O535" s="35" t="str">
        <f>'90034_2025'!N11</f>
        <v/>
      </c>
      <c r="P535" s="35" t="str">
        <f>'90186_2024'!O196</f>
        <v/>
      </c>
      <c r="Q535" s="63" t="str">
        <f>'90186_2024'!P196</f>
        <v/>
      </c>
      <c r="R535" s="33" t="s">
        <v>1002</v>
      </c>
    </row>
    <row r="536" hidden="1">
      <c r="A536" s="458" t="s">
        <v>1001</v>
      </c>
      <c r="B536" s="52">
        <f>'90034_2025'!A12</f>
        <v>2</v>
      </c>
      <c r="C536" s="52" t="str">
        <f>'90034_2025'!B12</f>
        <v>P8-01A-DTS</v>
      </c>
      <c r="D536" s="52" t="str">
        <f>'90034_2025'!C12</f>
        <v>MOTOCICLETA NORMAL</v>
      </c>
      <c r="E536" s="52">
        <f>'90034_2025'!D12</f>
        <v>1</v>
      </c>
      <c r="F536" s="52">
        <f>'90034_2025'!E12</f>
        <v>0</v>
      </c>
      <c r="G536" s="67">
        <f>'90034_2025'!F12</f>
        <v>1</v>
      </c>
      <c r="H536" s="46" t="str">
        <f>'90034_2025'!G12</f>
        <v/>
      </c>
      <c r="I536" s="46">
        <f>'90034_2025'!H12</f>
        <v>0</v>
      </c>
      <c r="J536" s="52" t="str">
        <f>'90034_2025'!I12</f>
        <v>GAP-MN</v>
      </c>
      <c r="K536" s="52" t="str">
        <f>'90034_2025'!J12</f>
        <v>FRACASADA</v>
      </c>
      <c r="L536" s="52" t="str">
        <f>'90034_2025'!K12</f>
        <v/>
      </c>
      <c r="M536" s="52" t="str">
        <f>'90034_2025'!L12</f>
        <v/>
      </c>
      <c r="N536" s="52" t="str">
        <f>'90034_2025'!M12</f>
        <v/>
      </c>
      <c r="O536" s="52" t="str">
        <f>'90034_2025'!N12</f>
        <v/>
      </c>
      <c r="P536" s="52"/>
      <c r="Q536" s="70"/>
      <c r="R536" s="49" t="s">
        <v>1002</v>
      </c>
    </row>
    <row r="537" hidden="1">
      <c r="A537" s="326" t="s">
        <v>1001</v>
      </c>
      <c r="B537" s="35">
        <f>'90034_2025'!A13</f>
        <v>2</v>
      </c>
      <c r="C537" s="35" t="str">
        <f>'90034_2025'!B13</f>
        <v>P8-01A-DTS</v>
      </c>
      <c r="D537" s="35" t="str">
        <f>'90034_2025'!C13</f>
        <v>MOTOCICLETA NORMAL</v>
      </c>
      <c r="E537" s="35">
        <f>'90034_2025'!D13</f>
        <v>1</v>
      </c>
      <c r="F537" s="35">
        <f>'90034_2025'!E13</f>
        <v>0</v>
      </c>
      <c r="G537" s="56">
        <f>'90034_2025'!F13</f>
        <v>1</v>
      </c>
      <c r="H537" s="28" t="str">
        <f>'90034_2025'!G13</f>
        <v/>
      </c>
      <c r="I537" s="28">
        <f>'90034_2025'!H13</f>
        <v>0</v>
      </c>
      <c r="J537" s="35" t="str">
        <f>'90034_2025'!I13</f>
        <v>GAP-SP</v>
      </c>
      <c r="K537" s="35" t="str">
        <f>#REF!</f>
        <v>#REF!</v>
      </c>
      <c r="L537" s="35" t="str">
        <f>'90034_2025'!K13</f>
        <v/>
      </c>
      <c r="M537" s="35" t="str">
        <f>'90034_2025'!L13</f>
        <v/>
      </c>
      <c r="N537" s="35" t="str">
        <f>'90034_2025'!M13</f>
        <v/>
      </c>
      <c r="O537" s="35" t="str">
        <f>'90034_2025'!N13</f>
        <v/>
      </c>
      <c r="P537" s="35" t="str">
        <f>'90186_2024'!O198</f>
        <v/>
      </c>
      <c r="Q537" s="63" t="str">
        <f>'90186_2024'!P198</f>
        <v/>
      </c>
      <c r="R537" s="33" t="s">
        <v>1002</v>
      </c>
    </row>
    <row r="538" hidden="1">
      <c r="A538" s="458" t="s">
        <v>1001</v>
      </c>
      <c r="B538" s="52">
        <f>'90034_2025'!A14</f>
        <v>3</v>
      </c>
      <c r="C538" s="52" t="str">
        <f>'90034_2025'!B14</f>
        <v>P12-02A-DTS</v>
      </c>
      <c r="D538" s="52" t="str">
        <f>'90034_2025'!C14</f>
        <v>CARRO DE OPERAÇÕES</v>
      </c>
      <c r="E538" s="52">
        <f>'90034_2025'!D14</f>
        <v>2</v>
      </c>
      <c r="F538" s="323">
        <f>'90034_2025'!E14</f>
        <v>1</v>
      </c>
      <c r="G538" s="67">
        <f>'90034_2025'!F14</f>
        <v>1</v>
      </c>
      <c r="H538" s="46">
        <f>'90034_2025'!G14</f>
        <v>241590</v>
      </c>
      <c r="I538" s="46">
        <f>'90034_2025'!H14</f>
        <v>483180</v>
      </c>
      <c r="J538" s="52" t="str">
        <f>'90034_2025'!I14</f>
        <v>BASC</v>
      </c>
      <c r="K538" s="52" t="str">
        <f>'90034_2025'!J13</f>
        <v>FRACASADA</v>
      </c>
      <c r="L538" s="52" t="str">
        <f>'90034_2025'!K14</f>
        <v>54.305.743/0011-70
</v>
      </c>
      <c r="M538" s="52" t="str">
        <f>'90034_2025'!L14</f>
        <v>HPE AUTOMOTORES DO BRASIL</v>
      </c>
      <c r="N538" s="52" t="str">
        <f>'90034_2025'!M14</f>
        <v>(11) 98167-5341</v>
      </c>
      <c r="O538" s="52" t="str">
        <f>'90034_2025'!N14</f>
        <v>governo@almeidaesilva.com.br</v>
      </c>
      <c r="P538" s="52"/>
      <c r="Q538" s="70"/>
      <c r="R538" s="49" t="s">
        <v>1002</v>
      </c>
    </row>
    <row r="539" hidden="1">
      <c r="A539" s="326" t="s">
        <v>1001</v>
      </c>
      <c r="B539" s="35">
        <f>'90034_2025'!A15</f>
        <v>3</v>
      </c>
      <c r="C539" s="35" t="str">
        <f>'90034_2025'!B15</f>
        <v>P12-02A-DTS</v>
      </c>
      <c r="D539" s="35" t="str">
        <f>'90034_2025'!C15</f>
        <v>CARRO DE OPERAÇÕES</v>
      </c>
      <c r="E539" s="35">
        <f>'90034_2025'!D15</f>
        <v>1</v>
      </c>
      <c r="F539" s="323">
        <f>'90034_2025'!E15</f>
        <v>1</v>
      </c>
      <c r="G539" s="56">
        <f>'90034_2025'!F15</f>
        <v>0</v>
      </c>
      <c r="H539" s="28">
        <f>'90034_2025'!G15</f>
        <v>241590</v>
      </c>
      <c r="I539" s="28">
        <f>'90034_2025'!H15</f>
        <v>241590</v>
      </c>
      <c r="J539" s="35" t="str">
        <f>'90034_2025'!I15</f>
        <v>BASM</v>
      </c>
      <c r="K539" s="35" t="str">
        <f>'90034_2025'!J15</f>
        <v>MITSUBISHI </v>
      </c>
      <c r="L539" s="35" t="str">
        <f>'90034_2025'!K15</f>
        <v>54.305.743/0011-70
</v>
      </c>
      <c r="M539" s="35" t="str">
        <f>'90034_2025'!L15</f>
        <v>HPE AUTOMOTORES DO BRASIL</v>
      </c>
      <c r="N539" s="35" t="str">
        <f>'90034_2025'!M15</f>
        <v>(11) 98167-5341</v>
      </c>
      <c r="O539" s="35" t="str">
        <f>'90034_2025'!N15</f>
        <v>governo@almeidaesilva.com.br</v>
      </c>
      <c r="P539" s="35" t="str">
        <f>'90186_2024'!O200</f>
        <v/>
      </c>
      <c r="Q539" s="63" t="str">
        <f>'90186_2024'!P200</f>
        <v/>
      </c>
      <c r="R539" s="33" t="s">
        <v>1002</v>
      </c>
    </row>
    <row r="540" hidden="1">
      <c r="A540" s="458" t="s">
        <v>1001</v>
      </c>
      <c r="B540" s="52">
        <f>'90034_2025'!A16</f>
        <v>3</v>
      </c>
      <c r="C540" s="52" t="str">
        <f>'90034_2025'!B16</f>
        <v>P12-02A-DTS</v>
      </c>
      <c r="D540" s="52" t="str">
        <f>'90034_2025'!C16</f>
        <v>CARRO DE OPERAÇÕES</v>
      </c>
      <c r="E540" s="52">
        <f>'90034_2025'!D16</f>
        <v>2</v>
      </c>
      <c r="F540" s="323">
        <f>'90034_2025'!E16</f>
        <v>1</v>
      </c>
      <c r="G540" s="67">
        <f>'90034_2025'!F16</f>
        <v>1</v>
      </c>
      <c r="H540" s="46">
        <f>'90034_2025'!G16</f>
        <v>241590</v>
      </c>
      <c r="I540" s="46">
        <f>'90034_2025'!H16</f>
        <v>483180</v>
      </c>
      <c r="J540" s="52" t="str">
        <f>'90034_2025'!I16</f>
        <v>CINDACTA II</v>
      </c>
      <c r="K540" s="52" t="str">
        <f>'90034_2025'!J16</f>
        <v>MITSUBISHI </v>
      </c>
      <c r="L540" s="52" t="str">
        <f>'90034_2025'!K16</f>
        <v>54.305.743/0011-70
</v>
      </c>
      <c r="M540" s="52" t="str">
        <f>'90034_2025'!L16</f>
        <v>HPE AUTOMOTORES DO BRASIL</v>
      </c>
      <c r="N540" s="52" t="str">
        <f>'90034_2025'!M16</f>
        <v>(11) 98167-5341</v>
      </c>
      <c r="O540" s="52" t="str">
        <f>'90034_2025'!N16</f>
        <v>governo@almeidaesilva.com.br</v>
      </c>
      <c r="P540" s="52"/>
      <c r="Q540" s="70"/>
      <c r="R540" s="49" t="s">
        <v>1002</v>
      </c>
    </row>
    <row r="541" hidden="1">
      <c r="A541" s="326" t="s">
        <v>1001</v>
      </c>
      <c r="B541" s="35">
        <f>'90034_2025'!A17</f>
        <v>3</v>
      </c>
      <c r="C541" s="35" t="str">
        <f>'90034_2025'!B17</f>
        <v>P12-02A-DTS</v>
      </c>
      <c r="D541" s="35" t="str">
        <f>'90034_2025'!C17</f>
        <v>CARRO DE OPERAÇÕES</v>
      </c>
      <c r="E541" s="35">
        <f>'90034_2025'!D17</f>
        <v>1</v>
      </c>
      <c r="F541" s="35">
        <f>'90034_2025'!E17</f>
        <v>0</v>
      </c>
      <c r="G541" s="56">
        <f>'90034_2025'!F17</f>
        <v>1</v>
      </c>
      <c r="H541" s="28">
        <f>'90034_2025'!G17</f>
        <v>241590</v>
      </c>
      <c r="I541" s="28">
        <f>'90034_2025'!H17</f>
        <v>241590</v>
      </c>
      <c r="J541" s="35" t="str">
        <f>'90034_2025'!I17</f>
        <v>EPCAR</v>
      </c>
      <c r="K541" s="35" t="str">
        <f>'90034_2025'!J17</f>
        <v>MITSUBISHI </v>
      </c>
      <c r="L541" s="35" t="str">
        <f>'90034_2025'!K17</f>
        <v>54.305.743/0011-70
</v>
      </c>
      <c r="M541" s="35" t="str">
        <f>'90034_2025'!L17</f>
        <v>HPE AUTOMOTORES DO BRASIL</v>
      </c>
      <c r="N541" s="35" t="str">
        <f>'90034_2025'!M17</f>
        <v>(11) 98167-5341</v>
      </c>
      <c r="O541" s="35" t="str">
        <f>'90034_2025'!N17</f>
        <v>governo@almeidaesilva.com.br</v>
      </c>
      <c r="P541" s="35" t="str">
        <f>'90186_2024'!O202</f>
        <v/>
      </c>
      <c r="Q541" s="63" t="str">
        <f>'90186_2024'!P202</f>
        <v/>
      </c>
      <c r="R541" s="33" t="s">
        <v>1002</v>
      </c>
    </row>
    <row r="542" hidden="1">
      <c r="A542" s="458" t="s">
        <v>1001</v>
      </c>
      <c r="B542" s="52">
        <f>'90034_2025'!A18</f>
        <v>3</v>
      </c>
      <c r="C542" s="52" t="str">
        <f>'90034_2025'!B18</f>
        <v>P12-02A-DTS</v>
      </c>
      <c r="D542" s="52" t="str">
        <f>'90034_2025'!C18</f>
        <v>CARRO DE OPERAÇÕES</v>
      </c>
      <c r="E542" s="52">
        <f>'90034_2025'!D18</f>
        <v>2</v>
      </c>
      <c r="F542" s="323">
        <f>'90034_2025'!E18</f>
        <v>1</v>
      </c>
      <c r="G542" s="67">
        <f>'90034_2025'!F18</f>
        <v>1</v>
      </c>
      <c r="H542" s="46">
        <f>'90034_2025'!G18</f>
        <v>241590</v>
      </c>
      <c r="I542" s="46">
        <f>'90034_2025'!H18</f>
        <v>483180</v>
      </c>
      <c r="J542" s="52" t="str">
        <f>'90034_2025'!I18</f>
        <v>GAP-BE</v>
      </c>
      <c r="K542" s="52" t="str">
        <f>'90034_2025'!J18</f>
        <v>MITSUBISHI </v>
      </c>
      <c r="L542" s="52" t="str">
        <f>'90034_2025'!K18</f>
        <v>54.305.743/0011-70
</v>
      </c>
      <c r="M542" s="52" t="str">
        <f>'90034_2025'!L18</f>
        <v>HPE AUTOMOTORES DO BRASIL</v>
      </c>
      <c r="N542" s="52" t="str">
        <f>'90034_2025'!M18</f>
        <v>(11) 98167-5341</v>
      </c>
      <c r="O542" s="52" t="str">
        <f>'90034_2025'!N18</f>
        <v>governo@almeidaesilva.com.br</v>
      </c>
      <c r="P542" s="52"/>
      <c r="Q542" s="70"/>
      <c r="R542" s="49" t="s">
        <v>1002</v>
      </c>
    </row>
    <row r="543" hidden="1">
      <c r="A543" s="326" t="s">
        <v>1001</v>
      </c>
      <c r="B543" s="35">
        <f>'90034_2025'!A19</f>
        <v>3</v>
      </c>
      <c r="C543" s="35" t="str">
        <f>'90034_2025'!B19</f>
        <v>P12-02A-DTS</v>
      </c>
      <c r="D543" s="35" t="str">
        <f>'90034_2025'!C19</f>
        <v>CARRO DE OPERAÇÕES</v>
      </c>
      <c r="E543" s="35">
        <f>'90034_2025'!D19</f>
        <v>1</v>
      </c>
      <c r="F543" s="35">
        <f>'90034_2025'!E19</f>
        <v>0</v>
      </c>
      <c r="G543" s="56">
        <f>'90034_2025'!F19</f>
        <v>1</v>
      </c>
      <c r="H543" s="28">
        <f>'90034_2025'!G19</f>
        <v>241590</v>
      </c>
      <c r="I543" s="28">
        <f>'90034_2025'!H19</f>
        <v>241590</v>
      </c>
      <c r="J543" s="35" t="str">
        <f>'90034_2025'!I19</f>
        <v>GAP-RF</v>
      </c>
      <c r="K543" s="35" t="str">
        <f>'90034_2025'!J19</f>
        <v>MITSUBISHI </v>
      </c>
      <c r="L543" s="35" t="str">
        <f>'90034_2025'!K19</f>
        <v>54.305.743/0011-70
</v>
      </c>
      <c r="M543" s="35" t="str">
        <f>'90034_2025'!L19</f>
        <v>HPE AUTOMOTORES DO BRASIL</v>
      </c>
      <c r="N543" s="35" t="str">
        <f>'90034_2025'!M19</f>
        <v>(11) 98167-5341</v>
      </c>
      <c r="O543" s="35" t="str">
        <f>'90034_2025'!N19</f>
        <v>governo@almeidaesilva.com.br</v>
      </c>
      <c r="P543" s="35" t="str">
        <f>'90186_2024'!O204</f>
        <v/>
      </c>
      <c r="Q543" s="63" t="str">
        <f>'90186_2024'!P204</f>
        <v/>
      </c>
      <c r="R543" s="33" t="s">
        <v>1002</v>
      </c>
    </row>
    <row r="544" hidden="1">
      <c r="A544" s="458" t="s">
        <v>1001</v>
      </c>
      <c r="B544" s="52">
        <f>'90034_2025'!A20</f>
        <v>3</v>
      </c>
      <c r="C544" s="52" t="str">
        <f>'90034_2025'!B20</f>
        <v>P12-02A-DTS</v>
      </c>
      <c r="D544" s="52" t="str">
        <f>'90034_2025'!C20</f>
        <v>CARRO DE OPERAÇÕES</v>
      </c>
      <c r="E544" s="52">
        <f>'90034_2025'!D20</f>
        <v>1</v>
      </c>
      <c r="F544" s="52">
        <f>'90034_2025'!E20</f>
        <v>0</v>
      </c>
      <c r="G544" s="67">
        <f>'90034_2025'!F20</f>
        <v>1</v>
      </c>
      <c r="H544" s="46">
        <f>'90034_2025'!G20</f>
        <v>241590</v>
      </c>
      <c r="I544" s="46">
        <f>'90034_2025'!H20</f>
        <v>241590</v>
      </c>
      <c r="J544" s="52" t="str">
        <f>'90034_2025'!I20</f>
        <v>BANT</v>
      </c>
      <c r="K544" s="52" t="str">
        <f>'90034_2025'!J20</f>
        <v>MITSUBISHI </v>
      </c>
      <c r="L544" s="52" t="str">
        <f>'90034_2025'!K20</f>
        <v>54.305.743/0011-70
</v>
      </c>
      <c r="M544" s="52" t="str">
        <f>'90034_2025'!L20</f>
        <v>HPE AUTOMOTORES DO BRASIL</v>
      </c>
      <c r="N544" s="52" t="str">
        <f>'90034_2025'!M20</f>
        <v>(11) 98167-5341</v>
      </c>
      <c r="O544" s="52" t="str">
        <f>'90034_2025'!N20</f>
        <v>governo@almeidaesilva.com.br</v>
      </c>
      <c r="P544" s="52"/>
      <c r="Q544" s="70"/>
      <c r="R544" s="49" t="s">
        <v>1002</v>
      </c>
    </row>
    <row r="545" hidden="1">
      <c r="A545" s="326" t="s">
        <v>1001</v>
      </c>
      <c r="B545" s="35">
        <f>'90034_2025'!A21</f>
        <v>3</v>
      </c>
      <c r="C545" s="35" t="str">
        <f>'90034_2025'!B21</f>
        <v>P12-02A-DTS</v>
      </c>
      <c r="D545" s="35" t="str">
        <f>'90034_2025'!C21</f>
        <v>CARRO DE OPERAÇÕES</v>
      </c>
      <c r="E545" s="35">
        <f>'90034_2025'!D21</f>
        <v>1</v>
      </c>
      <c r="F545" s="35">
        <f>'90034_2025'!E21</f>
        <v>0</v>
      </c>
      <c r="G545" s="56">
        <f>'90034_2025'!F21</f>
        <v>1</v>
      </c>
      <c r="H545" s="28">
        <f>'90034_2025'!G21</f>
        <v>241590</v>
      </c>
      <c r="I545" s="28">
        <f>'90034_2025'!H21</f>
        <v>241590</v>
      </c>
      <c r="J545" s="35" t="str">
        <f>'90034_2025'!I21</f>
        <v>BASV</v>
      </c>
      <c r="K545" s="35" t="str">
        <f>'90034_2025'!J21</f>
        <v>MITSUBISHI </v>
      </c>
      <c r="L545" s="35" t="str">
        <f>'90034_2025'!K21</f>
        <v>54.305.743/0011-70
</v>
      </c>
      <c r="M545" s="35" t="str">
        <f>'90034_2025'!L21</f>
        <v>HPE AUTOMOTORES DO BRASIL</v>
      </c>
      <c r="N545" s="35" t="str">
        <f>'90034_2025'!M21</f>
        <v>(11) 98167-5341</v>
      </c>
      <c r="O545" s="35" t="str">
        <f>'90034_2025'!N21</f>
        <v>governo@almeidaesilva.com.br</v>
      </c>
      <c r="P545" s="35" t="str">
        <f>'90186_2024'!O206</f>
        <v/>
      </c>
      <c r="Q545" s="63" t="str">
        <f>'90186_2024'!P206</f>
        <v/>
      </c>
      <c r="R545" s="33" t="s">
        <v>1002</v>
      </c>
    </row>
    <row r="546" hidden="1">
      <c r="A546" s="458" t="s">
        <v>1001</v>
      </c>
      <c r="B546" s="52">
        <f>'90034_2025'!A22</f>
        <v>3</v>
      </c>
      <c r="C546" s="52" t="str">
        <f>'90034_2025'!B22</f>
        <v>P12-02A-DTS</v>
      </c>
      <c r="D546" s="52" t="str">
        <f>'90034_2025'!C22</f>
        <v>CARRO DE OPERAÇÕES</v>
      </c>
      <c r="E546" s="52">
        <f>'90034_2025'!D22</f>
        <v>1</v>
      </c>
      <c r="F546" s="323">
        <f>'90034_2025'!E22</f>
        <v>1</v>
      </c>
      <c r="G546" s="67">
        <f>'90034_2025'!F22</f>
        <v>0</v>
      </c>
      <c r="H546" s="46">
        <f>'90034_2025'!G22</f>
        <v>241590</v>
      </c>
      <c r="I546" s="46">
        <f>'90034_2025'!H22</f>
        <v>241590</v>
      </c>
      <c r="J546" s="52" t="str">
        <f>'90034_2025'!I22</f>
        <v>GAP-LS</v>
      </c>
      <c r="K546" s="52" t="str">
        <f>'90034_2025'!J22</f>
        <v>MITSUBISHI </v>
      </c>
      <c r="L546" s="52" t="str">
        <f>'90034_2025'!K22</f>
        <v>54.305.743/0011-70
</v>
      </c>
      <c r="M546" s="52" t="str">
        <f>'90034_2025'!L22</f>
        <v>HPE AUTOMOTORES DO BRASIL</v>
      </c>
      <c r="N546" s="52" t="str">
        <f>'90034_2025'!M22</f>
        <v>(11) 98167-5341</v>
      </c>
      <c r="O546" s="52" t="str">
        <f>'90034_2025'!N22</f>
        <v>governo@almeidaesilva.com.br</v>
      </c>
      <c r="P546" s="52"/>
      <c r="Q546" s="70"/>
      <c r="R546" s="49" t="s">
        <v>1002</v>
      </c>
    </row>
    <row r="547" hidden="1">
      <c r="A547" s="326" t="s">
        <v>1001</v>
      </c>
      <c r="B547" s="35">
        <f>'90034_2025'!A23</f>
        <v>3</v>
      </c>
      <c r="C547" s="35" t="str">
        <f>'90034_2025'!B23</f>
        <v>P12-02A-DTS</v>
      </c>
      <c r="D547" s="35" t="str">
        <f>'90034_2025'!C23</f>
        <v>CARRO DE OPERAÇÕES</v>
      </c>
      <c r="E547" s="35">
        <f>'90034_2025'!D23</f>
        <v>2</v>
      </c>
      <c r="F547" s="35">
        <f>'90034_2025'!E23</f>
        <v>0</v>
      </c>
      <c r="G547" s="56">
        <f>'90034_2025'!F23</f>
        <v>2</v>
      </c>
      <c r="H547" s="28">
        <f>'90034_2025'!G23</f>
        <v>241590</v>
      </c>
      <c r="I547" s="28">
        <f>'90034_2025'!H23</f>
        <v>483180</v>
      </c>
      <c r="J547" s="35" t="str">
        <f>'90034_2025'!I23</f>
        <v>GAP-SJ</v>
      </c>
      <c r="K547" s="35" t="str">
        <f>'90034_2025'!J23</f>
        <v>MITSUBISHI </v>
      </c>
      <c r="L547" s="35" t="str">
        <f>'90034_2025'!K23</f>
        <v>54.305.743/0011-70
</v>
      </c>
      <c r="M547" s="35" t="str">
        <f>'90034_2025'!L23</f>
        <v>HPE AUTOMOTORES DO BRASIL</v>
      </c>
      <c r="N547" s="35" t="str">
        <f>'90034_2025'!M23</f>
        <v>(11) 98167-5341</v>
      </c>
      <c r="O547" s="35" t="str">
        <f>'90034_2025'!N23</f>
        <v>governo@almeidaesilva.com.br</v>
      </c>
      <c r="P547" s="35" t="str">
        <f>'90186_2024'!O208</f>
        <v/>
      </c>
      <c r="Q547" s="63" t="str">
        <f>'90186_2024'!P208</f>
        <v/>
      </c>
      <c r="R547" s="33" t="s">
        <v>1002</v>
      </c>
    </row>
    <row r="548" hidden="1">
      <c r="A548" s="458" t="s">
        <v>1001</v>
      </c>
      <c r="B548" s="52" t="str">
        <f t="shared" ref="B548:O548" si="4">#REF!</f>
        <v>#REF!</v>
      </c>
      <c r="C548" s="52" t="str">
        <f t="shared" si="4"/>
        <v>#REF!</v>
      </c>
      <c r="D548" s="52" t="str">
        <f t="shared" si="4"/>
        <v>#REF!</v>
      </c>
      <c r="E548" s="52" t="str">
        <f t="shared" si="4"/>
        <v>#REF!</v>
      </c>
      <c r="F548" s="52" t="str">
        <f t="shared" si="4"/>
        <v>#REF!</v>
      </c>
      <c r="G548" s="67" t="str">
        <f t="shared" si="4"/>
        <v>#REF!</v>
      </c>
      <c r="H548" s="46" t="str">
        <f t="shared" si="4"/>
        <v>#REF!</v>
      </c>
      <c r="I548" s="46" t="str">
        <f t="shared" si="4"/>
        <v>#REF!</v>
      </c>
      <c r="J548" s="52" t="str">
        <f t="shared" si="4"/>
        <v>#REF!</v>
      </c>
      <c r="K548" s="52" t="str">
        <f t="shared" si="4"/>
        <v>#REF!</v>
      </c>
      <c r="L548" s="52" t="str">
        <f t="shared" si="4"/>
        <v>#REF!</v>
      </c>
      <c r="M548" s="52" t="str">
        <f t="shared" si="4"/>
        <v>#REF!</v>
      </c>
      <c r="N548" s="52" t="str">
        <f t="shared" si="4"/>
        <v>#REF!</v>
      </c>
      <c r="O548" s="52" t="str">
        <f t="shared" si="4"/>
        <v>#REF!</v>
      </c>
      <c r="P548" s="52"/>
      <c r="Q548" s="70"/>
      <c r="R548" s="49" t="s">
        <v>1002</v>
      </c>
    </row>
    <row r="549" hidden="1">
      <c r="A549" s="326" t="s">
        <v>1001</v>
      </c>
      <c r="B549" s="35">
        <f>'90034_2025'!A25</f>
        <v>3</v>
      </c>
      <c r="C549" s="35" t="str">
        <f>'90034_2025'!B25</f>
        <v>P12-02A-DTS</v>
      </c>
      <c r="D549" s="35" t="str">
        <f>'90034_2025'!C25</f>
        <v>CARRO DE OPERAÇÕES</v>
      </c>
      <c r="E549" s="35">
        <f>'90034_2025'!D25</f>
        <v>1</v>
      </c>
      <c r="F549" s="35">
        <f>'90034_2025'!E25</f>
        <v>0</v>
      </c>
      <c r="G549" s="56">
        <f>'90034_2025'!F24</f>
        <v>0</v>
      </c>
      <c r="H549" s="28">
        <f>'90034_2025'!G26</f>
        <v>241590</v>
      </c>
      <c r="I549" s="28">
        <f>'90034_2025'!H25</f>
        <v>241590</v>
      </c>
      <c r="J549" s="35" t="str">
        <f>'90034_2025'!I25</f>
        <v>BACG</v>
      </c>
      <c r="K549" s="35" t="str">
        <f>'90034_2025'!J24</f>
        <v>MITSUBISHI </v>
      </c>
      <c r="L549" s="35" t="str">
        <f>'90034_2025'!K25</f>
        <v>54.305.743/0011-70
</v>
      </c>
      <c r="M549" s="35" t="str">
        <f>'90034_2025'!L25</f>
        <v>HPE AUTOMOTORES DO BRASIL</v>
      </c>
      <c r="N549" s="33" t="str">
        <f t="shared" ref="N549:N554" si="5">N548</f>
        <v>#REF!</v>
      </c>
      <c r="O549" s="35" t="str">
        <f>'90034_2025'!N25</f>
        <v>governo@almeidaesilva.com.br</v>
      </c>
      <c r="P549" s="35"/>
      <c r="Q549" s="63"/>
      <c r="R549" s="33"/>
    </row>
    <row r="550" hidden="1">
      <c r="A550" s="458" t="s">
        <v>1001</v>
      </c>
      <c r="B550" s="52">
        <f>'90034_2025'!A26</f>
        <v>3</v>
      </c>
      <c r="C550" s="52" t="str">
        <f>'90034_2025'!B26</f>
        <v>P12-02A-DTS</v>
      </c>
      <c r="D550" s="52" t="str">
        <f>'90034_2025'!C26</f>
        <v>CARRO DE OPERAÇÕES</v>
      </c>
      <c r="E550" s="52">
        <f>'90034_2025'!D26</f>
        <v>1</v>
      </c>
      <c r="F550" s="323">
        <f>'90034_2025'!E26</f>
        <v>1</v>
      </c>
      <c r="G550" s="67">
        <f>'90034_2025'!F25</f>
        <v>1</v>
      </c>
      <c r="H550" s="46">
        <f>'90034_2025'!G27</f>
        <v>241590</v>
      </c>
      <c r="I550" s="46">
        <f>'90034_2025'!H26</f>
        <v>241590</v>
      </c>
      <c r="J550" s="52" t="str">
        <f>'90034_2025'!I26</f>
        <v>BABV</v>
      </c>
      <c r="K550" s="52" t="str">
        <f>'90034_2025'!J25</f>
        <v>MITSUBISHI </v>
      </c>
      <c r="L550" s="52" t="str">
        <f>'90034_2025'!K26</f>
        <v>54.305.743/0011-70
</v>
      </c>
      <c r="M550" s="52" t="str">
        <f>'90034_2025'!L26</f>
        <v>HPE AUTOMOTORES DO BRASIL</v>
      </c>
      <c r="N550" s="49" t="str">
        <f t="shared" si="5"/>
        <v>#REF!</v>
      </c>
      <c r="O550" s="52" t="str">
        <f>'90034_2025'!N26</f>
        <v>governo@almeidaesilva.com.br</v>
      </c>
      <c r="P550" s="52"/>
      <c r="Q550" s="70"/>
      <c r="R550" s="49"/>
    </row>
    <row r="551" hidden="1">
      <c r="A551" s="326" t="s">
        <v>1001</v>
      </c>
      <c r="B551" s="35">
        <f>'90034_2025'!A27</f>
        <v>3</v>
      </c>
      <c r="C551" s="35" t="str">
        <f>'90034_2025'!B27</f>
        <v>P12-02A-DTS</v>
      </c>
      <c r="D551" s="35" t="str">
        <f>'90034_2025'!C27</f>
        <v>CARRO DE OPERAÇÕES</v>
      </c>
      <c r="E551" s="35">
        <f>'90034_2025'!D27</f>
        <v>1</v>
      </c>
      <c r="F551" s="35">
        <f>'90034_2025'!E27</f>
        <v>0</v>
      </c>
      <c r="G551" s="56">
        <f>'90034_2025'!F27</f>
        <v>1</v>
      </c>
      <c r="H551" s="28">
        <f>'90034_2025'!G28</f>
        <v>241590</v>
      </c>
      <c r="I551" s="28">
        <f>'90034_2025'!H27</f>
        <v>241590</v>
      </c>
      <c r="J551" s="35" t="str">
        <f>'90034_2025'!I27</f>
        <v>BAFL</v>
      </c>
      <c r="K551" s="35" t="str">
        <f>'90034_2025'!J26</f>
        <v>MITSUBISHI </v>
      </c>
      <c r="L551" s="35" t="str">
        <f>'90034_2025'!K27</f>
        <v>54.305.743/0011-70
</v>
      </c>
      <c r="M551" s="35" t="str">
        <f>'90034_2025'!L27</f>
        <v>HPE AUTOMOTORES DO BRASIL</v>
      </c>
      <c r="N551" s="33" t="str">
        <f t="shared" si="5"/>
        <v>#REF!</v>
      </c>
      <c r="O551" s="35" t="str">
        <f>'90034_2025'!N27</f>
        <v>governo@almeidaesilva.com.br</v>
      </c>
      <c r="P551" s="35"/>
      <c r="Q551" s="63"/>
      <c r="R551" s="33"/>
    </row>
    <row r="552" hidden="1">
      <c r="A552" s="458" t="s">
        <v>1001</v>
      </c>
      <c r="B552" s="52">
        <f>'90034_2025'!A28</f>
        <v>3</v>
      </c>
      <c r="C552" s="52" t="str">
        <f>'90034_2025'!B28</f>
        <v>P12-02A-DTS</v>
      </c>
      <c r="D552" s="52" t="str">
        <f>'90034_2025'!C28</f>
        <v>CARRO DE OPERAÇÕES</v>
      </c>
      <c r="E552" s="52">
        <f>'90034_2025'!D28</f>
        <v>1</v>
      </c>
      <c r="F552" s="52">
        <f>'90034_2025'!E28</f>
        <v>1</v>
      </c>
      <c r="G552" s="67">
        <f>'90034_2025'!F27</f>
        <v>1</v>
      </c>
      <c r="H552" s="46">
        <f>'90034_2025'!G29</f>
        <v>241590</v>
      </c>
      <c r="I552" s="46">
        <f>'90034_2025'!H28</f>
        <v>241590</v>
      </c>
      <c r="J552" s="52" t="str">
        <f>'90034_2025'!I28</f>
        <v>CINDACTA 4</v>
      </c>
      <c r="K552" s="52" t="str">
        <f>'90034_2025'!J27</f>
        <v>MITSUBISHI </v>
      </c>
      <c r="L552" s="52" t="str">
        <f>'90034_2025'!K28</f>
        <v>54.305.743/0011-70
</v>
      </c>
      <c r="M552" s="52" t="str">
        <f>'90034_2025'!L28</f>
        <v>HPE AUTOMOTORES DO BRASIL</v>
      </c>
      <c r="N552" s="49" t="str">
        <f t="shared" si="5"/>
        <v>#REF!</v>
      </c>
      <c r="O552" s="52" t="str">
        <f>'90034_2025'!N28</f>
        <v>governo@almeidaesilva.com.br</v>
      </c>
      <c r="P552" s="52"/>
      <c r="Q552" s="70"/>
      <c r="R552" s="49"/>
    </row>
    <row r="553" hidden="1">
      <c r="A553" s="326" t="s">
        <v>1001</v>
      </c>
      <c r="B553" s="35">
        <f>'90034_2025'!A29</f>
        <v>3</v>
      </c>
      <c r="C553" s="35" t="str">
        <f>'90034_2025'!B29</f>
        <v>P12-02A-DTS</v>
      </c>
      <c r="D553" s="35" t="str">
        <f>'90034_2025'!C29</f>
        <v>CARRO DE OPERAÇÕES</v>
      </c>
      <c r="E553" s="35">
        <f>'90034_2025'!D29</f>
        <v>1</v>
      </c>
      <c r="F553" s="35">
        <f>'90034_2025'!E29</f>
        <v>0</v>
      </c>
      <c r="G553" s="56">
        <f>'90034_2025'!F28</f>
        <v>0</v>
      </c>
      <c r="H553" s="28" t="str">
        <f>#REF!</f>
        <v>#REF!</v>
      </c>
      <c r="I553" s="28">
        <f>'90034_2025'!H29</f>
        <v>241590</v>
      </c>
      <c r="J553" s="35" t="str">
        <f>'90034_2025'!I29</f>
        <v>GAP-GL</v>
      </c>
      <c r="K553" s="35" t="str">
        <f>'90034_2025'!J28</f>
        <v>MITSUBISHI </v>
      </c>
      <c r="L553" s="35" t="str">
        <f>'90034_2025'!K29</f>
        <v>54.305.743/0011-70
</v>
      </c>
      <c r="M553" s="35" t="str">
        <f>'90034_2025'!L29</f>
        <v>HPE AUTOMOTORES DO BRASIL</v>
      </c>
      <c r="N553" s="33" t="str">
        <f t="shared" si="5"/>
        <v>#REF!</v>
      </c>
      <c r="O553" s="35" t="str">
        <f>'90034_2025'!N29</f>
        <v>governo@almeidaesilva.com.br</v>
      </c>
      <c r="P553" s="35"/>
      <c r="Q553" s="63"/>
      <c r="R553" s="33"/>
    </row>
    <row r="554" hidden="1">
      <c r="A554" s="458" t="s">
        <v>1001</v>
      </c>
      <c r="B554" s="52" t="str">
        <f t="shared" ref="B554:F554" si="6">#REF!</f>
        <v>#REF!</v>
      </c>
      <c r="C554" s="52" t="str">
        <f t="shared" si="6"/>
        <v>#REF!</v>
      </c>
      <c r="D554" s="52" t="str">
        <f t="shared" si="6"/>
        <v>#REF!</v>
      </c>
      <c r="E554" s="52" t="str">
        <f t="shared" si="6"/>
        <v>#REF!</v>
      </c>
      <c r="F554" s="52" t="str">
        <f t="shared" si="6"/>
        <v>#REF!</v>
      </c>
      <c r="G554" s="67">
        <f>'90034_2025'!F29</f>
        <v>1</v>
      </c>
      <c r="H554" s="46" t="str">
        <f>'90034_2025'!G30</f>
        <v/>
      </c>
      <c r="I554" s="46" t="str">
        <f t="shared" ref="I554:J554" si="7">#REF!</f>
        <v>#REF!</v>
      </c>
      <c r="J554" s="52" t="str">
        <f t="shared" si="7"/>
        <v>#REF!</v>
      </c>
      <c r="K554" s="52" t="str">
        <f>'90034_2025'!J29</f>
        <v>MITSUBISHI </v>
      </c>
      <c r="L554" s="52" t="str">
        <f t="shared" ref="L554:M554" si="8">#REF!</f>
        <v>#REF!</v>
      </c>
      <c r="M554" s="52" t="str">
        <f t="shared" si="8"/>
        <v>#REF!</v>
      </c>
      <c r="N554" s="49" t="str">
        <f t="shared" si="5"/>
        <v>#REF!</v>
      </c>
      <c r="O554" s="52" t="str">
        <f>#REF!</f>
        <v>#REF!</v>
      </c>
      <c r="P554" s="52"/>
      <c r="Q554" s="70"/>
      <c r="R554" s="49"/>
    </row>
    <row r="555" hidden="1">
      <c r="A555" s="326" t="s">
        <v>1001</v>
      </c>
      <c r="B555" s="35">
        <f>'90034_2025'!A30</f>
        <v>4</v>
      </c>
      <c r="C555" s="35" t="str">
        <f>'90034_2025'!B30</f>
        <v>C4-01A-DTS</v>
      </c>
      <c r="D555" s="35" t="str">
        <f>'90034_2025'!C30</f>
        <v>FURGÃO LEVE</v>
      </c>
      <c r="E555" s="35">
        <f>'90034_2025'!D30</f>
        <v>4</v>
      </c>
      <c r="F555" s="35">
        <f>'90034_2025'!E30</f>
        <v>0</v>
      </c>
      <c r="G555" s="450" t="s">
        <v>499</v>
      </c>
      <c r="H555" s="450" t="s">
        <v>499</v>
      </c>
      <c r="I555" s="28">
        <f>'90034_2025'!H30</f>
        <v>0</v>
      </c>
      <c r="J555" s="35" t="str">
        <f>'90034_2025'!I30</f>
        <v>GAP-AF</v>
      </c>
      <c r="K555" s="450" t="s">
        <v>499</v>
      </c>
      <c r="L555" s="450" t="s">
        <v>499</v>
      </c>
      <c r="M555" s="450" t="s">
        <v>499</v>
      </c>
      <c r="N555" s="450" t="s">
        <v>499</v>
      </c>
      <c r="O555" s="450" t="s">
        <v>499</v>
      </c>
      <c r="P555" s="450" t="s">
        <v>499</v>
      </c>
      <c r="Q555" s="450" t="s">
        <v>499</v>
      </c>
      <c r="R555" s="450" t="s">
        <v>499</v>
      </c>
    </row>
    <row r="556" hidden="1">
      <c r="A556" s="458" t="s">
        <v>1001</v>
      </c>
      <c r="B556" s="52">
        <f>'90034_2025'!A31</f>
        <v>4</v>
      </c>
      <c r="C556" s="52" t="str">
        <f>'90034_2025'!B31</f>
        <v>C4-01A-DTS</v>
      </c>
      <c r="D556" s="52" t="str">
        <f>'90034_2025'!C31</f>
        <v>FURGÃO LEVE</v>
      </c>
      <c r="E556" s="52">
        <f>'90034_2025'!D31</f>
        <v>2</v>
      </c>
      <c r="F556" s="52">
        <f>'90034_2025'!E31</f>
        <v>0</v>
      </c>
      <c r="G556" s="449" t="s">
        <v>499</v>
      </c>
      <c r="H556" s="449" t="s">
        <v>499</v>
      </c>
      <c r="I556" s="46">
        <f>'90034_2025'!H31</f>
        <v>0</v>
      </c>
      <c r="J556" s="52" t="str">
        <f>'90034_2025'!I31</f>
        <v>BAPV</v>
      </c>
      <c r="K556" s="449" t="s">
        <v>499</v>
      </c>
      <c r="L556" s="449" t="s">
        <v>499</v>
      </c>
      <c r="M556" s="449" t="s">
        <v>499</v>
      </c>
      <c r="N556" s="449" t="s">
        <v>499</v>
      </c>
      <c r="O556" s="449" t="s">
        <v>499</v>
      </c>
      <c r="P556" s="449" t="s">
        <v>499</v>
      </c>
      <c r="Q556" s="449" t="s">
        <v>499</v>
      </c>
      <c r="R556" s="449" t="s">
        <v>499</v>
      </c>
    </row>
    <row r="557" hidden="1">
      <c r="A557" s="326" t="s">
        <v>1001</v>
      </c>
      <c r="B557" s="35">
        <f>'90034_2025'!A32</f>
        <v>4</v>
      </c>
      <c r="C557" s="35" t="str">
        <f>'90034_2025'!B32</f>
        <v>C4-01A-DTS</v>
      </c>
      <c r="D557" s="35" t="str">
        <f>'90034_2025'!C32</f>
        <v>FURGÃO LEVE</v>
      </c>
      <c r="E557" s="35">
        <f>'90034_2025'!D32</f>
        <v>2</v>
      </c>
      <c r="F557" s="35">
        <f>'90034_2025'!E32</f>
        <v>0</v>
      </c>
      <c r="G557" s="450" t="s">
        <v>499</v>
      </c>
      <c r="H557" s="450" t="s">
        <v>499</v>
      </c>
      <c r="I557" s="28">
        <f>'90034_2025'!H32</f>
        <v>0</v>
      </c>
      <c r="J557" s="35" t="str">
        <f>'90034_2025'!I32</f>
        <v>GAP-RF</v>
      </c>
      <c r="K557" s="450" t="s">
        <v>499</v>
      </c>
      <c r="L557" s="450" t="s">
        <v>499</v>
      </c>
      <c r="M557" s="450" t="s">
        <v>499</v>
      </c>
      <c r="N557" s="450" t="s">
        <v>499</v>
      </c>
      <c r="O557" s="450" t="s">
        <v>499</v>
      </c>
      <c r="P557" s="450" t="s">
        <v>499</v>
      </c>
      <c r="Q557" s="450" t="s">
        <v>499</v>
      </c>
      <c r="R557" s="450" t="s">
        <v>499</v>
      </c>
    </row>
    <row r="558" hidden="1">
      <c r="A558" s="458" t="s">
        <v>1001</v>
      </c>
      <c r="B558" s="52">
        <f>'90034_2025'!A33</f>
        <v>4</v>
      </c>
      <c r="C558" s="52" t="str">
        <f>'90034_2025'!B33</f>
        <v>C4-01A-DTS</v>
      </c>
      <c r="D558" s="52" t="str">
        <f>'90034_2025'!C33</f>
        <v>FURGÃO LEVE</v>
      </c>
      <c r="E558" s="52">
        <f>'90034_2025'!D33</f>
        <v>4</v>
      </c>
      <c r="F558" s="52">
        <f>'90034_2025'!E33</f>
        <v>0</v>
      </c>
      <c r="G558" s="449" t="s">
        <v>499</v>
      </c>
      <c r="H558" s="449" t="s">
        <v>499</v>
      </c>
      <c r="I558" s="46">
        <f>'90034_2025'!H33</f>
        <v>0</v>
      </c>
      <c r="J558" s="52" t="str">
        <f>'90034_2025'!I33</f>
        <v>GAP-SJ</v>
      </c>
      <c r="K558" s="449" t="s">
        <v>499</v>
      </c>
      <c r="L558" s="449" t="s">
        <v>499</v>
      </c>
      <c r="M558" s="449" t="s">
        <v>499</v>
      </c>
      <c r="N558" s="449" t="s">
        <v>499</v>
      </c>
      <c r="O558" s="449" t="s">
        <v>499</v>
      </c>
      <c r="P558" s="449" t="s">
        <v>499</v>
      </c>
      <c r="Q558" s="449" t="s">
        <v>499</v>
      </c>
      <c r="R558" s="449" t="s">
        <v>499</v>
      </c>
    </row>
    <row r="559" hidden="1">
      <c r="A559" s="326" t="s">
        <v>1003</v>
      </c>
      <c r="B559" s="35">
        <v>1.0</v>
      </c>
      <c r="C559" s="33" t="s">
        <v>40</v>
      </c>
      <c r="D559" s="33" t="s">
        <v>41</v>
      </c>
      <c r="E559" s="33">
        <v>1.0</v>
      </c>
      <c r="F559" s="33">
        <v>0.0</v>
      </c>
      <c r="G559" s="56">
        <f>'90146_2025'!F3</f>
        <v>0</v>
      </c>
      <c r="H559" s="40">
        <f>'90146_2025'!H3</f>
        <v>343460</v>
      </c>
      <c r="I559" s="40">
        <f>'90146_2025'!I3</f>
        <v>343460</v>
      </c>
      <c r="J559" s="41" t="s">
        <v>58</v>
      </c>
      <c r="K559" s="35" t="str">
        <f>'90146_2025'!K3</f>
        <v>FOTON 916</v>
      </c>
      <c r="L559" s="459" t="str">
        <f>'90146_2025'!L2</f>
        <v/>
      </c>
      <c r="M559" s="459" t="str">
        <f>'90146_2025'!M3</f>
        <v>FORZA DISTRIBUIDORA LTDA</v>
      </c>
      <c r="N559" s="459" t="str">
        <f>'90146_2025'!N3</f>
        <v/>
      </c>
      <c r="O559" s="459" t="str">
        <f>'90146_2025'!O3</f>
        <v/>
      </c>
      <c r="P559" s="459" t="str">
        <f>'90146_2025'!P3</f>
        <v/>
      </c>
      <c r="Q559" s="63">
        <f>'90146_2025'!Q3</f>
        <v>46351</v>
      </c>
      <c r="R559" s="460"/>
    </row>
    <row r="560" hidden="1">
      <c r="A560" s="461" t="s">
        <v>1003</v>
      </c>
      <c r="B560" s="52">
        <v>1.0</v>
      </c>
      <c r="C560" s="49" t="s">
        <v>40</v>
      </c>
      <c r="D560" s="49" t="s">
        <v>41</v>
      </c>
      <c r="E560" s="49">
        <v>1.0</v>
      </c>
      <c r="F560" s="49">
        <v>0.0</v>
      </c>
      <c r="G560" s="67">
        <f>'90146_2025'!F4</f>
        <v>0</v>
      </c>
      <c r="H560" s="54">
        <f>'90146_2025'!H4</f>
        <v>343460</v>
      </c>
      <c r="I560" s="54">
        <f>'90146_2025'!I4</f>
        <v>343460</v>
      </c>
      <c r="J560" s="55" t="s">
        <v>85</v>
      </c>
      <c r="K560" s="52" t="str">
        <f>'90146_2025'!K4</f>
        <v>FOTON 917</v>
      </c>
      <c r="L560" s="462" t="str">
        <f>'90146_2025'!L4</f>
        <v>46.135.499/0002-26</v>
      </c>
      <c r="M560" s="462" t="str">
        <f>'90146_2025'!M4</f>
        <v>FORZA DISTRIBUIDORA LTDA</v>
      </c>
      <c r="N560" s="462" t="str">
        <f>'90146_2025'!N4</f>
        <v/>
      </c>
      <c r="O560" s="462" t="str">
        <f>'90146_2025'!O4</f>
        <v/>
      </c>
      <c r="P560" s="462" t="str">
        <f>'90146_2025'!P4</f>
        <v/>
      </c>
      <c r="Q560" s="70">
        <f>'90146_2025'!Q4</f>
        <v>46351</v>
      </c>
      <c r="R560" s="463"/>
    </row>
    <row r="561" hidden="1">
      <c r="A561" s="326" t="s">
        <v>1003</v>
      </c>
      <c r="B561" s="35">
        <v>1.0</v>
      </c>
      <c r="C561" s="33" t="s">
        <v>40</v>
      </c>
      <c r="D561" s="33" t="s">
        <v>41</v>
      </c>
      <c r="E561" s="33">
        <v>1.0</v>
      </c>
      <c r="F561" s="43">
        <v>0.0</v>
      </c>
      <c r="G561" s="56">
        <f>'90146_2025'!F5</f>
        <v>0</v>
      </c>
      <c r="H561" s="40">
        <f>'90146_2025'!H5</f>
        <v>343460</v>
      </c>
      <c r="I561" s="40">
        <f>'90146_2025'!I5</f>
        <v>343460</v>
      </c>
      <c r="J561" s="64" t="s">
        <v>103</v>
      </c>
      <c r="K561" s="35" t="str">
        <f>'90146_2025'!K5</f>
        <v>FOTON 918</v>
      </c>
      <c r="L561" s="459" t="str">
        <f>'90146_2025'!L5</f>
        <v>46.135.499/0002-26</v>
      </c>
      <c r="M561" s="459" t="str">
        <f>'90146_2025'!M5</f>
        <v>FORZA DISTRIBUIDORA LTDA</v>
      </c>
      <c r="N561" s="459" t="str">
        <f>'90146_2025'!N5</f>
        <v/>
      </c>
      <c r="O561" s="459" t="str">
        <f>'90146_2025'!O5</f>
        <v/>
      </c>
      <c r="P561" s="459" t="str">
        <f>'90146_2025'!P5</f>
        <v/>
      </c>
      <c r="Q561" s="63">
        <f>'90146_2025'!Q5</f>
        <v>46351</v>
      </c>
      <c r="R561" s="460"/>
    </row>
    <row r="562" hidden="1">
      <c r="A562" s="461" t="s">
        <v>1003</v>
      </c>
      <c r="B562" s="52">
        <v>1.0</v>
      </c>
      <c r="C562" s="49" t="s">
        <v>40</v>
      </c>
      <c r="D562" s="49" t="s">
        <v>41</v>
      </c>
      <c r="E562" s="49">
        <v>1.0</v>
      </c>
      <c r="F562" s="58">
        <v>0.0</v>
      </c>
      <c r="G562" s="67">
        <f>'90146_2025'!F6</f>
        <v>1</v>
      </c>
      <c r="H562" s="54">
        <f>'90146_2025'!H6</f>
        <v>343460</v>
      </c>
      <c r="I562" s="54">
        <f>'90146_2025'!I6</f>
        <v>343460</v>
      </c>
      <c r="J562" s="55" t="s">
        <v>117</v>
      </c>
      <c r="K562" s="52" t="str">
        <f>'90146_2025'!K6</f>
        <v>FOTON 919</v>
      </c>
      <c r="L562" s="462" t="str">
        <f>'90146_2025'!L6</f>
        <v>46.135.499/0002-26</v>
      </c>
      <c r="M562" s="462" t="str">
        <f>'90146_2025'!M6</f>
        <v>FORZA DISTRIBUIDORA LTDA</v>
      </c>
      <c r="N562" s="462" t="str">
        <f>'90146_2025'!N6</f>
        <v/>
      </c>
      <c r="O562" s="462" t="str">
        <f>'90146_2025'!O6</f>
        <v/>
      </c>
      <c r="P562" s="462" t="str">
        <f>'90146_2025'!P6</f>
        <v/>
      </c>
      <c r="Q562" s="70">
        <f>'90146_2025'!Q6</f>
        <v>46351</v>
      </c>
      <c r="R562" s="463"/>
    </row>
    <row r="563" hidden="1">
      <c r="A563" s="326" t="s">
        <v>1003</v>
      </c>
      <c r="B563" s="35">
        <v>1.0</v>
      </c>
      <c r="C563" s="33" t="s">
        <v>40</v>
      </c>
      <c r="D563" s="33" t="s">
        <v>41</v>
      </c>
      <c r="E563" s="33">
        <v>1.0</v>
      </c>
      <c r="F563" s="33">
        <v>0.0</v>
      </c>
      <c r="G563" s="56">
        <f>'90146_2025'!F7</f>
        <v>0</v>
      </c>
      <c r="H563" s="40">
        <f>'90146_2025'!H7</f>
        <v>343460</v>
      </c>
      <c r="I563" s="40">
        <f>'90146_2025'!I7</f>
        <v>343460</v>
      </c>
      <c r="J563" s="64" t="s">
        <v>142</v>
      </c>
      <c r="K563" s="35" t="str">
        <f>'90146_2025'!K7</f>
        <v>FOTON 920</v>
      </c>
      <c r="L563" s="459" t="str">
        <f>'90146_2025'!L7</f>
        <v>46.135.499/0002-26</v>
      </c>
      <c r="M563" s="459" t="str">
        <f>'90146_2025'!M7</f>
        <v>FORZA DISTRIBUIDORA LTDA</v>
      </c>
      <c r="N563" s="459" t="str">
        <f>'90146_2025'!N7</f>
        <v/>
      </c>
      <c r="O563" s="459" t="str">
        <f>'90146_2025'!O7</f>
        <v/>
      </c>
      <c r="P563" s="459" t="str">
        <f>'90146_2025'!P7</f>
        <v/>
      </c>
      <c r="Q563" s="63">
        <f>'90146_2025'!Q7</f>
        <v>46351</v>
      </c>
      <c r="R563" s="460"/>
    </row>
    <row r="564" hidden="1">
      <c r="A564" s="461" t="s">
        <v>1003</v>
      </c>
      <c r="B564" s="52">
        <v>1.0</v>
      </c>
      <c r="C564" s="49" t="s">
        <v>40</v>
      </c>
      <c r="D564" s="49" t="s">
        <v>41</v>
      </c>
      <c r="E564" s="49">
        <v>1.0</v>
      </c>
      <c r="F564" s="58">
        <v>0.0</v>
      </c>
      <c r="G564" s="67">
        <f>'90146_2025'!F8</f>
        <v>1</v>
      </c>
      <c r="H564" s="54">
        <f>'90146_2025'!H8</f>
        <v>343460</v>
      </c>
      <c r="I564" s="54">
        <f>'90146_2025'!I8</f>
        <v>343460</v>
      </c>
      <c r="J564" s="55" t="s">
        <v>154</v>
      </c>
      <c r="K564" s="52" t="str">
        <f>'90146_2025'!K8</f>
        <v>FOTON 921</v>
      </c>
      <c r="L564" s="462" t="str">
        <f>'90146_2025'!L8</f>
        <v>46.135.499/0002-26</v>
      </c>
      <c r="M564" s="462" t="str">
        <f>'90146_2025'!M8</f>
        <v>FORZA DISTRIBUIDORA LTDA</v>
      </c>
      <c r="N564" s="462" t="str">
        <f>'90146_2025'!N8</f>
        <v/>
      </c>
      <c r="O564" s="462" t="str">
        <f>'90146_2025'!O8</f>
        <v/>
      </c>
      <c r="P564" s="462" t="str">
        <f>'90146_2025'!P8</f>
        <v/>
      </c>
      <c r="Q564" s="70">
        <f>'90146_2025'!Q8</f>
        <v>46351</v>
      </c>
      <c r="R564" s="463"/>
    </row>
    <row r="565" hidden="1">
      <c r="A565" s="326" t="s">
        <v>1003</v>
      </c>
      <c r="B565" s="35">
        <v>1.0</v>
      </c>
      <c r="C565" s="33" t="s">
        <v>40</v>
      </c>
      <c r="D565" s="33" t="s">
        <v>41</v>
      </c>
      <c r="E565" s="33">
        <v>1.0</v>
      </c>
      <c r="F565" s="43">
        <v>0.0</v>
      </c>
      <c r="G565" s="56">
        <f>'90146_2025'!F9</f>
        <v>1</v>
      </c>
      <c r="H565" s="40">
        <f>'90146_2025'!H9</f>
        <v>343460</v>
      </c>
      <c r="I565" s="40">
        <f>'90146_2025'!I9</f>
        <v>343460</v>
      </c>
      <c r="J565" s="64" t="s">
        <v>160</v>
      </c>
      <c r="K565" s="35" t="str">
        <f>'90146_2025'!K9</f>
        <v>FOTON 922</v>
      </c>
      <c r="L565" s="459" t="str">
        <f>'90146_2025'!L9</f>
        <v>46.135.499/0002-26</v>
      </c>
      <c r="M565" s="459" t="str">
        <f>'90146_2025'!M9</f>
        <v>FORZA DISTRIBUIDORA LTDA</v>
      </c>
      <c r="N565" s="459" t="str">
        <f>'90146_2025'!N9</f>
        <v/>
      </c>
      <c r="O565" s="459" t="str">
        <f>'90146_2025'!O9</f>
        <v/>
      </c>
      <c r="P565" s="459" t="str">
        <f>'90146_2025'!P9</f>
        <v/>
      </c>
      <c r="Q565" s="63">
        <f>'90146_2025'!Q9</f>
        <v>46351</v>
      </c>
      <c r="R565" s="460"/>
    </row>
    <row r="566" hidden="1">
      <c r="A566" s="461" t="s">
        <v>1003</v>
      </c>
      <c r="B566" s="52">
        <v>1.0</v>
      </c>
      <c r="C566" s="49" t="s">
        <v>40</v>
      </c>
      <c r="D566" s="49" t="s">
        <v>41</v>
      </c>
      <c r="E566" s="49">
        <v>1.0</v>
      </c>
      <c r="F566" s="49">
        <v>0.0</v>
      </c>
      <c r="G566" s="67">
        <f>'90146_2025'!F10</f>
        <v>1</v>
      </c>
      <c r="H566" s="54">
        <f>'90146_2025'!H10</f>
        <v>343460</v>
      </c>
      <c r="I566" s="54">
        <f>'90146_2025'!I10</f>
        <v>343460</v>
      </c>
      <c r="J566" s="55" t="s">
        <v>178</v>
      </c>
      <c r="K566" s="52" t="str">
        <f>'90146_2025'!K10</f>
        <v>FOTON 923</v>
      </c>
      <c r="L566" s="462" t="str">
        <f>'90146_2025'!L10</f>
        <v>46.135.499/0002-26</v>
      </c>
      <c r="M566" s="462" t="str">
        <f>'90146_2025'!M10</f>
        <v>FORZA DISTRIBUIDORA LTDA</v>
      </c>
      <c r="N566" s="462" t="str">
        <f>'90146_2025'!N10</f>
        <v/>
      </c>
      <c r="O566" s="462" t="str">
        <f>'90146_2025'!O10</f>
        <v/>
      </c>
      <c r="P566" s="462" t="str">
        <f>'90146_2025'!P10</f>
        <v/>
      </c>
      <c r="Q566" s="70">
        <f>'90146_2025'!Q10</f>
        <v>46351</v>
      </c>
      <c r="R566" s="463"/>
    </row>
    <row r="567" hidden="1">
      <c r="A567" s="326" t="s">
        <v>1003</v>
      </c>
      <c r="B567" s="35">
        <v>1.0</v>
      </c>
      <c r="C567" s="33" t="s">
        <v>40</v>
      </c>
      <c r="D567" s="33" t="s">
        <v>41</v>
      </c>
      <c r="E567" s="33">
        <v>1.0</v>
      </c>
      <c r="F567" s="43">
        <v>0.0</v>
      </c>
      <c r="G567" s="56">
        <f>'90146_2025'!F11</f>
        <v>1</v>
      </c>
      <c r="H567" s="40">
        <f>'90146_2025'!H11</f>
        <v>343460</v>
      </c>
      <c r="I567" s="40">
        <f>'90146_2025'!I11</f>
        <v>343460</v>
      </c>
      <c r="J567" s="64" t="s">
        <v>189</v>
      </c>
      <c r="K567" s="35" t="str">
        <f>'90146_2025'!K11</f>
        <v>FOTON 924</v>
      </c>
      <c r="L567" s="459" t="str">
        <f>'90146_2025'!L11</f>
        <v>46.135.499/0002-26</v>
      </c>
      <c r="M567" s="459" t="str">
        <f>'90146_2025'!M11</f>
        <v>FORZA DISTRIBUIDORA LTDA</v>
      </c>
      <c r="N567" s="459" t="str">
        <f>'90146_2025'!N11</f>
        <v/>
      </c>
      <c r="O567" s="459" t="str">
        <f>'90146_2025'!O11</f>
        <v/>
      </c>
      <c r="P567" s="459" t="str">
        <f>'90146_2025'!P11</f>
        <v/>
      </c>
      <c r="Q567" s="63">
        <f>'90146_2025'!Q11</f>
        <v>46351</v>
      </c>
      <c r="R567" s="460"/>
    </row>
    <row r="568" hidden="1">
      <c r="A568" s="461" t="s">
        <v>1003</v>
      </c>
      <c r="B568" s="52">
        <v>1.0</v>
      </c>
      <c r="C568" s="49" t="s">
        <v>40</v>
      </c>
      <c r="D568" s="49" t="s">
        <v>41</v>
      </c>
      <c r="E568" s="49">
        <v>1.0</v>
      </c>
      <c r="F568" s="58">
        <v>0.0</v>
      </c>
      <c r="G568" s="67">
        <f>'90146_2025'!F12</f>
        <v>1</v>
      </c>
      <c r="H568" s="54">
        <f>'90146_2025'!H12</f>
        <v>343460</v>
      </c>
      <c r="I568" s="54">
        <f>'90146_2025'!I12</f>
        <v>343460</v>
      </c>
      <c r="J568" s="55" t="s">
        <v>192</v>
      </c>
      <c r="K568" s="52" t="str">
        <f>'90146_2025'!K12</f>
        <v>FOTON 925</v>
      </c>
      <c r="L568" s="462" t="str">
        <f>'90146_2025'!L12</f>
        <v>46.135.499/0002-26</v>
      </c>
      <c r="M568" s="462" t="str">
        <f>'90146_2025'!M12</f>
        <v>FORZA DISTRIBUIDORA LTDA</v>
      </c>
      <c r="N568" s="462" t="str">
        <f>'90146_2025'!N12</f>
        <v/>
      </c>
      <c r="O568" s="462" t="str">
        <f>'90146_2025'!O12</f>
        <v/>
      </c>
      <c r="P568" s="462" t="str">
        <f>'90146_2025'!P12</f>
        <v/>
      </c>
      <c r="Q568" s="70">
        <f>'90146_2025'!Q12</f>
        <v>46351</v>
      </c>
      <c r="R568" s="463"/>
    </row>
    <row r="569" hidden="1">
      <c r="A569" s="326" t="s">
        <v>1003</v>
      </c>
      <c r="B569" s="35">
        <v>1.0</v>
      </c>
      <c r="C569" s="33" t="s">
        <v>40</v>
      </c>
      <c r="D569" s="33" t="s">
        <v>41</v>
      </c>
      <c r="E569" s="33">
        <v>1.0</v>
      </c>
      <c r="F569" s="43">
        <v>0.0</v>
      </c>
      <c r="G569" s="56">
        <f>'90146_2025'!F13</f>
        <v>0</v>
      </c>
      <c r="H569" s="40">
        <f>'90146_2025'!H13</f>
        <v>343460</v>
      </c>
      <c r="I569" s="40">
        <f>'90146_2025'!I13</f>
        <v>343460</v>
      </c>
      <c r="J569" s="64" t="s">
        <v>194</v>
      </c>
      <c r="K569" s="35" t="str">
        <f>'90146_2025'!K13</f>
        <v>FOTON 926</v>
      </c>
      <c r="L569" s="459" t="str">
        <f>'90146_2025'!L13</f>
        <v>46.135.499/0002-26</v>
      </c>
      <c r="M569" s="459" t="str">
        <f>'90146_2025'!M13</f>
        <v>FORZA DISTRIBUIDORA LTDA</v>
      </c>
      <c r="N569" s="459" t="str">
        <f>'90146_2025'!N13</f>
        <v/>
      </c>
      <c r="O569" s="459" t="str">
        <f>'90146_2025'!O13</f>
        <v/>
      </c>
      <c r="P569" s="459" t="str">
        <f>'90146_2025'!P13</f>
        <v/>
      </c>
      <c r="Q569" s="63">
        <f>'90146_2025'!Q13</f>
        <v>46351</v>
      </c>
      <c r="R569" s="460"/>
    </row>
    <row r="570" hidden="1">
      <c r="A570" s="461" t="s">
        <v>1003</v>
      </c>
      <c r="B570" s="52">
        <v>1.0</v>
      </c>
      <c r="C570" s="49" t="s">
        <v>40</v>
      </c>
      <c r="D570" s="49" t="s">
        <v>41</v>
      </c>
      <c r="E570" s="49">
        <v>1.0</v>
      </c>
      <c r="F570" s="58">
        <v>0.0</v>
      </c>
      <c r="G570" s="67">
        <f>'90146_2025'!F14</f>
        <v>1</v>
      </c>
      <c r="H570" s="54">
        <f>'90146_2025'!H14</f>
        <v>343460</v>
      </c>
      <c r="I570" s="54">
        <f>'90146_2025'!I14</f>
        <v>343460</v>
      </c>
      <c r="J570" s="55" t="s">
        <v>199</v>
      </c>
      <c r="K570" s="52" t="str">
        <f>'90146_2025'!K14</f>
        <v>FOTON 927</v>
      </c>
      <c r="L570" s="462" t="str">
        <f>'90146_2025'!L14</f>
        <v>46.135.499/0002-26</v>
      </c>
      <c r="M570" s="462" t="str">
        <f>'90146_2025'!M14</f>
        <v>FORZA DISTRIBUIDORA LTDA</v>
      </c>
      <c r="N570" s="462" t="str">
        <f>'90146_2025'!N14</f>
        <v/>
      </c>
      <c r="O570" s="462" t="str">
        <f>'90146_2025'!O14</f>
        <v/>
      </c>
      <c r="P570" s="462" t="str">
        <f>'90146_2025'!P14</f>
        <v/>
      </c>
      <c r="Q570" s="70">
        <f>'90146_2025'!Q14</f>
        <v>46351</v>
      </c>
      <c r="R570" s="463"/>
    </row>
    <row r="571" hidden="1">
      <c r="A571" s="326" t="s">
        <v>1003</v>
      </c>
      <c r="B571" s="35">
        <v>1.0</v>
      </c>
      <c r="C571" s="33" t="s">
        <v>40</v>
      </c>
      <c r="D571" s="33" t="s">
        <v>41</v>
      </c>
      <c r="E571" s="33">
        <v>1.0</v>
      </c>
      <c r="F571" s="33">
        <v>0.0</v>
      </c>
      <c r="G571" s="56">
        <f>'90146_2025'!F15</f>
        <v>1</v>
      </c>
      <c r="H571" s="40">
        <f>'90146_2025'!H15</f>
        <v>343460</v>
      </c>
      <c r="I571" s="40">
        <f>'90146_2025'!I15</f>
        <v>343460</v>
      </c>
      <c r="J571" s="64" t="s">
        <v>210</v>
      </c>
      <c r="K571" s="35" t="str">
        <f>'90146_2025'!K15</f>
        <v>FOTON 928</v>
      </c>
      <c r="L571" s="459" t="str">
        <f>'90146_2025'!L15</f>
        <v>46.135.499/0002-26</v>
      </c>
      <c r="M571" s="459" t="str">
        <f>'90146_2025'!M15</f>
        <v>FORZA DISTRIBUIDORA LTDA</v>
      </c>
      <c r="N571" s="459" t="str">
        <f>'90146_2025'!N15</f>
        <v/>
      </c>
      <c r="O571" s="459" t="str">
        <f>'90146_2025'!O15</f>
        <v/>
      </c>
      <c r="P571" s="459" t="str">
        <f>'90146_2025'!P15</f>
        <v/>
      </c>
      <c r="Q571" s="63">
        <f>'90146_2025'!Q15</f>
        <v>46351</v>
      </c>
      <c r="R571" s="460"/>
    </row>
    <row r="572" hidden="1">
      <c r="A572" s="461" t="s">
        <v>1003</v>
      </c>
      <c r="B572" s="52">
        <v>1.0</v>
      </c>
      <c r="C572" s="49" t="s">
        <v>40</v>
      </c>
      <c r="D572" s="49" t="s">
        <v>41</v>
      </c>
      <c r="E572" s="49">
        <v>1.0</v>
      </c>
      <c r="F572" s="58">
        <v>0.0</v>
      </c>
      <c r="G572" s="67">
        <f>'90146_2025'!F16</f>
        <v>1</v>
      </c>
      <c r="H572" s="54">
        <f>'90146_2025'!H16</f>
        <v>343460</v>
      </c>
      <c r="I572" s="54">
        <f>'90146_2025'!I16</f>
        <v>343460</v>
      </c>
      <c r="J572" s="55" t="s">
        <v>214</v>
      </c>
      <c r="K572" s="52" t="str">
        <f>'90146_2025'!K16</f>
        <v>FOTON 929</v>
      </c>
      <c r="L572" s="462" t="str">
        <f>'90146_2025'!L16</f>
        <v>46.135.499/0002-26</v>
      </c>
      <c r="M572" s="462" t="str">
        <f>'90146_2025'!M16</f>
        <v>FORZA DISTRIBUIDORA LTDA</v>
      </c>
      <c r="N572" s="462" t="str">
        <f>'90146_2025'!N16</f>
        <v/>
      </c>
      <c r="O572" s="462" t="str">
        <f>'90146_2025'!O16</f>
        <v/>
      </c>
      <c r="P572" s="462" t="str">
        <f>'90146_2025'!P16</f>
        <v/>
      </c>
      <c r="Q572" s="70">
        <f>'90146_2025'!Q16</f>
        <v>46351</v>
      </c>
      <c r="R572" s="463"/>
    </row>
    <row r="573" hidden="1">
      <c r="A573" s="326" t="s">
        <v>1003</v>
      </c>
      <c r="B573" s="33">
        <v>2.0</v>
      </c>
      <c r="C573" s="33" t="s">
        <v>219</v>
      </c>
      <c r="D573" s="33" t="s">
        <v>220</v>
      </c>
      <c r="E573" s="80">
        <v>1.0</v>
      </c>
      <c r="F573" s="43">
        <v>0.0</v>
      </c>
      <c r="G573" s="56">
        <f>'90146_2025'!F17</f>
        <v>1</v>
      </c>
      <c r="H573" s="40">
        <f>'90146_2025'!H17</f>
        <v>437680</v>
      </c>
      <c r="I573" s="40">
        <f>'90146_2025'!I17</f>
        <v>437680</v>
      </c>
      <c r="J573" s="87" t="s">
        <v>58</v>
      </c>
      <c r="K573" s="459" t="str">
        <f>'90146_2025'!K17</f>
        <v>FOTON 1722</v>
      </c>
      <c r="L573" s="459" t="str">
        <f>'90146_2025'!L17</f>
        <v>46.135.499/0002-26</v>
      </c>
      <c r="M573" s="459" t="str">
        <f>'90146_2025'!M17</f>
        <v>FORZA DISTRIBUIDORA LTDA
</v>
      </c>
      <c r="N573" s="459" t="str">
        <f>'90146_2025'!N17</f>
        <v/>
      </c>
      <c r="O573" s="459" t="str">
        <f>'90146_2025'!O17</f>
        <v/>
      </c>
      <c r="P573" s="459" t="str">
        <f>'90146_2025'!P17</f>
        <v/>
      </c>
      <c r="Q573" s="63">
        <f>'90146_2025'!Q17</f>
        <v>46351</v>
      </c>
      <c r="R573" s="460"/>
    </row>
    <row r="574" hidden="1">
      <c r="A574" s="461" t="s">
        <v>1003</v>
      </c>
      <c r="B574" s="49">
        <v>2.0</v>
      </c>
      <c r="C574" s="49" t="s">
        <v>219</v>
      </c>
      <c r="D574" s="49" t="s">
        <v>220</v>
      </c>
      <c r="E574" s="93">
        <v>1.0</v>
      </c>
      <c r="F574" s="58">
        <v>0.0</v>
      </c>
      <c r="G574" s="67">
        <f>'90146_2025'!F18</f>
        <v>1</v>
      </c>
      <c r="H574" s="54">
        <f>'90146_2025'!H18</f>
        <v>437680</v>
      </c>
      <c r="I574" s="54">
        <f>'90146_2025'!I18</f>
        <v>437680</v>
      </c>
      <c r="J574" s="95" t="s">
        <v>96</v>
      </c>
      <c r="K574" s="462" t="str">
        <f>'90146_2025'!K18</f>
        <v>FOTON 1722</v>
      </c>
      <c r="L574" s="462" t="str">
        <f>'90146_2025'!L18</f>
        <v>46.135.499/0002-26</v>
      </c>
      <c r="M574" s="462" t="str">
        <f>'90146_2025'!M18</f>
        <v>FORZA DISTRIBUIDORA LTDA
</v>
      </c>
      <c r="N574" s="462" t="str">
        <f>'90146_2025'!N18</f>
        <v/>
      </c>
      <c r="O574" s="462" t="str">
        <f>'90146_2025'!O18</f>
        <v/>
      </c>
      <c r="P574" s="462" t="str">
        <f>'90146_2025'!P18</f>
        <v/>
      </c>
      <c r="Q574" s="70">
        <f>'90146_2025'!Q18</f>
        <v>46351</v>
      </c>
      <c r="R574" s="463"/>
    </row>
    <row r="575" hidden="1">
      <c r="A575" s="326" t="s">
        <v>1003</v>
      </c>
      <c r="B575" s="33">
        <v>2.0</v>
      </c>
      <c r="C575" s="33" t="s">
        <v>219</v>
      </c>
      <c r="D575" s="33" t="s">
        <v>220</v>
      </c>
      <c r="E575" s="96">
        <v>1.0</v>
      </c>
      <c r="F575" s="43">
        <v>0.0</v>
      </c>
      <c r="G575" s="56">
        <f>'90146_2025'!F19</f>
        <v>1</v>
      </c>
      <c r="H575" s="40">
        <f>'90146_2025'!H19</f>
        <v>437680</v>
      </c>
      <c r="I575" s="40">
        <f>'90146_2025'!I19</f>
        <v>437680</v>
      </c>
      <c r="J575" s="80" t="s">
        <v>154</v>
      </c>
      <c r="K575" s="459" t="str">
        <f>'90146_2025'!K19</f>
        <v>FOTON 1722</v>
      </c>
      <c r="L575" s="459" t="str">
        <f>'90146_2025'!L19</f>
        <v>46.135.499/0002-26</v>
      </c>
      <c r="M575" s="459" t="str">
        <f>'90146_2025'!M19</f>
        <v>FORZA DISTRIBUIDORA LTDA
</v>
      </c>
      <c r="N575" s="459" t="str">
        <f>'90146_2025'!N19</f>
        <v/>
      </c>
      <c r="O575" s="459" t="str">
        <f>'90146_2025'!O19</f>
        <v/>
      </c>
      <c r="P575" s="459" t="str">
        <f>'90146_2025'!P19</f>
        <v/>
      </c>
      <c r="Q575" s="63">
        <f>'90146_2025'!Q19</f>
        <v>46351</v>
      </c>
      <c r="R575" s="460"/>
    </row>
    <row r="576" hidden="1">
      <c r="A576" s="461" t="s">
        <v>1003</v>
      </c>
      <c r="B576" s="49">
        <v>2.0</v>
      </c>
      <c r="C576" s="49" t="s">
        <v>219</v>
      </c>
      <c r="D576" s="49" t="s">
        <v>220</v>
      </c>
      <c r="E576" s="93">
        <v>1.0</v>
      </c>
      <c r="F576" s="58">
        <v>0.0</v>
      </c>
      <c r="G576" s="67">
        <f>'90146_2025'!F20</f>
        <v>1</v>
      </c>
      <c r="H576" s="54">
        <f>'90146_2025'!H20</f>
        <v>437680</v>
      </c>
      <c r="I576" s="54">
        <f>'90146_2025'!I20</f>
        <v>437680</v>
      </c>
      <c r="J576" s="97" t="s">
        <v>231</v>
      </c>
      <c r="K576" s="462" t="str">
        <f>'90146_2025'!K20</f>
        <v>FOTON 1722</v>
      </c>
      <c r="L576" s="462" t="str">
        <f>'90146_2025'!L20</f>
        <v>46.135.499/0002-26</v>
      </c>
      <c r="M576" s="462" t="str">
        <f>'90146_2025'!M20</f>
        <v>FORZA DISTRIBUIDORA LTDA
</v>
      </c>
      <c r="N576" s="462" t="str">
        <f>'90146_2025'!N20</f>
        <v/>
      </c>
      <c r="O576" s="462" t="str">
        <f>'90146_2025'!O20</f>
        <v/>
      </c>
      <c r="P576" s="462" t="str">
        <f>'90146_2025'!P20</f>
        <v/>
      </c>
      <c r="Q576" s="70">
        <f>'90146_2025'!Q20</f>
        <v>46351</v>
      </c>
      <c r="R576" s="463"/>
    </row>
    <row r="577" hidden="1">
      <c r="A577" s="326" t="s">
        <v>1003</v>
      </c>
      <c r="B577" s="33">
        <v>2.0</v>
      </c>
      <c r="C577" s="33" t="s">
        <v>219</v>
      </c>
      <c r="D577" s="33" t="s">
        <v>220</v>
      </c>
      <c r="E577" s="80">
        <v>1.0</v>
      </c>
      <c r="F577" s="43">
        <v>0.0</v>
      </c>
      <c r="G577" s="56">
        <f>'90146_2025'!F21</f>
        <v>0</v>
      </c>
      <c r="H577" s="40">
        <f>'90146_2025'!H21</f>
        <v>437680</v>
      </c>
      <c r="I577" s="40">
        <f>'90146_2025'!I21</f>
        <v>437680</v>
      </c>
      <c r="J577" s="80" t="s">
        <v>160</v>
      </c>
      <c r="K577" s="459" t="str">
        <f>'90146_2025'!K21</f>
        <v>FOTON 1722</v>
      </c>
      <c r="L577" s="459" t="str">
        <f>'90146_2025'!L21</f>
        <v>46.135.499/0002-26</v>
      </c>
      <c r="M577" s="459" t="str">
        <f>'90146_2025'!M21</f>
        <v>FORZA DISTRIBUIDORA LTDA
</v>
      </c>
      <c r="N577" s="459" t="str">
        <f>'90146_2025'!N21</f>
        <v/>
      </c>
      <c r="O577" s="459" t="str">
        <f>'90146_2025'!O21</f>
        <v/>
      </c>
      <c r="P577" s="459" t="str">
        <f>'90146_2025'!P21</f>
        <v/>
      </c>
      <c r="Q577" s="63">
        <f>'90146_2025'!Q21</f>
        <v>46351</v>
      </c>
      <c r="R577" s="460"/>
    </row>
    <row r="578" hidden="1">
      <c r="A578" s="461" t="s">
        <v>1003</v>
      </c>
      <c r="B578" s="49">
        <v>2.0</v>
      </c>
      <c r="C578" s="49" t="s">
        <v>219</v>
      </c>
      <c r="D578" s="49" t="s">
        <v>220</v>
      </c>
      <c r="E578" s="93">
        <v>1.0</v>
      </c>
      <c r="F578" s="58">
        <v>0.0</v>
      </c>
      <c r="G578" s="67">
        <f>'90146_2025'!F22</f>
        <v>0</v>
      </c>
      <c r="H578" s="54">
        <f>'90146_2025'!H22</f>
        <v>437680</v>
      </c>
      <c r="I578" s="54">
        <f>'90146_2025'!I22</f>
        <v>437680</v>
      </c>
      <c r="J578" s="93" t="s">
        <v>192</v>
      </c>
      <c r="K578" s="462" t="str">
        <f>'90146_2025'!K22</f>
        <v>FOTON 1722</v>
      </c>
      <c r="L578" s="462" t="str">
        <f>'90146_2025'!L22</f>
        <v>46.135.499/0002-26</v>
      </c>
      <c r="M578" s="462" t="str">
        <f>'90146_2025'!M22</f>
        <v>FORZA DISTRIBUIDORA LTDA
</v>
      </c>
      <c r="N578" s="462" t="str">
        <f>'90146_2025'!N22</f>
        <v/>
      </c>
      <c r="O578" s="462" t="str">
        <f>'90146_2025'!O22</f>
        <v/>
      </c>
      <c r="P578" s="462" t="str">
        <f>'90146_2025'!P22</f>
        <v/>
      </c>
      <c r="Q578" s="70">
        <f>'90146_2025'!Q22</f>
        <v>46351</v>
      </c>
      <c r="R578" s="463"/>
    </row>
    <row r="579" hidden="1">
      <c r="A579" s="326" t="s">
        <v>1003</v>
      </c>
      <c r="B579" s="33">
        <v>2.0</v>
      </c>
      <c r="C579" s="33" t="s">
        <v>219</v>
      </c>
      <c r="D579" s="33" t="s">
        <v>220</v>
      </c>
      <c r="E579" s="80">
        <v>1.0</v>
      </c>
      <c r="F579" s="43">
        <v>0.0</v>
      </c>
      <c r="G579" s="56">
        <f>'90146_2025'!F23</f>
        <v>1</v>
      </c>
      <c r="H579" s="40">
        <f>'90146_2025'!H23</f>
        <v>437680</v>
      </c>
      <c r="I579" s="40">
        <f>'90146_2025'!I23</f>
        <v>437680</v>
      </c>
      <c r="J579" s="80" t="s">
        <v>194</v>
      </c>
      <c r="K579" s="459" t="str">
        <f>'90146_2025'!K23</f>
        <v>FOTON 1722</v>
      </c>
      <c r="L579" s="459" t="str">
        <f>'90146_2025'!L23</f>
        <v>46.135.499/0002-26</v>
      </c>
      <c r="M579" s="459" t="str">
        <f>'90146_2025'!M23</f>
        <v>FORZA DISTRIBUIDORA LTDA
</v>
      </c>
      <c r="N579" s="459" t="str">
        <f>'90146_2025'!N23</f>
        <v/>
      </c>
      <c r="O579" s="459" t="str">
        <f>'90146_2025'!O23</f>
        <v/>
      </c>
      <c r="P579" s="459" t="str">
        <f>'90146_2025'!P23</f>
        <v/>
      </c>
      <c r="Q579" s="63">
        <f>'90146_2025'!Q23</f>
        <v>46351</v>
      </c>
      <c r="R579" s="460"/>
    </row>
    <row r="580" hidden="1">
      <c r="A580" s="461" t="s">
        <v>1003</v>
      </c>
      <c r="B580" s="49">
        <v>2.0</v>
      </c>
      <c r="C580" s="49" t="s">
        <v>219</v>
      </c>
      <c r="D580" s="49" t="s">
        <v>220</v>
      </c>
      <c r="E580" s="93">
        <v>1.0</v>
      </c>
      <c r="F580" s="58">
        <v>0.0</v>
      </c>
      <c r="G580" s="67">
        <f>'90146_2025'!F24</f>
        <v>0</v>
      </c>
      <c r="H580" s="54">
        <f>'90146_2025'!H24</f>
        <v>437680</v>
      </c>
      <c r="I580" s="54">
        <f>'90146_2025'!I24</f>
        <v>437680</v>
      </c>
      <c r="J580" s="93" t="s">
        <v>210</v>
      </c>
      <c r="K580" s="462" t="str">
        <f>'90146_2025'!K24</f>
        <v>FOTON 1722</v>
      </c>
      <c r="L580" s="462" t="str">
        <f>'90146_2025'!L24</f>
        <v>46.135.499/0002-26</v>
      </c>
      <c r="M580" s="462" t="str">
        <f>'90146_2025'!M24</f>
        <v>FORZA DISTRIBUIDORA LTDA
</v>
      </c>
      <c r="N580" s="462" t="str">
        <f>'90146_2025'!N24</f>
        <v/>
      </c>
      <c r="O580" s="462" t="str">
        <f>'90146_2025'!O24</f>
        <v/>
      </c>
      <c r="P580" s="462" t="str">
        <f>'90146_2025'!P24</f>
        <v/>
      </c>
      <c r="Q580" s="70">
        <f>'90146_2025'!Q24</f>
        <v>46351</v>
      </c>
      <c r="R580" s="463"/>
    </row>
    <row r="581" hidden="1">
      <c r="A581" s="326" t="s">
        <v>1003</v>
      </c>
      <c r="B581" s="33">
        <v>3.0</v>
      </c>
      <c r="C581" s="33" t="s">
        <v>246</v>
      </c>
      <c r="D581" s="33" t="s">
        <v>247</v>
      </c>
      <c r="E581" s="80">
        <v>1.0</v>
      </c>
      <c r="F581" s="43">
        <v>0.0</v>
      </c>
      <c r="G581" s="56">
        <f>'90146_2025'!F25</f>
        <v>1</v>
      </c>
      <c r="H581" s="40" t="str">
        <f>'90146_2025'!H25</f>
        <v/>
      </c>
      <c r="I581" s="40">
        <f>'90146_2025'!I25</f>
        <v>0</v>
      </c>
      <c r="J581" s="80" t="s">
        <v>154</v>
      </c>
      <c r="K581" s="459" t="str">
        <f>'90146_2025'!K25</f>
        <v/>
      </c>
      <c r="L581" s="459" t="str">
        <f>'90146_2025'!L25</f>
        <v/>
      </c>
      <c r="M581" s="459" t="str">
        <f>'90146_2025'!M25</f>
        <v/>
      </c>
      <c r="N581" s="459" t="str">
        <f>'90146_2025'!N25</f>
        <v/>
      </c>
      <c r="O581" s="459" t="str">
        <f>'90146_2025'!O25</f>
        <v/>
      </c>
      <c r="P581" s="459" t="str">
        <f>'90146_2025'!P25</f>
        <v/>
      </c>
      <c r="Q581" s="63" t="str">
        <f>'90146_2025'!Q25</f>
        <v/>
      </c>
      <c r="R581" s="460"/>
    </row>
    <row r="582" hidden="1">
      <c r="A582" s="461" t="s">
        <v>1003</v>
      </c>
      <c r="B582" s="49">
        <v>3.0</v>
      </c>
      <c r="C582" s="49" t="s">
        <v>246</v>
      </c>
      <c r="D582" s="49" t="s">
        <v>247</v>
      </c>
      <c r="E582" s="93">
        <v>1.0</v>
      </c>
      <c r="F582" s="58">
        <v>0.0</v>
      </c>
      <c r="G582" s="67">
        <f>'90146_2025'!F26</f>
        <v>1</v>
      </c>
      <c r="H582" s="54" t="str">
        <f>'90146_2025'!H26</f>
        <v/>
      </c>
      <c r="I582" s="54">
        <f>'90146_2025'!I26</f>
        <v>0</v>
      </c>
      <c r="J582" s="93" t="s">
        <v>142</v>
      </c>
      <c r="K582" s="462" t="str">
        <f>'90146_2025'!K26</f>
        <v/>
      </c>
      <c r="L582" s="462" t="str">
        <f>'90146_2025'!L26</f>
        <v/>
      </c>
      <c r="M582" s="462" t="str">
        <f>'90146_2025'!M26</f>
        <v/>
      </c>
      <c r="N582" s="462" t="str">
        <f>'90146_2025'!N26</f>
        <v/>
      </c>
      <c r="O582" s="462" t="str">
        <f>'90146_2025'!O26</f>
        <v/>
      </c>
      <c r="P582" s="462" t="str">
        <f>'90146_2025'!P26</f>
        <v/>
      </c>
      <c r="Q582" s="70" t="str">
        <f>'90146_2025'!Q26</f>
        <v/>
      </c>
      <c r="R582" s="463"/>
    </row>
    <row r="583" hidden="1">
      <c r="A583" s="326" t="s">
        <v>1003</v>
      </c>
      <c r="B583" s="33">
        <v>3.0</v>
      </c>
      <c r="C583" s="33" t="s">
        <v>246</v>
      </c>
      <c r="D583" s="33" t="s">
        <v>247</v>
      </c>
      <c r="E583" s="80">
        <v>1.0</v>
      </c>
      <c r="F583" s="43">
        <v>0.0</v>
      </c>
      <c r="G583" s="56">
        <f>'90146_2025'!F27</f>
        <v>1</v>
      </c>
      <c r="H583" s="40" t="str">
        <f>'90146_2025'!H27</f>
        <v/>
      </c>
      <c r="I583" s="40">
        <f>'90146_2025'!I27</f>
        <v>0</v>
      </c>
      <c r="J583" s="80" t="s">
        <v>231</v>
      </c>
      <c r="K583" s="459" t="str">
        <f>'90146_2025'!K27</f>
        <v/>
      </c>
      <c r="L583" s="459" t="str">
        <f>'90146_2025'!L27</f>
        <v/>
      </c>
      <c r="M583" s="459" t="str">
        <f>'90146_2025'!M27</f>
        <v/>
      </c>
      <c r="N583" s="459" t="str">
        <f>'90146_2025'!N27</f>
        <v/>
      </c>
      <c r="O583" s="459" t="str">
        <f>'90146_2025'!O27</f>
        <v/>
      </c>
      <c r="P583" s="459" t="str">
        <f>'90146_2025'!P27</f>
        <v/>
      </c>
      <c r="Q583" s="63" t="str">
        <f>'90146_2025'!Q27</f>
        <v/>
      </c>
      <c r="R583" s="460"/>
    </row>
    <row r="584" hidden="1">
      <c r="A584" s="461" t="s">
        <v>1003</v>
      </c>
      <c r="B584" s="49">
        <v>3.0</v>
      </c>
      <c r="C584" s="49" t="s">
        <v>246</v>
      </c>
      <c r="D584" s="49" t="s">
        <v>247</v>
      </c>
      <c r="E584" s="93">
        <v>1.0</v>
      </c>
      <c r="F584" s="58">
        <v>0.0</v>
      </c>
      <c r="G584" s="67">
        <f>'90146_2025'!F28</f>
        <v>1</v>
      </c>
      <c r="H584" s="54" t="str">
        <f>'90146_2025'!H28</f>
        <v/>
      </c>
      <c r="I584" s="54">
        <f>'90146_2025'!I28</f>
        <v>0</v>
      </c>
      <c r="J584" s="93" t="s">
        <v>192</v>
      </c>
      <c r="K584" s="462" t="str">
        <f>'90146_2025'!K28</f>
        <v/>
      </c>
      <c r="L584" s="462" t="str">
        <f>'90146_2025'!L28</f>
        <v/>
      </c>
      <c r="M584" s="462" t="str">
        <f>'90146_2025'!M28</f>
        <v/>
      </c>
      <c r="N584" s="462" t="str">
        <f>'90146_2025'!N28</f>
        <v/>
      </c>
      <c r="O584" s="462" t="str">
        <f>'90146_2025'!O28</f>
        <v/>
      </c>
      <c r="P584" s="462" t="str">
        <f>'90146_2025'!P28</f>
        <v/>
      </c>
      <c r="Q584" s="70" t="str">
        <f>'90146_2025'!Q28</f>
        <v/>
      </c>
      <c r="R584" s="463"/>
    </row>
    <row r="585" hidden="1">
      <c r="A585" s="326" t="s">
        <v>1003</v>
      </c>
      <c r="B585" s="33">
        <v>3.0</v>
      </c>
      <c r="C585" s="33" t="s">
        <v>246</v>
      </c>
      <c r="D585" s="33" t="s">
        <v>247</v>
      </c>
      <c r="E585" s="80">
        <v>1.0</v>
      </c>
      <c r="F585" s="43">
        <v>0.0</v>
      </c>
      <c r="G585" s="56">
        <f>'90146_2025'!F29</f>
        <v>1</v>
      </c>
      <c r="H585" s="40" t="str">
        <f>'90146_2025'!H29</f>
        <v/>
      </c>
      <c r="I585" s="40">
        <f>'90146_2025'!I29</f>
        <v>0</v>
      </c>
      <c r="J585" s="80" t="s">
        <v>199</v>
      </c>
      <c r="K585" s="459" t="str">
        <f>'90146_2025'!K29</f>
        <v/>
      </c>
      <c r="L585" s="459" t="str">
        <f>'90146_2025'!L29</f>
        <v/>
      </c>
      <c r="M585" s="459" t="str">
        <f>'90146_2025'!M29</f>
        <v/>
      </c>
      <c r="N585" s="459" t="str">
        <f>'90146_2025'!N29</f>
        <v/>
      </c>
      <c r="O585" s="459" t="str">
        <f>'90146_2025'!O29</f>
        <v/>
      </c>
      <c r="P585" s="459" t="str">
        <f>'90146_2025'!P29</f>
        <v/>
      </c>
      <c r="Q585" s="63" t="str">
        <f>'90146_2025'!Q29</f>
        <v/>
      </c>
      <c r="R585" s="460"/>
    </row>
    <row r="586" hidden="1">
      <c r="A586" s="461" t="s">
        <v>1003</v>
      </c>
      <c r="B586" s="49">
        <v>3.0</v>
      </c>
      <c r="C586" s="49" t="s">
        <v>246</v>
      </c>
      <c r="D586" s="49" t="s">
        <v>247</v>
      </c>
      <c r="E586" s="93">
        <v>1.0</v>
      </c>
      <c r="F586" s="58">
        <v>0.0</v>
      </c>
      <c r="G586" s="67">
        <f>'90146_2025'!F30</f>
        <v>1</v>
      </c>
      <c r="H586" s="54" t="str">
        <f>'90146_2025'!H30</f>
        <v/>
      </c>
      <c r="I586" s="54">
        <f>'90146_2025'!I30</f>
        <v>0</v>
      </c>
      <c r="J586" s="95" t="s">
        <v>214</v>
      </c>
      <c r="K586" s="462" t="str">
        <f>'90146_2025'!K30</f>
        <v/>
      </c>
      <c r="L586" s="462" t="str">
        <f>'90146_2025'!L30</f>
        <v/>
      </c>
      <c r="M586" s="462" t="str">
        <f>'90146_2025'!M30</f>
        <v/>
      </c>
      <c r="N586" s="462" t="str">
        <f>'90146_2025'!N30</f>
        <v/>
      </c>
      <c r="O586" s="462" t="str">
        <f>'90146_2025'!O30</f>
        <v/>
      </c>
      <c r="P586" s="462" t="str">
        <f>'90146_2025'!P30</f>
        <v/>
      </c>
      <c r="Q586" s="70" t="str">
        <f>'90146_2025'!Q30</f>
        <v/>
      </c>
      <c r="R586" s="463"/>
    </row>
    <row r="587" hidden="1">
      <c r="A587" s="326" t="s">
        <v>1003</v>
      </c>
      <c r="B587" s="33">
        <v>4.0</v>
      </c>
      <c r="C587" s="33" t="s">
        <v>255</v>
      </c>
      <c r="D587" s="33" t="s">
        <v>121</v>
      </c>
      <c r="E587" s="96">
        <v>1.0</v>
      </c>
      <c r="F587" s="43">
        <v>0.0</v>
      </c>
      <c r="G587" s="56">
        <f>'90146_2025'!F31</f>
        <v>0</v>
      </c>
      <c r="H587" s="40">
        <f>'90146_2025'!H31</f>
        <v>290000</v>
      </c>
      <c r="I587" s="40">
        <f>'90146_2025'!I31</f>
        <v>290000</v>
      </c>
      <c r="J587" s="64" t="s">
        <v>58</v>
      </c>
      <c r="K587" s="459" t="str">
        <f>'90146_2025'!K31</f>
        <v>MASTER L2H2 FURGÃO 150 CV DIESEL 0KM
</v>
      </c>
      <c r="L587" s="459" t="str">
        <f>'90146_2025'!L31</f>
        <v>29.987.662/0001-89
</v>
      </c>
      <c r="M587" s="459" t="str">
        <f>'90146_2025'!M31</f>
        <v>SOCIETE COMERCIO DE VEICULOS LTDA
</v>
      </c>
      <c r="N587" s="459" t="str">
        <f>'90146_2025'!N31</f>
        <v/>
      </c>
      <c r="O587" s="459" t="str">
        <f>'90146_2025'!O31</f>
        <v/>
      </c>
      <c r="P587" s="459" t="str">
        <f>'90146_2025'!P31</f>
        <v/>
      </c>
      <c r="Q587" s="63" t="str">
        <f>'90146_2025'!Q31</f>
        <v/>
      </c>
      <c r="R587" s="460"/>
    </row>
    <row r="588" hidden="1">
      <c r="A588" s="461" t="s">
        <v>1003</v>
      </c>
      <c r="B588" s="49">
        <v>4.0</v>
      </c>
      <c r="C588" s="49" t="s">
        <v>255</v>
      </c>
      <c r="D588" s="49" t="s">
        <v>121</v>
      </c>
      <c r="E588" s="106">
        <v>1.0</v>
      </c>
      <c r="F588" s="58">
        <v>0.0</v>
      </c>
      <c r="G588" s="67">
        <f>'90146_2025'!F32</f>
        <v>0</v>
      </c>
      <c r="H588" s="54">
        <f>'90146_2025'!H32</f>
        <v>290000</v>
      </c>
      <c r="I588" s="54">
        <f>'90146_2025'!I32</f>
        <v>290000</v>
      </c>
      <c r="J588" s="55" t="s">
        <v>85</v>
      </c>
      <c r="K588" s="462" t="str">
        <f>'90146_2025'!K32</f>
        <v>MASTER L2H2 FURGÃO 150 CV DIESEL 0KM
</v>
      </c>
      <c r="L588" s="462" t="str">
        <f>'90146_2025'!L32</f>
        <v>29.987.662/0001-89
</v>
      </c>
      <c r="M588" s="462" t="str">
        <f>'90146_2025'!M32</f>
        <v>SOCIETE COMERCIO DE VEICULOS LTDA
</v>
      </c>
      <c r="N588" s="462" t="str">
        <f>'90146_2025'!N32</f>
        <v/>
      </c>
      <c r="O588" s="462" t="str">
        <f>'90146_2025'!O32</f>
        <v/>
      </c>
      <c r="P588" s="462" t="str">
        <f>'90146_2025'!P32</f>
        <v/>
      </c>
      <c r="Q588" s="70">
        <f>'90146_2025'!Q32</f>
        <v>46347</v>
      </c>
      <c r="R588" s="463"/>
    </row>
    <row r="589" hidden="1">
      <c r="A589" s="326" t="s">
        <v>1003</v>
      </c>
      <c r="B589" s="33">
        <v>4.0</v>
      </c>
      <c r="C589" s="33" t="s">
        <v>255</v>
      </c>
      <c r="D589" s="33" t="s">
        <v>121</v>
      </c>
      <c r="E589" s="96">
        <v>1.0</v>
      </c>
      <c r="F589" s="43">
        <v>0.0</v>
      </c>
      <c r="G589" s="56">
        <f>'90146_2025'!F33</f>
        <v>0</v>
      </c>
      <c r="H589" s="40">
        <f>'90146_2025'!H33</f>
        <v>290000</v>
      </c>
      <c r="I589" s="40">
        <f>'90146_2025'!I33</f>
        <v>290000</v>
      </c>
      <c r="J589" s="64" t="s">
        <v>134</v>
      </c>
      <c r="K589" s="459" t="str">
        <f>'90146_2025'!K33</f>
        <v>MASTER L2H2 FURGÃO 150 CV DIESEL 0KM
</v>
      </c>
      <c r="L589" s="459" t="str">
        <f>'90146_2025'!L33</f>
        <v>29.987.662/0001-89
</v>
      </c>
      <c r="M589" s="459" t="str">
        <f>'90146_2025'!M33</f>
        <v>SOCIETE COMERCIO DE VEICULOS LTDA
</v>
      </c>
      <c r="N589" s="459" t="str">
        <f>'90146_2025'!N33</f>
        <v/>
      </c>
      <c r="O589" s="459" t="str">
        <f>'90146_2025'!O33</f>
        <v/>
      </c>
      <c r="P589" s="459" t="str">
        <f>'90146_2025'!P33</f>
        <v/>
      </c>
      <c r="Q589" s="63">
        <f>'90146_2025'!Q33</f>
        <v>46347</v>
      </c>
      <c r="R589" s="460"/>
    </row>
    <row r="590" hidden="1">
      <c r="A590" s="461" t="s">
        <v>1003</v>
      </c>
      <c r="B590" s="49">
        <v>4.0</v>
      </c>
      <c r="C590" s="49" t="s">
        <v>255</v>
      </c>
      <c r="D590" s="49" t="s">
        <v>121</v>
      </c>
      <c r="E590" s="106">
        <v>1.0</v>
      </c>
      <c r="F590" s="58">
        <v>0.0</v>
      </c>
      <c r="G590" s="67">
        <f>'90146_2025'!F34</f>
        <v>0</v>
      </c>
      <c r="H590" s="54">
        <f>'90146_2025'!H34</f>
        <v>290000</v>
      </c>
      <c r="I590" s="54">
        <f>'90146_2025'!I34</f>
        <v>290000</v>
      </c>
      <c r="J590" s="55" t="s">
        <v>142</v>
      </c>
      <c r="K590" s="462" t="str">
        <f>'90146_2025'!K34</f>
        <v>MASTER L2H2 FURGÃO 150 CV DIESEL 0KM
</v>
      </c>
      <c r="L590" s="462" t="str">
        <f>'90146_2025'!L34</f>
        <v>29.987.662/0001-89
</v>
      </c>
      <c r="M590" s="462" t="str">
        <f>'90146_2025'!M34</f>
        <v>SOCIETE COMERCIO DE VEICULOS LTDA
</v>
      </c>
      <c r="N590" s="462" t="str">
        <f>'90146_2025'!N34</f>
        <v/>
      </c>
      <c r="O590" s="462" t="str">
        <f>'90146_2025'!O34</f>
        <v/>
      </c>
      <c r="P590" s="462" t="str">
        <f>'90146_2025'!P34</f>
        <v/>
      </c>
      <c r="Q590" s="70">
        <f>'90146_2025'!Q34</f>
        <v>46347</v>
      </c>
      <c r="R590" s="463"/>
    </row>
    <row r="591" hidden="1">
      <c r="A591" s="326" t="s">
        <v>1003</v>
      </c>
      <c r="B591" s="33">
        <v>4.0</v>
      </c>
      <c r="C591" s="33" t="s">
        <v>255</v>
      </c>
      <c r="D591" s="33" t="s">
        <v>121</v>
      </c>
      <c r="E591" s="96">
        <v>1.0</v>
      </c>
      <c r="F591" s="43">
        <v>0.0</v>
      </c>
      <c r="G591" s="56">
        <f>'90146_2025'!F35</f>
        <v>0</v>
      </c>
      <c r="H591" s="40">
        <f>'90146_2025'!H35</f>
        <v>290000</v>
      </c>
      <c r="I591" s="40">
        <f>'90146_2025'!I35</f>
        <v>290000</v>
      </c>
      <c r="J591" s="64" t="s">
        <v>154</v>
      </c>
      <c r="K591" s="459" t="str">
        <f>'90146_2025'!K35</f>
        <v>MASTER L2H2 FURGÃO 150 CV DIESEL 0KM
</v>
      </c>
      <c r="L591" s="459" t="str">
        <f>'90146_2025'!L35</f>
        <v>29.987.662/0001-89
</v>
      </c>
      <c r="M591" s="459" t="str">
        <f>'90146_2025'!M35</f>
        <v>SOCIETE COMERCIO DE VEICULOS LTDA
</v>
      </c>
      <c r="N591" s="459" t="str">
        <f>'90146_2025'!N35</f>
        <v/>
      </c>
      <c r="O591" s="459" t="str">
        <f>'90146_2025'!O35</f>
        <v/>
      </c>
      <c r="P591" s="459" t="str">
        <f>'90146_2025'!P35</f>
        <v/>
      </c>
      <c r="Q591" s="63">
        <f>'90146_2025'!Q35</f>
        <v>46347</v>
      </c>
      <c r="R591" s="460"/>
    </row>
    <row r="592" hidden="1">
      <c r="A592" s="461" t="s">
        <v>1003</v>
      </c>
      <c r="B592" s="49">
        <v>4.0</v>
      </c>
      <c r="C592" s="49" t="s">
        <v>255</v>
      </c>
      <c r="D592" s="49" t="s">
        <v>121</v>
      </c>
      <c r="E592" s="106">
        <v>1.0</v>
      </c>
      <c r="F592" s="58">
        <v>0.0</v>
      </c>
      <c r="G592" s="67">
        <f>'90146_2025'!F36</f>
        <v>0</v>
      </c>
      <c r="H592" s="54">
        <f>'90146_2025'!H36</f>
        <v>290000</v>
      </c>
      <c r="I592" s="54">
        <f>'90146_2025'!I36</f>
        <v>290000</v>
      </c>
      <c r="J592" s="55" t="s">
        <v>221</v>
      </c>
      <c r="K592" s="462" t="str">
        <f>'90146_2025'!K36</f>
        <v>MASTER L2H2 FURGÃO 150 CV DIESEL 0KM
</v>
      </c>
      <c r="L592" s="462" t="str">
        <f>'90146_2025'!L36</f>
        <v>29.987.662/0001-89
</v>
      </c>
      <c r="M592" s="462" t="str">
        <f>'90146_2025'!M36</f>
        <v>SOCIETE COMERCIO DE VEICULOS LTDA
</v>
      </c>
      <c r="N592" s="462" t="str">
        <f>'90146_2025'!N36</f>
        <v/>
      </c>
      <c r="O592" s="462" t="str">
        <f>'90146_2025'!O36</f>
        <v/>
      </c>
      <c r="P592" s="462" t="str">
        <f>'90146_2025'!P36</f>
        <v/>
      </c>
      <c r="Q592" s="70">
        <f>'90146_2025'!Q36</f>
        <v>46347</v>
      </c>
      <c r="R592" s="463"/>
    </row>
    <row r="593" hidden="1">
      <c r="A593" s="326" t="s">
        <v>1003</v>
      </c>
      <c r="B593" s="33">
        <v>4.0</v>
      </c>
      <c r="C593" s="33" t="s">
        <v>255</v>
      </c>
      <c r="D593" s="33" t="s">
        <v>121</v>
      </c>
      <c r="E593" s="96">
        <v>1.0</v>
      </c>
      <c r="F593" s="43">
        <v>0.0</v>
      </c>
      <c r="G593" s="56">
        <f>'90146_2025'!F37</f>
        <v>1</v>
      </c>
      <c r="H593" s="40">
        <f>'90146_2025'!H37</f>
        <v>290000</v>
      </c>
      <c r="I593" s="40">
        <f>'90146_2025'!I37</f>
        <v>290000</v>
      </c>
      <c r="J593" s="64" t="s">
        <v>188</v>
      </c>
      <c r="K593" s="459" t="str">
        <f>'90146_2025'!K37</f>
        <v>MASTER L2H2 FURGÃO 150 CV DIESEL 0KM
</v>
      </c>
      <c r="L593" s="459" t="str">
        <f>'90146_2025'!L37</f>
        <v>29.987.662/0001-89
</v>
      </c>
      <c r="M593" s="459" t="str">
        <f>'90146_2025'!M37</f>
        <v>SOCIETE COMERCIO DE VEICULOS LTDA
</v>
      </c>
      <c r="N593" s="459" t="str">
        <f>'90146_2025'!N37</f>
        <v/>
      </c>
      <c r="O593" s="459" t="str">
        <f>'90146_2025'!O37</f>
        <v/>
      </c>
      <c r="P593" s="459" t="str">
        <f>'90146_2025'!P37</f>
        <v/>
      </c>
      <c r="Q593" s="63">
        <f>'90146_2025'!Q37</f>
        <v>46347</v>
      </c>
      <c r="R593" s="460"/>
    </row>
    <row r="594" hidden="1">
      <c r="A594" s="461" t="s">
        <v>1003</v>
      </c>
      <c r="B594" s="49">
        <v>4.0</v>
      </c>
      <c r="C594" s="49" t="s">
        <v>255</v>
      </c>
      <c r="D594" s="49" t="s">
        <v>121</v>
      </c>
      <c r="E594" s="106">
        <v>1.0</v>
      </c>
      <c r="F594" s="58">
        <v>0.0</v>
      </c>
      <c r="G594" s="67">
        <f>'90146_2025'!F38</f>
        <v>0</v>
      </c>
      <c r="H594" s="54">
        <f>'90146_2025'!H38</f>
        <v>290000</v>
      </c>
      <c r="I594" s="54">
        <f>'90146_2025'!I38</f>
        <v>290000</v>
      </c>
      <c r="J594" s="55" t="s">
        <v>160</v>
      </c>
      <c r="K594" s="462" t="str">
        <f>'90146_2025'!K38</f>
        <v>MASTER L2H2 FURGÃO 150 CV DIESEL 0KM
</v>
      </c>
      <c r="L594" s="462" t="str">
        <f>'90146_2025'!L38</f>
        <v>29.987.662/0001-89
</v>
      </c>
      <c r="M594" s="462" t="str">
        <f>'90146_2025'!M38</f>
        <v>SOCIETE COMERCIO DE VEICULOS LTDA
</v>
      </c>
      <c r="N594" s="462" t="str">
        <f>'90146_2025'!N38</f>
        <v/>
      </c>
      <c r="O594" s="462" t="str">
        <f>'90146_2025'!O38</f>
        <v/>
      </c>
      <c r="P594" s="462" t="str">
        <f>'90146_2025'!P38</f>
        <v/>
      </c>
      <c r="Q594" s="70">
        <f>'90146_2025'!Q38</f>
        <v>46347</v>
      </c>
      <c r="R594" s="463"/>
    </row>
    <row r="595" hidden="1">
      <c r="A595" s="326" t="s">
        <v>1003</v>
      </c>
      <c r="B595" s="33">
        <v>4.0</v>
      </c>
      <c r="C595" s="33" t="s">
        <v>255</v>
      </c>
      <c r="D595" s="33" t="s">
        <v>121</v>
      </c>
      <c r="E595" s="96">
        <v>1.0</v>
      </c>
      <c r="F595" s="43">
        <v>0.0</v>
      </c>
      <c r="G595" s="56">
        <f>'90146_2025'!F39</f>
        <v>0</v>
      </c>
      <c r="H595" s="40">
        <f>'90146_2025'!H39</f>
        <v>290000</v>
      </c>
      <c r="I595" s="40">
        <f>'90146_2025'!I39</f>
        <v>290000</v>
      </c>
      <c r="J595" s="64" t="s">
        <v>201</v>
      </c>
      <c r="K595" s="459" t="str">
        <f>'90146_2025'!K39</f>
        <v>MASTER L2H2 FURGÃO 150 CV DIESEL 0KM
</v>
      </c>
      <c r="L595" s="459" t="str">
        <f>'90146_2025'!L39</f>
        <v>29.987.662/0001-89
</v>
      </c>
      <c r="M595" s="459" t="str">
        <f>'90146_2025'!M39</f>
        <v>SOCIETE COMERCIO DE VEICULOS LTDA
</v>
      </c>
      <c r="N595" s="459" t="str">
        <f>'90146_2025'!N39</f>
        <v/>
      </c>
      <c r="O595" s="459" t="str">
        <f>'90146_2025'!O39</f>
        <v/>
      </c>
      <c r="P595" s="459" t="str">
        <f>'90146_2025'!P39</f>
        <v/>
      </c>
      <c r="Q595" s="63">
        <f>'90146_2025'!Q39</f>
        <v>46347</v>
      </c>
      <c r="R595" s="460"/>
    </row>
    <row r="596" hidden="1">
      <c r="A596" s="461" t="s">
        <v>1003</v>
      </c>
      <c r="B596" s="49">
        <v>4.0</v>
      </c>
      <c r="C596" s="49" t="s">
        <v>255</v>
      </c>
      <c r="D596" s="49" t="s">
        <v>121</v>
      </c>
      <c r="E596" s="106">
        <v>1.0</v>
      </c>
      <c r="F596" s="58">
        <v>0.0</v>
      </c>
      <c r="G596" s="67">
        <f>'90146_2025'!F40</f>
        <v>0</v>
      </c>
      <c r="H596" s="54">
        <f>'90146_2025'!H40</f>
        <v>290000</v>
      </c>
      <c r="I596" s="54">
        <f>'90146_2025'!I40</f>
        <v>290000</v>
      </c>
      <c r="J596" s="55" t="s">
        <v>178</v>
      </c>
      <c r="K596" s="462" t="str">
        <f>'90146_2025'!K40</f>
        <v>MASTER L2H2 FURGÃO 150 CV DIESEL 0KM
</v>
      </c>
      <c r="L596" s="462" t="str">
        <f>'90146_2025'!L40</f>
        <v>29.987.662/0001-89
</v>
      </c>
      <c r="M596" s="462" t="str">
        <f>'90146_2025'!M40</f>
        <v>SOCIETE COMERCIO DE VEICULOS LTDA
</v>
      </c>
      <c r="N596" s="462" t="str">
        <f>'90146_2025'!N40</f>
        <v/>
      </c>
      <c r="O596" s="462" t="str">
        <f>'90146_2025'!O40</f>
        <v/>
      </c>
      <c r="P596" s="462" t="str">
        <f>'90146_2025'!P40</f>
        <v/>
      </c>
      <c r="Q596" s="70">
        <f>'90146_2025'!Q40</f>
        <v>46347</v>
      </c>
      <c r="R596" s="463"/>
    </row>
    <row r="597" hidden="1">
      <c r="A597" s="326" t="s">
        <v>1003</v>
      </c>
      <c r="B597" s="33">
        <v>4.0</v>
      </c>
      <c r="C597" s="33" t="s">
        <v>255</v>
      </c>
      <c r="D597" s="33" t="s">
        <v>121</v>
      </c>
      <c r="E597" s="96">
        <v>1.0</v>
      </c>
      <c r="F597" s="43">
        <v>0.0</v>
      </c>
      <c r="G597" s="56">
        <f>'90146_2025'!F41</f>
        <v>1</v>
      </c>
      <c r="H597" s="40">
        <f>'90146_2025'!H41</f>
        <v>290000</v>
      </c>
      <c r="I597" s="40">
        <f>'90146_2025'!I41</f>
        <v>290000</v>
      </c>
      <c r="J597" s="64" t="s">
        <v>189</v>
      </c>
      <c r="K597" s="459" t="str">
        <f>'90146_2025'!K41</f>
        <v>MASTER L2H2 FURGÃO 150 CV DIESEL 0KM
</v>
      </c>
      <c r="L597" s="459" t="str">
        <f>'90146_2025'!L41</f>
        <v>29.987.662/0001-89
</v>
      </c>
      <c r="M597" s="459" t="str">
        <f>'90146_2025'!M41</f>
        <v>SOCIETE COMERCIO DE VEICULOS LTDA
</v>
      </c>
      <c r="N597" s="459" t="str">
        <f>'90146_2025'!N41</f>
        <v/>
      </c>
      <c r="O597" s="459" t="str">
        <f>'90146_2025'!O41</f>
        <v/>
      </c>
      <c r="P597" s="459" t="str">
        <f>'90146_2025'!P41</f>
        <v/>
      </c>
      <c r="Q597" s="63">
        <f>'90146_2025'!Q41</f>
        <v>46347</v>
      </c>
      <c r="R597" s="460"/>
    </row>
    <row r="598" hidden="1">
      <c r="A598" s="461" t="s">
        <v>1003</v>
      </c>
      <c r="B598" s="49">
        <v>4.0</v>
      </c>
      <c r="C598" s="49" t="s">
        <v>255</v>
      </c>
      <c r="D598" s="49" t="s">
        <v>121</v>
      </c>
      <c r="E598" s="106">
        <v>1.0</v>
      </c>
      <c r="F598" s="58">
        <v>0.0</v>
      </c>
      <c r="G598" s="67">
        <f>'90146_2025'!F42</f>
        <v>1</v>
      </c>
      <c r="H598" s="54">
        <f>'90146_2025'!H42</f>
        <v>290000</v>
      </c>
      <c r="I598" s="54">
        <f>'90146_2025'!I42</f>
        <v>290000</v>
      </c>
      <c r="J598" s="55" t="s">
        <v>192</v>
      </c>
      <c r="K598" s="462" t="str">
        <f>'90146_2025'!K42</f>
        <v>MASTER L2H2 FURGÃO 150 CV DIESEL 0KM
</v>
      </c>
      <c r="L598" s="462" t="str">
        <f>'90146_2025'!L42</f>
        <v>29.987.662/0001-89
</v>
      </c>
      <c r="M598" s="462" t="str">
        <f>'90146_2025'!M42</f>
        <v>SOCIETE COMERCIO DE VEICULOS LTDA
</v>
      </c>
      <c r="N598" s="462" t="str">
        <f>'90146_2025'!N42</f>
        <v/>
      </c>
      <c r="O598" s="462" t="str">
        <f>'90146_2025'!O42</f>
        <v/>
      </c>
      <c r="P598" s="462" t="str">
        <f>'90146_2025'!P42</f>
        <v/>
      </c>
      <c r="Q598" s="70">
        <f>'90146_2025'!Q42</f>
        <v>46347</v>
      </c>
      <c r="R598" s="463"/>
    </row>
    <row r="599" hidden="1">
      <c r="A599" s="326" t="s">
        <v>1003</v>
      </c>
      <c r="B599" s="33">
        <v>4.0</v>
      </c>
      <c r="C599" s="33" t="s">
        <v>255</v>
      </c>
      <c r="D599" s="33" t="s">
        <v>121</v>
      </c>
      <c r="E599" s="96">
        <v>1.0</v>
      </c>
      <c r="F599" s="43">
        <v>0.0</v>
      </c>
      <c r="G599" s="56">
        <f>'90146_2025'!F43</f>
        <v>0</v>
      </c>
      <c r="H599" s="40">
        <f>'90146_2025'!H43</f>
        <v>290000</v>
      </c>
      <c r="I599" s="40">
        <f>'90146_2025'!I43</f>
        <v>290000</v>
      </c>
      <c r="J599" s="64" t="s">
        <v>210</v>
      </c>
      <c r="K599" s="459" t="str">
        <f>'90146_2025'!K43</f>
        <v>MASTER L2H2 FURGÃO 150 CV DIESEL 0KM
</v>
      </c>
      <c r="L599" s="459" t="str">
        <f>'90146_2025'!L43</f>
        <v>29.987.662/0001-89
</v>
      </c>
      <c r="M599" s="459" t="str">
        <f>'90146_2025'!M43</f>
        <v>SOCIETE COMERCIO DE VEICULOS LTDA
</v>
      </c>
      <c r="N599" s="459" t="str">
        <f>'90146_2025'!N43</f>
        <v/>
      </c>
      <c r="O599" s="459" t="str">
        <f>'90146_2025'!O43</f>
        <v/>
      </c>
      <c r="P599" s="459" t="str">
        <f>'90146_2025'!P43</f>
        <v/>
      </c>
      <c r="Q599" s="63">
        <f>'90146_2025'!Q43</f>
        <v>46347</v>
      </c>
      <c r="R599" s="460"/>
    </row>
    <row r="600" hidden="1">
      <c r="A600" s="461" t="s">
        <v>1003</v>
      </c>
      <c r="B600" s="49">
        <v>4.0</v>
      </c>
      <c r="C600" s="49" t="s">
        <v>255</v>
      </c>
      <c r="D600" s="49" t="s">
        <v>121</v>
      </c>
      <c r="E600" s="106">
        <v>1.0</v>
      </c>
      <c r="F600" s="58">
        <v>0.0</v>
      </c>
      <c r="G600" s="67">
        <f>'90146_2025'!F44</f>
        <v>0</v>
      </c>
      <c r="H600" s="54">
        <f>'90146_2025'!H44</f>
        <v>290000</v>
      </c>
      <c r="I600" s="54">
        <f>'90146_2025'!I44</f>
        <v>290000</v>
      </c>
      <c r="J600" s="55" t="s">
        <v>214</v>
      </c>
      <c r="K600" s="462" t="str">
        <f>'90146_2025'!K44</f>
        <v>MASTER L2H2 FURGÃO 150 CV DIESEL 0KM
</v>
      </c>
      <c r="L600" s="462" t="str">
        <f>'90146_2025'!L44</f>
        <v>29.987.662/0001-89
</v>
      </c>
      <c r="M600" s="462" t="str">
        <f>'90146_2025'!M44</f>
        <v>SOCIETE COMERCIO DE VEICULOS LTDA
</v>
      </c>
      <c r="N600" s="462" t="str">
        <f>'90146_2025'!N44</f>
        <v/>
      </c>
      <c r="O600" s="462" t="str">
        <f>'90146_2025'!O44</f>
        <v/>
      </c>
      <c r="P600" s="462" t="str">
        <f>'90146_2025'!P44</f>
        <v/>
      </c>
      <c r="Q600" s="70">
        <f>'90146_2025'!Q44</f>
        <v>46347</v>
      </c>
      <c r="R600" s="463"/>
    </row>
    <row r="601" hidden="1">
      <c r="A601" s="326" t="s">
        <v>1003</v>
      </c>
      <c r="B601" s="33">
        <v>4.0</v>
      </c>
      <c r="C601" s="33" t="s">
        <v>255</v>
      </c>
      <c r="D601" s="33" t="s">
        <v>121</v>
      </c>
      <c r="E601" s="116">
        <v>1.0</v>
      </c>
      <c r="F601" s="43">
        <v>0.0</v>
      </c>
      <c r="G601" s="56">
        <f>'90146_2025'!F45</f>
        <v>1</v>
      </c>
      <c r="H601" s="40">
        <f>'90146_2025'!H45</f>
        <v>290000</v>
      </c>
      <c r="I601" s="40">
        <f>'90146_2025'!I45</f>
        <v>290000</v>
      </c>
      <c r="J601" s="118" t="s">
        <v>282</v>
      </c>
      <c r="K601" s="459" t="str">
        <f>'90146_2025'!K45</f>
        <v>MASTER L2H2 FURGÃO 150 CV DIESEL 0KM
</v>
      </c>
      <c r="L601" s="459" t="str">
        <f>'90146_2025'!L45</f>
        <v>29.987.662/0001-89
</v>
      </c>
      <c r="M601" s="459" t="str">
        <f>'90146_2025'!M45</f>
        <v>SOCIETE COMERCIO DE VEICULOS LTDA
</v>
      </c>
      <c r="N601" s="459" t="str">
        <f>'90146_2025'!N45</f>
        <v/>
      </c>
      <c r="O601" s="459" t="str">
        <f>'90146_2025'!O45</f>
        <v/>
      </c>
      <c r="P601" s="459" t="str">
        <f>'90146_2025'!P45</f>
        <v/>
      </c>
      <c r="Q601" s="63">
        <f>'90146_2025'!Q45</f>
        <v>46347</v>
      </c>
      <c r="R601" s="460"/>
    </row>
    <row r="602" hidden="1">
      <c r="A602" s="461" t="s">
        <v>1003</v>
      </c>
      <c r="B602" s="49">
        <v>5.0</v>
      </c>
      <c r="C602" s="49" t="s">
        <v>283</v>
      </c>
      <c r="D602" s="49" t="s">
        <v>198</v>
      </c>
      <c r="E602" s="55">
        <v>1.0</v>
      </c>
      <c r="F602" s="58">
        <v>0.0</v>
      </c>
      <c r="G602" s="67">
        <f>'90146_2025'!F46</f>
        <v>1</v>
      </c>
      <c r="H602" s="54" t="str">
        <f>'90146_2025'!H46</f>
        <v/>
      </c>
      <c r="I602" s="54">
        <f>'90146_2025'!I46</f>
        <v>0</v>
      </c>
      <c r="J602" s="55" t="s">
        <v>58</v>
      </c>
      <c r="K602" s="462" t="str">
        <f>'90146_2025'!K46</f>
        <v/>
      </c>
      <c r="L602" s="462" t="str">
        <f>'90146_2025'!L46</f>
        <v/>
      </c>
      <c r="M602" s="462" t="str">
        <f>'90146_2025'!M46</f>
        <v/>
      </c>
      <c r="N602" s="462" t="str">
        <f>'90146_2025'!N46</f>
        <v/>
      </c>
      <c r="O602" s="462" t="str">
        <f>'90146_2025'!O46</f>
        <v/>
      </c>
      <c r="P602" s="462" t="str">
        <f>'90146_2025'!P46</f>
        <v/>
      </c>
      <c r="Q602" s="70" t="str">
        <f>'90146_2025'!Q46</f>
        <v/>
      </c>
      <c r="R602" s="463"/>
    </row>
    <row r="603" hidden="1">
      <c r="A603" s="326" t="s">
        <v>1003</v>
      </c>
      <c r="B603" s="33">
        <v>5.0</v>
      </c>
      <c r="C603" s="33" t="s">
        <v>283</v>
      </c>
      <c r="D603" s="33" t="s">
        <v>198</v>
      </c>
      <c r="E603" s="64">
        <v>1.0</v>
      </c>
      <c r="F603" s="43">
        <v>0.0</v>
      </c>
      <c r="G603" s="56">
        <f>'90146_2025'!F47</f>
        <v>1</v>
      </c>
      <c r="H603" s="40" t="str">
        <f>'90146_2025'!H47</f>
        <v/>
      </c>
      <c r="I603" s="40">
        <f>'90146_2025'!I47</f>
        <v>0</v>
      </c>
      <c r="J603" s="64" t="s">
        <v>103</v>
      </c>
      <c r="K603" s="459" t="str">
        <f>'90146_2025'!K47</f>
        <v/>
      </c>
      <c r="L603" s="459" t="str">
        <f>'90146_2025'!L47</f>
        <v/>
      </c>
      <c r="M603" s="459" t="str">
        <f>'90146_2025'!M47</f>
        <v/>
      </c>
      <c r="N603" s="459" t="str">
        <f>'90146_2025'!N47</f>
        <v/>
      </c>
      <c r="O603" s="459" t="str">
        <f>'90146_2025'!O47</f>
        <v/>
      </c>
      <c r="P603" s="459" t="str">
        <f>'90146_2025'!P47</f>
        <v/>
      </c>
      <c r="Q603" s="63" t="str">
        <f>'90146_2025'!Q47</f>
        <v/>
      </c>
      <c r="R603" s="460"/>
    </row>
    <row r="604" hidden="1">
      <c r="A604" s="461" t="s">
        <v>1003</v>
      </c>
      <c r="B604" s="49">
        <v>5.0</v>
      </c>
      <c r="C604" s="49" t="s">
        <v>283</v>
      </c>
      <c r="D604" s="49" t="s">
        <v>198</v>
      </c>
      <c r="E604" s="55">
        <v>1.0</v>
      </c>
      <c r="F604" s="58">
        <v>0.0</v>
      </c>
      <c r="G604" s="67">
        <f>'90146_2025'!F48</f>
        <v>1</v>
      </c>
      <c r="H604" s="54" t="str">
        <f>'90146_2025'!H48</f>
        <v/>
      </c>
      <c r="I604" s="54">
        <f>'90146_2025'!I48</f>
        <v>0</v>
      </c>
      <c r="J604" s="55" t="s">
        <v>142</v>
      </c>
      <c r="K604" s="462" t="str">
        <f>'90146_2025'!K48</f>
        <v/>
      </c>
      <c r="L604" s="462" t="str">
        <f>'90146_2025'!L48</f>
        <v/>
      </c>
      <c r="M604" s="462" t="str">
        <f>'90146_2025'!M48</f>
        <v/>
      </c>
      <c r="N604" s="462" t="str">
        <f>'90146_2025'!N48</f>
        <v/>
      </c>
      <c r="O604" s="462" t="str">
        <f>'90146_2025'!O48</f>
        <v/>
      </c>
      <c r="P604" s="462" t="str">
        <f>'90146_2025'!P48</f>
        <v/>
      </c>
      <c r="Q604" s="70" t="str">
        <f>'90146_2025'!Q48</f>
        <v/>
      </c>
      <c r="R604" s="463"/>
    </row>
    <row r="605" hidden="1">
      <c r="A605" s="326" t="s">
        <v>1003</v>
      </c>
      <c r="B605" s="33">
        <v>5.0</v>
      </c>
      <c r="C605" s="33" t="s">
        <v>283</v>
      </c>
      <c r="D605" s="33" t="s">
        <v>198</v>
      </c>
      <c r="E605" s="64">
        <v>1.0</v>
      </c>
      <c r="F605" s="43">
        <v>0.0</v>
      </c>
      <c r="G605" s="56">
        <f>'90146_2025'!F49</f>
        <v>1</v>
      </c>
      <c r="H605" s="40" t="str">
        <f>'90146_2025'!H49</f>
        <v/>
      </c>
      <c r="I605" s="40">
        <f>'90146_2025'!I49</f>
        <v>0</v>
      </c>
      <c r="J605" s="64" t="s">
        <v>228</v>
      </c>
      <c r="K605" s="459" t="str">
        <f>'90146_2025'!K49</f>
        <v/>
      </c>
      <c r="L605" s="459" t="str">
        <f>'90146_2025'!L49</f>
        <v/>
      </c>
      <c r="M605" s="459" t="str">
        <f>'90146_2025'!M49</f>
        <v/>
      </c>
      <c r="N605" s="459" t="str">
        <f>'90146_2025'!N49</f>
        <v/>
      </c>
      <c r="O605" s="459" t="str">
        <f>'90146_2025'!O49</f>
        <v/>
      </c>
      <c r="P605" s="459" t="str">
        <f>'90146_2025'!P49</f>
        <v/>
      </c>
      <c r="Q605" s="63" t="str">
        <f>'90146_2025'!Q49</f>
        <v/>
      </c>
      <c r="R605" s="460"/>
    </row>
    <row r="606" hidden="1">
      <c r="A606" s="461" t="s">
        <v>1003</v>
      </c>
      <c r="B606" s="49">
        <v>5.0</v>
      </c>
      <c r="C606" s="49" t="s">
        <v>283</v>
      </c>
      <c r="D606" s="49" t="s">
        <v>198</v>
      </c>
      <c r="E606" s="55">
        <v>1.0</v>
      </c>
      <c r="F606" s="58">
        <v>0.0</v>
      </c>
      <c r="G606" s="67">
        <f>'90146_2025'!F50</f>
        <v>1</v>
      </c>
      <c r="H606" s="54" t="str">
        <f>'90146_2025'!H50</f>
        <v/>
      </c>
      <c r="I606" s="54">
        <f>'90146_2025'!I50</f>
        <v>0</v>
      </c>
      <c r="J606" s="55" t="s">
        <v>111</v>
      </c>
      <c r="K606" s="462" t="str">
        <f>'90146_2025'!K50</f>
        <v/>
      </c>
      <c r="L606" s="462" t="str">
        <f>'90146_2025'!L50</f>
        <v/>
      </c>
      <c r="M606" s="462" t="str">
        <f>'90146_2025'!M50</f>
        <v/>
      </c>
      <c r="N606" s="462" t="str">
        <f>'90146_2025'!N50</f>
        <v/>
      </c>
      <c r="O606" s="462" t="str">
        <f>'90146_2025'!O50</f>
        <v/>
      </c>
      <c r="P606" s="462" t="str">
        <f>'90146_2025'!P50</f>
        <v/>
      </c>
      <c r="Q606" s="70" t="str">
        <f>'90146_2025'!Q50</f>
        <v/>
      </c>
      <c r="R606" s="463"/>
    </row>
    <row r="607" hidden="1">
      <c r="A607" s="326" t="s">
        <v>1003</v>
      </c>
      <c r="B607" s="33">
        <v>5.0</v>
      </c>
      <c r="C607" s="33" t="s">
        <v>283</v>
      </c>
      <c r="D607" s="33" t="s">
        <v>198</v>
      </c>
      <c r="E607" s="64">
        <v>1.0</v>
      </c>
      <c r="F607" s="43">
        <v>0.0</v>
      </c>
      <c r="G607" s="56">
        <f>'90146_2025'!F51</f>
        <v>1</v>
      </c>
      <c r="H607" s="40" t="str">
        <f>'90146_2025'!H51</f>
        <v/>
      </c>
      <c r="I607" s="40">
        <f>'90146_2025'!I51</f>
        <v>0</v>
      </c>
      <c r="J607" s="64" t="s">
        <v>160</v>
      </c>
      <c r="K607" s="459" t="str">
        <f>'90146_2025'!K51</f>
        <v/>
      </c>
      <c r="L607" s="459" t="str">
        <f>'90146_2025'!L51</f>
        <v/>
      </c>
      <c r="M607" s="459" t="str">
        <f>'90146_2025'!M51</f>
        <v/>
      </c>
      <c r="N607" s="459" t="str">
        <f>'90146_2025'!N51</f>
        <v/>
      </c>
      <c r="O607" s="459" t="str">
        <f>'90146_2025'!O51</f>
        <v/>
      </c>
      <c r="P607" s="459" t="str">
        <f>'90146_2025'!P51</f>
        <v/>
      </c>
      <c r="Q607" s="63" t="str">
        <f>'90146_2025'!Q51</f>
        <v/>
      </c>
      <c r="R607" s="460"/>
    </row>
    <row r="608" hidden="1">
      <c r="A608" s="461" t="s">
        <v>1003</v>
      </c>
      <c r="B608" s="49">
        <v>5.0</v>
      </c>
      <c r="C608" s="49" t="s">
        <v>283</v>
      </c>
      <c r="D608" s="49" t="s">
        <v>198</v>
      </c>
      <c r="E608" s="55">
        <v>1.0</v>
      </c>
      <c r="F608" s="58">
        <v>0.0</v>
      </c>
      <c r="G608" s="67">
        <f>'90146_2025'!F52</f>
        <v>1</v>
      </c>
      <c r="H608" s="54" t="str">
        <f>'90146_2025'!H52</f>
        <v/>
      </c>
      <c r="I608" s="54">
        <f>'90146_2025'!I52</f>
        <v>0</v>
      </c>
      <c r="J608" s="55" t="s">
        <v>189</v>
      </c>
      <c r="K608" s="462" t="str">
        <f>'90146_2025'!K52</f>
        <v/>
      </c>
      <c r="L608" s="462" t="str">
        <f>'90146_2025'!L52</f>
        <v/>
      </c>
      <c r="M608" s="462" t="str">
        <f>'90146_2025'!M52</f>
        <v/>
      </c>
      <c r="N608" s="462" t="str">
        <f>'90146_2025'!N52</f>
        <v/>
      </c>
      <c r="O608" s="462" t="str">
        <f>'90146_2025'!O52</f>
        <v/>
      </c>
      <c r="P608" s="462" t="str">
        <f>'90146_2025'!P52</f>
        <v/>
      </c>
      <c r="Q608" s="70" t="str">
        <f>'90146_2025'!Q52</f>
        <v/>
      </c>
      <c r="R608" s="463"/>
    </row>
    <row r="609" hidden="1">
      <c r="A609" s="326" t="s">
        <v>1003</v>
      </c>
      <c r="B609" s="33">
        <v>5.0</v>
      </c>
      <c r="C609" s="33" t="s">
        <v>283</v>
      </c>
      <c r="D609" s="33" t="s">
        <v>198</v>
      </c>
      <c r="E609" s="64">
        <v>1.0</v>
      </c>
      <c r="F609" s="43">
        <v>0.0</v>
      </c>
      <c r="G609" s="56">
        <f>'90146_2025'!F53</f>
        <v>1</v>
      </c>
      <c r="H609" s="40" t="str">
        <f>'90146_2025'!H53</f>
        <v/>
      </c>
      <c r="I609" s="40">
        <f>'90146_2025'!I53</f>
        <v>0</v>
      </c>
      <c r="J609" s="64" t="s">
        <v>192</v>
      </c>
      <c r="K609" s="459" t="str">
        <f>'90146_2025'!K53</f>
        <v/>
      </c>
      <c r="L609" s="459" t="str">
        <f>'90146_2025'!L53</f>
        <v/>
      </c>
      <c r="M609" s="459" t="str">
        <f>'90146_2025'!M53</f>
        <v/>
      </c>
      <c r="N609" s="459" t="str">
        <f>'90146_2025'!N53</f>
        <v/>
      </c>
      <c r="O609" s="459" t="str">
        <f>'90146_2025'!O53</f>
        <v/>
      </c>
      <c r="P609" s="459" t="str">
        <f>'90146_2025'!P53</f>
        <v/>
      </c>
      <c r="Q609" s="63" t="str">
        <f>'90146_2025'!Q53</f>
        <v/>
      </c>
      <c r="R609" s="460"/>
    </row>
    <row r="610" hidden="1">
      <c r="A610" s="461" t="s">
        <v>1003</v>
      </c>
      <c r="B610" s="49">
        <v>5.0</v>
      </c>
      <c r="C610" s="49" t="s">
        <v>283</v>
      </c>
      <c r="D610" s="49" t="s">
        <v>198</v>
      </c>
      <c r="E610" s="55">
        <v>1.0</v>
      </c>
      <c r="F610" s="58">
        <v>0.0</v>
      </c>
      <c r="G610" s="67">
        <f>'90146_2025'!F54</f>
        <v>1</v>
      </c>
      <c r="H610" s="54" t="str">
        <f>'90146_2025'!H54</f>
        <v/>
      </c>
      <c r="I610" s="54">
        <f>'90146_2025'!I54</f>
        <v>0</v>
      </c>
      <c r="J610" s="55" t="s">
        <v>304</v>
      </c>
      <c r="K610" s="462" t="str">
        <f>'90146_2025'!K54</f>
        <v/>
      </c>
      <c r="L610" s="462" t="str">
        <f>'90146_2025'!L54</f>
        <v/>
      </c>
      <c r="M610" s="462" t="str">
        <f>'90146_2025'!M54</f>
        <v/>
      </c>
      <c r="N610" s="462" t="str">
        <f>'90146_2025'!N54</f>
        <v/>
      </c>
      <c r="O610" s="462" t="str">
        <f>'90146_2025'!O54</f>
        <v/>
      </c>
      <c r="P610" s="462" t="str">
        <f>'90146_2025'!P54</f>
        <v/>
      </c>
      <c r="Q610" s="70" t="str">
        <f>'90146_2025'!Q54</f>
        <v/>
      </c>
      <c r="R610" s="463"/>
    </row>
    <row r="611" hidden="1">
      <c r="A611" s="326" t="s">
        <v>1003</v>
      </c>
      <c r="B611" s="33">
        <v>5.0</v>
      </c>
      <c r="C611" s="33" t="s">
        <v>283</v>
      </c>
      <c r="D611" s="33" t="s">
        <v>198</v>
      </c>
      <c r="E611" s="64">
        <v>1.0</v>
      </c>
      <c r="F611" s="43">
        <v>0.0</v>
      </c>
      <c r="G611" s="56">
        <f>'90146_2025'!F55</f>
        <v>1</v>
      </c>
      <c r="H611" s="40" t="str">
        <f>'90146_2025'!H55</f>
        <v/>
      </c>
      <c r="I611" s="40">
        <f>'90146_2025'!I55</f>
        <v>0</v>
      </c>
      <c r="J611" s="64" t="s">
        <v>214</v>
      </c>
      <c r="K611" s="459" t="str">
        <f>'90146_2025'!K55</f>
        <v/>
      </c>
      <c r="L611" s="459" t="str">
        <f>'90146_2025'!L55</f>
        <v/>
      </c>
      <c r="M611" s="459" t="str">
        <f>'90146_2025'!M55</f>
        <v/>
      </c>
      <c r="N611" s="459" t="str">
        <f>'90146_2025'!N55</f>
        <v/>
      </c>
      <c r="O611" s="459" t="str">
        <f>'90146_2025'!O55</f>
        <v/>
      </c>
      <c r="P611" s="459" t="str">
        <f>'90146_2025'!P55</f>
        <v/>
      </c>
      <c r="Q611" s="63" t="str">
        <f>'90146_2025'!Q55</f>
        <v/>
      </c>
      <c r="R611" s="460"/>
    </row>
    <row r="612" hidden="1">
      <c r="A612" s="461" t="s">
        <v>1003</v>
      </c>
      <c r="B612" s="49">
        <v>6.0</v>
      </c>
      <c r="C612" s="49" t="s">
        <v>308</v>
      </c>
      <c r="D612" s="49" t="s">
        <v>224</v>
      </c>
      <c r="E612" s="55">
        <v>1.0</v>
      </c>
      <c r="F612" s="58">
        <v>0.0</v>
      </c>
      <c r="G612" s="67">
        <f>'90146_2025'!F56</f>
        <v>0</v>
      </c>
      <c r="H612" s="54">
        <f>'90146_2025'!H56</f>
        <v>117110</v>
      </c>
      <c r="I612" s="54">
        <f>'90146_2025'!I56</f>
        <v>117110</v>
      </c>
      <c r="J612" s="55" t="s">
        <v>58</v>
      </c>
      <c r="K612" s="462" t="str">
        <f>'90146_2025'!K56</f>
        <v>STRADA ENDURANCE CABINE PLUS 1.3 FLEX
</v>
      </c>
      <c r="L612" s="462" t="str">
        <f>'90146_2025'!L56</f>
        <v>60.191.278/0001-15</v>
      </c>
      <c r="M612" s="462" t="str">
        <f>'90146_2025'!M56</f>
        <v>CABRAL AUTOMOVEIS MULTIMARCAS LTDA</v>
      </c>
      <c r="N612" s="462" t="str">
        <f>'90146_2025'!N56</f>
        <v>(65)99973-9698</v>
      </c>
      <c r="O612" s="462" t="str">
        <f>'90146_2025'!O56</f>
        <v>contato@grupoaccomercio.com.br</v>
      </c>
      <c r="P612" s="462" t="str">
        <f>'90146_2025'!P56</f>
        <v/>
      </c>
      <c r="Q612" s="70">
        <f>'90146_2025'!Q56</f>
        <v>46353</v>
      </c>
      <c r="R612" s="463"/>
    </row>
    <row r="613" hidden="1">
      <c r="A613" s="326" t="s">
        <v>1003</v>
      </c>
      <c r="B613" s="33">
        <v>6.0</v>
      </c>
      <c r="C613" s="33" t="s">
        <v>308</v>
      </c>
      <c r="D613" s="33" t="s">
        <v>224</v>
      </c>
      <c r="E613" s="64">
        <v>1.0</v>
      </c>
      <c r="F613" s="43">
        <v>0.0</v>
      </c>
      <c r="G613" s="56">
        <f>'90146_2025'!F57</f>
        <v>0</v>
      </c>
      <c r="H613" s="40">
        <f>'90146_2025'!H57</f>
        <v>117110</v>
      </c>
      <c r="I613" s="40">
        <f>'90146_2025'!I57</f>
        <v>117110</v>
      </c>
      <c r="J613" s="64" t="s">
        <v>85</v>
      </c>
      <c r="K613" s="459" t="str">
        <f>'90146_2025'!K57</f>
        <v>STRADA ENDURANCE CABINE PLUS 1.3 FLEX
</v>
      </c>
      <c r="L613" s="459" t="str">
        <f>'90146_2025'!L57</f>
        <v>60.191.278/0001-15</v>
      </c>
      <c r="M613" s="459" t="str">
        <f>'90146_2025'!M57</f>
        <v>CABRAL AUTOMOVEIS MULTIMARCAS LTDA</v>
      </c>
      <c r="N613" s="459" t="str">
        <f>'90146_2025'!N57</f>
        <v>(65)99973-9698</v>
      </c>
      <c r="O613" s="459" t="str">
        <f>'90146_2025'!O57</f>
        <v>contato@grupoaccomercio.com.br</v>
      </c>
      <c r="P613" s="459" t="str">
        <f>'90146_2025'!P57</f>
        <v/>
      </c>
      <c r="Q613" s="63">
        <f>'90146_2025'!Q57</f>
        <v>46353</v>
      </c>
      <c r="R613" s="460"/>
    </row>
    <row r="614" hidden="1">
      <c r="A614" s="461" t="s">
        <v>1003</v>
      </c>
      <c r="B614" s="49">
        <v>6.0</v>
      </c>
      <c r="C614" s="49" t="s">
        <v>308</v>
      </c>
      <c r="D614" s="49" t="s">
        <v>224</v>
      </c>
      <c r="E614" s="55">
        <v>1.0</v>
      </c>
      <c r="F614" s="58">
        <v>0.0</v>
      </c>
      <c r="G614" s="67">
        <f>'90146_2025'!F58</f>
        <v>0</v>
      </c>
      <c r="H614" s="54">
        <f>'90146_2025'!H58</f>
        <v>117110</v>
      </c>
      <c r="I614" s="54">
        <f>'90146_2025'!I58</f>
        <v>117110</v>
      </c>
      <c r="J614" s="55" t="s">
        <v>103</v>
      </c>
      <c r="K614" s="462" t="str">
        <f>'90146_2025'!K58</f>
        <v>STRADA ENDURANCE CABINE PLUS 1.3 FLEX
</v>
      </c>
      <c r="L614" s="462" t="str">
        <f>'90146_2025'!L58</f>
        <v>60.191.278/0001-15</v>
      </c>
      <c r="M614" s="462" t="str">
        <f>'90146_2025'!M58</f>
        <v>CABRAL AUTOMOVEIS MULTIMARCAS LTDA</v>
      </c>
      <c r="N614" s="462" t="str">
        <f>'90146_2025'!N58</f>
        <v>(65)99973-9698</v>
      </c>
      <c r="O614" s="462" t="str">
        <f>'90146_2025'!O58</f>
        <v>contato@grupoaccomercio.com.br</v>
      </c>
      <c r="P614" s="462" t="str">
        <f>'90146_2025'!P58</f>
        <v/>
      </c>
      <c r="Q614" s="70">
        <f>'90146_2025'!Q58</f>
        <v>46353</v>
      </c>
      <c r="R614" s="463"/>
    </row>
    <row r="615" hidden="1">
      <c r="A615" s="326" t="s">
        <v>1003</v>
      </c>
      <c r="B615" s="33">
        <v>6.0</v>
      </c>
      <c r="C615" s="33" t="s">
        <v>308</v>
      </c>
      <c r="D615" s="33" t="s">
        <v>224</v>
      </c>
      <c r="E615" s="64">
        <v>1.0</v>
      </c>
      <c r="F615" s="43">
        <v>0.0</v>
      </c>
      <c r="G615" s="56">
        <f>'90146_2025'!F59</f>
        <v>0</v>
      </c>
      <c r="H615" s="40">
        <f>'90146_2025'!H59</f>
        <v>117110</v>
      </c>
      <c r="I615" s="40">
        <f>'90146_2025'!I59</f>
        <v>117110</v>
      </c>
      <c r="J615" s="64" t="s">
        <v>134</v>
      </c>
      <c r="K615" s="459" t="str">
        <f>'90146_2025'!K59</f>
        <v>STRADA ENDURANCE CABINE PLUS 1.3 FLEX
</v>
      </c>
      <c r="L615" s="459" t="str">
        <f>'90146_2025'!L59</f>
        <v>60.191.278/0001-15</v>
      </c>
      <c r="M615" s="459" t="str">
        <f>'90146_2025'!M59</f>
        <v>CABRAL AUTOMOVEIS MULTIMARCAS LTDA</v>
      </c>
      <c r="N615" s="459" t="str">
        <f>'90146_2025'!N59</f>
        <v>(65)99973-9698</v>
      </c>
      <c r="O615" s="459" t="str">
        <f>'90146_2025'!O59</f>
        <v>contato@grupoaccomercio.com.br</v>
      </c>
      <c r="P615" s="459" t="str">
        <f>'90146_2025'!P59</f>
        <v/>
      </c>
      <c r="Q615" s="63">
        <f>'90146_2025'!Q59</f>
        <v>46353</v>
      </c>
      <c r="R615" s="460"/>
    </row>
    <row r="616" hidden="1">
      <c r="A616" s="461" t="s">
        <v>1003</v>
      </c>
      <c r="B616" s="49">
        <v>6.0</v>
      </c>
      <c r="C616" s="49" t="s">
        <v>308</v>
      </c>
      <c r="D616" s="49" t="s">
        <v>224</v>
      </c>
      <c r="E616" s="55">
        <v>1.0</v>
      </c>
      <c r="F616" s="58">
        <v>0.0</v>
      </c>
      <c r="G616" s="67">
        <f>'90146_2025'!F60</f>
        <v>0</v>
      </c>
      <c r="H616" s="54">
        <f>'90146_2025'!H60</f>
        <v>117110</v>
      </c>
      <c r="I616" s="54">
        <f>'90146_2025'!I60</f>
        <v>117110</v>
      </c>
      <c r="J616" s="55" t="s">
        <v>154</v>
      </c>
      <c r="K616" s="462" t="str">
        <f>'90146_2025'!K60</f>
        <v>STRADA ENDURANCE CABINE PLUS 1.3 FLEX
</v>
      </c>
      <c r="L616" s="462" t="str">
        <f>'90146_2025'!L60</f>
        <v>60.191.278/0001-15</v>
      </c>
      <c r="M616" s="462" t="str">
        <f>'90146_2025'!M60</f>
        <v>CABRAL AUTOMOVEIS MULTIMARCAS LTDA</v>
      </c>
      <c r="N616" s="462" t="str">
        <f>'90146_2025'!N60</f>
        <v>(65)99973-9698</v>
      </c>
      <c r="O616" s="462" t="str">
        <f>'90146_2025'!O60</f>
        <v>contato@grupoaccomercio.com.br</v>
      </c>
      <c r="P616" s="462" t="str">
        <f>'90146_2025'!P60</f>
        <v/>
      </c>
      <c r="Q616" s="70">
        <f>'90146_2025'!Q60</f>
        <v>46353</v>
      </c>
      <c r="R616" s="463"/>
    </row>
    <row r="617" hidden="1">
      <c r="A617" s="326" t="s">
        <v>1003</v>
      </c>
      <c r="B617" s="33">
        <v>6.0</v>
      </c>
      <c r="C617" s="33" t="s">
        <v>308</v>
      </c>
      <c r="D617" s="33" t="s">
        <v>224</v>
      </c>
      <c r="E617" s="64">
        <v>1.0</v>
      </c>
      <c r="F617" s="43">
        <v>0.0</v>
      </c>
      <c r="G617" s="56">
        <f>'90146_2025'!F61</f>
        <v>0</v>
      </c>
      <c r="H617" s="40">
        <f>'90146_2025'!H61</f>
        <v>117110</v>
      </c>
      <c r="I617" s="40">
        <f>'90146_2025'!I61</f>
        <v>117110</v>
      </c>
      <c r="J617" s="64" t="s">
        <v>231</v>
      </c>
      <c r="K617" s="459" t="str">
        <f>'90146_2025'!K61</f>
        <v>STRADA ENDURANCE CABINE PLUS 1.3 FLEX
</v>
      </c>
      <c r="L617" s="459" t="str">
        <f>'90146_2025'!L61</f>
        <v>60.191.278/0001-15</v>
      </c>
      <c r="M617" s="459" t="str">
        <f>'90146_2025'!M61</f>
        <v>CABRAL AUTOMOVEIS MULTIMARCAS LTDA</v>
      </c>
      <c r="N617" s="459" t="str">
        <f>'90146_2025'!N61</f>
        <v>(65)99973-9698</v>
      </c>
      <c r="O617" s="459" t="str">
        <f>'90146_2025'!O61</f>
        <v>contato@grupoaccomercio.com.br</v>
      </c>
      <c r="P617" s="459" t="str">
        <f>'90146_2025'!P61</f>
        <v/>
      </c>
      <c r="Q617" s="63">
        <f>'90146_2025'!Q61</f>
        <v>46353</v>
      </c>
      <c r="R617" s="460"/>
    </row>
    <row r="618" hidden="1">
      <c r="A618" s="461" t="s">
        <v>1003</v>
      </c>
      <c r="B618" s="49">
        <v>6.0</v>
      </c>
      <c r="C618" s="49" t="s">
        <v>308</v>
      </c>
      <c r="D618" s="49" t="s">
        <v>224</v>
      </c>
      <c r="E618" s="55">
        <v>1.0</v>
      </c>
      <c r="F618" s="58">
        <v>0.0</v>
      </c>
      <c r="G618" s="67">
        <f>'90146_2025'!F62</f>
        <v>0</v>
      </c>
      <c r="H618" s="54">
        <f>'90146_2025'!H62</f>
        <v>117110</v>
      </c>
      <c r="I618" s="54">
        <f>'90146_2025'!I62</f>
        <v>117110</v>
      </c>
      <c r="J618" s="55" t="s">
        <v>160</v>
      </c>
      <c r="K618" s="462" t="str">
        <f>'90146_2025'!K62</f>
        <v>STRADA ENDURANCE CABINE PLUS 1.3 FLEX
</v>
      </c>
      <c r="L618" s="462" t="str">
        <f>'90146_2025'!L62</f>
        <v>60.191.278/0001-15</v>
      </c>
      <c r="M618" s="462" t="str">
        <f>'90146_2025'!M62</f>
        <v>CABRAL AUTOMOVEIS MULTIMARCAS LTDA</v>
      </c>
      <c r="N618" s="462" t="str">
        <f>'90146_2025'!N62</f>
        <v>(65)99973-9698</v>
      </c>
      <c r="O618" s="462" t="str">
        <f>'90146_2025'!O62</f>
        <v>contato@grupoaccomercio.com.br</v>
      </c>
      <c r="P618" s="462" t="str">
        <f>'90146_2025'!P62</f>
        <v/>
      </c>
      <c r="Q618" s="70">
        <f>'90146_2025'!Q62</f>
        <v>46353</v>
      </c>
      <c r="R618" s="463"/>
    </row>
    <row r="619" hidden="1">
      <c r="A619" s="326" t="s">
        <v>1003</v>
      </c>
      <c r="B619" s="33">
        <v>6.0</v>
      </c>
      <c r="C619" s="33" t="s">
        <v>308</v>
      </c>
      <c r="D619" s="33" t="s">
        <v>224</v>
      </c>
      <c r="E619" s="64">
        <v>1.0</v>
      </c>
      <c r="F619" s="43">
        <v>0.0</v>
      </c>
      <c r="G619" s="56">
        <f>'90146_2025'!F63</f>
        <v>0</v>
      </c>
      <c r="H619" s="40">
        <f>'90146_2025'!H63</f>
        <v>117110</v>
      </c>
      <c r="I619" s="40">
        <f>'90146_2025'!I63</f>
        <v>117110</v>
      </c>
      <c r="J619" s="64" t="s">
        <v>210</v>
      </c>
      <c r="K619" s="459" t="str">
        <f>'90146_2025'!K63</f>
        <v>STRADA ENDURANCE CABINE PLUS 1.3 FLEX
</v>
      </c>
      <c r="L619" s="459" t="str">
        <f>'90146_2025'!L63</f>
        <v>60.191.278/0001-15</v>
      </c>
      <c r="M619" s="459" t="str">
        <f>'90146_2025'!M63</f>
        <v>CABRAL AUTOMOVEIS MULTIMARCAS LTDA</v>
      </c>
      <c r="N619" s="459" t="str">
        <f>'90146_2025'!N63</f>
        <v>(65)99973-9698</v>
      </c>
      <c r="O619" s="459" t="str">
        <f>'90146_2025'!O63</f>
        <v>contato@grupoaccomercio.com.br</v>
      </c>
      <c r="P619" s="459" t="str">
        <f>'90146_2025'!P63</f>
        <v/>
      </c>
      <c r="Q619" s="63">
        <f>'90146_2025'!Q63</f>
        <v>46353</v>
      </c>
      <c r="R619" s="460"/>
    </row>
    <row r="620" hidden="1">
      <c r="A620" s="461" t="s">
        <v>1003</v>
      </c>
      <c r="B620" s="49">
        <v>6.0</v>
      </c>
      <c r="C620" s="49" t="s">
        <v>308</v>
      </c>
      <c r="D620" s="49" t="s">
        <v>224</v>
      </c>
      <c r="E620" s="55">
        <v>1.0</v>
      </c>
      <c r="F620" s="58">
        <v>0.0</v>
      </c>
      <c r="G620" s="67">
        <f>'90146_2025'!F64</f>
        <v>0</v>
      </c>
      <c r="H620" s="54">
        <f>'90146_2025'!H64</f>
        <v>117110</v>
      </c>
      <c r="I620" s="54">
        <f>'90146_2025'!I64</f>
        <v>117110</v>
      </c>
      <c r="J620" s="55" t="s">
        <v>214</v>
      </c>
      <c r="K620" s="462" t="str">
        <f>'90146_2025'!K64</f>
        <v>STRADA ENDURANCE CABINE PLUS 1.3 FLEX
</v>
      </c>
      <c r="L620" s="462" t="str">
        <f>'90146_2025'!L64</f>
        <v>60.191.278/0001-15</v>
      </c>
      <c r="M620" s="462" t="str">
        <f>'90146_2025'!M64</f>
        <v>CABRAL AUTOMOVEIS MULTIMARCAS LTDA</v>
      </c>
      <c r="N620" s="462" t="str">
        <f>'90146_2025'!N64</f>
        <v>(65)99973-9698</v>
      </c>
      <c r="O620" s="462" t="str">
        <f>'90146_2025'!O64</f>
        <v>contato@grupoaccomercio.com.br</v>
      </c>
      <c r="P620" s="462" t="str">
        <f>'90146_2025'!P64</f>
        <v/>
      </c>
      <c r="Q620" s="70">
        <f>'90146_2025'!Q64</f>
        <v>46353</v>
      </c>
      <c r="R620" s="463"/>
    </row>
    <row r="621" hidden="1">
      <c r="A621" s="326" t="s">
        <v>1003</v>
      </c>
      <c r="B621" s="33">
        <v>7.0</v>
      </c>
      <c r="C621" s="33" t="s">
        <v>322</v>
      </c>
      <c r="D621" s="33" t="s">
        <v>323</v>
      </c>
      <c r="E621" s="64">
        <v>1.0</v>
      </c>
      <c r="F621" s="43">
        <v>0.0</v>
      </c>
      <c r="G621" s="56">
        <f>'90146_2025'!F65</f>
        <v>1</v>
      </c>
      <c r="H621" s="40">
        <f>'90146_2025'!H65</f>
        <v>577000</v>
      </c>
      <c r="I621" s="40">
        <f>'90146_2025'!I65</f>
        <v>577000</v>
      </c>
      <c r="J621" s="80" t="s">
        <v>160</v>
      </c>
      <c r="K621" s="459" t="str">
        <f>'90146_2025'!K65</f>
        <v>.</v>
      </c>
      <c r="L621" s="459" t="str">
        <f>'90146_2025'!L65</f>
        <v>11.726.521/0001-47</v>
      </c>
      <c r="M621" s="459" t="str">
        <f>'90146_2025'!M65</f>
        <v>TRANSRIO CAMINHOES, ONIBUS, MAQUINAS E MOTORES LTDA
</v>
      </c>
      <c r="N621" s="459" t="str">
        <f>'90146_2025'!N65</f>
        <v/>
      </c>
      <c r="O621" s="459" t="str">
        <f>'90146_2025'!O65</f>
        <v/>
      </c>
      <c r="P621" s="459" t="str">
        <f>'90146_2025'!P65</f>
        <v/>
      </c>
      <c r="Q621" s="63">
        <f>'90146_2025'!Q65</f>
        <v>46367</v>
      </c>
      <c r="R621" s="460"/>
    </row>
    <row r="622" hidden="1">
      <c r="A622" s="461" t="s">
        <v>1003</v>
      </c>
      <c r="B622" s="132">
        <v>7.0</v>
      </c>
      <c r="C622" s="49" t="s">
        <v>322</v>
      </c>
      <c r="D622" s="49" t="s">
        <v>323</v>
      </c>
      <c r="E622" s="55">
        <v>1.0</v>
      </c>
      <c r="F622" s="58">
        <v>0.0</v>
      </c>
      <c r="G622" s="67">
        <f>'90146_2025'!F66</f>
        <v>1</v>
      </c>
      <c r="H622" s="54">
        <f>'90146_2025'!H66</f>
        <v>577000</v>
      </c>
      <c r="I622" s="54">
        <f>'90146_2025'!I66</f>
        <v>577000</v>
      </c>
      <c r="J622" s="93" t="s">
        <v>192</v>
      </c>
      <c r="K622" s="462" t="str">
        <f>'90146_2025'!K66</f>
        <v>Volkswagen 26260 carroceria carga seca
</v>
      </c>
      <c r="L622" s="462" t="str">
        <f>'90146_2025'!L66</f>
        <v>11.726.521/0001-47
</v>
      </c>
      <c r="M622" s="462" t="str">
        <f>'90146_2025'!M66</f>
        <v>TRANSRIO CAMINHOES, ONIBUS, MAQUINAS E MOTORES LTDA
</v>
      </c>
      <c r="N622" s="462" t="str">
        <f>'90146_2025'!N66</f>
        <v/>
      </c>
      <c r="O622" s="462" t="str">
        <f>'90146_2025'!O66</f>
        <v/>
      </c>
      <c r="P622" s="462" t="str">
        <f>'90146_2025'!P66</f>
        <v/>
      </c>
      <c r="Q622" s="70">
        <f>'90146_2025'!Q66</f>
        <v>46367</v>
      </c>
      <c r="R622" s="463"/>
    </row>
    <row r="623" hidden="1">
      <c r="A623" s="326" t="s">
        <v>1003</v>
      </c>
      <c r="B623" s="33">
        <v>8.0</v>
      </c>
      <c r="C623" s="33" t="s">
        <v>332</v>
      </c>
      <c r="D623" s="33" t="s">
        <v>251</v>
      </c>
      <c r="E623" s="64">
        <v>1.0</v>
      </c>
      <c r="F623" s="43">
        <v>0.0</v>
      </c>
      <c r="G623" s="56">
        <f>'90146_2025'!F67</f>
        <v>0</v>
      </c>
      <c r="H623" s="40">
        <f>'90146_2025'!H67</f>
        <v>93500</v>
      </c>
      <c r="I623" s="40">
        <f>'90146_2025'!I67</f>
        <v>93500</v>
      </c>
      <c r="J623" s="64" t="s">
        <v>85</v>
      </c>
      <c r="K623" s="459" t="str">
        <f>'90146_2025'!K67</f>
        <v>FD25
</v>
      </c>
      <c r="L623" s="459" t="str">
        <f>'90146_2025'!L67</f>
        <v>47.895.183/0001-14
</v>
      </c>
      <c r="M623" s="459" t="str">
        <f>'90146_2025'!M67</f>
        <v>MEGA IMPORTADORA MAQUINAS E PECAS LTDA
</v>
      </c>
      <c r="N623" s="459" t="str">
        <f>'90146_2025'!N67</f>
        <v/>
      </c>
      <c r="O623" s="459" t="str">
        <f>'90146_2025'!O67</f>
        <v/>
      </c>
      <c r="P623" s="459" t="str">
        <f>'90146_2025'!P67</f>
        <v/>
      </c>
      <c r="Q623" s="63">
        <f>'90146_2025'!Q67</f>
        <v>46365</v>
      </c>
      <c r="R623" s="460"/>
    </row>
    <row r="624" hidden="1">
      <c r="A624" s="461" t="s">
        <v>1003</v>
      </c>
      <c r="B624" s="49">
        <v>8.0</v>
      </c>
      <c r="C624" s="49" t="s">
        <v>332</v>
      </c>
      <c r="D624" s="49" t="s">
        <v>251</v>
      </c>
      <c r="E624" s="55">
        <v>1.0</v>
      </c>
      <c r="F624" s="58">
        <v>0.0</v>
      </c>
      <c r="G624" s="67">
        <f>'90146_2025'!F68</f>
        <v>0</v>
      </c>
      <c r="H624" s="54">
        <f>'90146_2025'!H68</f>
        <v>93500</v>
      </c>
      <c r="I624" s="54">
        <f>'90146_2025'!I68</f>
        <v>93500</v>
      </c>
      <c r="J624" s="55" t="s">
        <v>134</v>
      </c>
      <c r="K624" s="462" t="str">
        <f>'90146_2025'!K68</f>
        <v>FD25
</v>
      </c>
      <c r="L624" s="462" t="str">
        <f>'90146_2025'!L68</f>
        <v>47.895.183/0001-14
</v>
      </c>
      <c r="M624" s="462" t="str">
        <f>'90146_2025'!M68</f>
        <v>MEGA IMPORTADORA MAQUINAS E PECAS LTDA
</v>
      </c>
      <c r="N624" s="462" t="str">
        <f>'90146_2025'!N68</f>
        <v/>
      </c>
      <c r="O624" s="462" t="str">
        <f>'90146_2025'!O68</f>
        <v/>
      </c>
      <c r="P624" s="462" t="str">
        <f>'90146_2025'!P68</f>
        <v/>
      </c>
      <c r="Q624" s="70">
        <f>'90146_2025'!Q68</f>
        <v>46365</v>
      </c>
      <c r="R624" s="463"/>
    </row>
    <row r="625" hidden="1">
      <c r="A625" s="326" t="s">
        <v>1003</v>
      </c>
      <c r="B625" s="33">
        <v>8.0</v>
      </c>
      <c r="C625" s="33" t="s">
        <v>332</v>
      </c>
      <c r="D625" s="33" t="s">
        <v>251</v>
      </c>
      <c r="E625" s="64">
        <v>1.0</v>
      </c>
      <c r="F625" s="43">
        <v>0.0</v>
      </c>
      <c r="G625" s="56">
        <f>'90146_2025'!F69</f>
        <v>1</v>
      </c>
      <c r="H625" s="40">
        <f>'90146_2025'!H69</f>
        <v>93500</v>
      </c>
      <c r="I625" s="40">
        <f>'90146_2025'!I69</f>
        <v>93500</v>
      </c>
      <c r="J625" s="64" t="s">
        <v>337</v>
      </c>
      <c r="K625" s="459" t="str">
        <f>'90146_2025'!K69</f>
        <v>FD25
</v>
      </c>
      <c r="L625" s="459" t="str">
        <f>'90146_2025'!L69</f>
        <v>47.895.183/0001-14
</v>
      </c>
      <c r="M625" s="459" t="str">
        <f>'90146_2025'!M69</f>
        <v>MEGA IMPORTADORA MAQUINAS E PECAS LTDA
</v>
      </c>
      <c r="N625" s="459" t="str">
        <f>'90146_2025'!N69</f>
        <v/>
      </c>
      <c r="O625" s="459" t="str">
        <f>'90146_2025'!O69</f>
        <v/>
      </c>
      <c r="P625" s="459" t="str">
        <f>'90146_2025'!P69</f>
        <v/>
      </c>
      <c r="Q625" s="63">
        <f>'90146_2025'!Q69</f>
        <v>46365</v>
      </c>
      <c r="R625" s="460"/>
    </row>
    <row r="626" hidden="1">
      <c r="A626" s="461" t="s">
        <v>1003</v>
      </c>
      <c r="B626" s="49">
        <v>8.0</v>
      </c>
      <c r="C626" s="49" t="s">
        <v>332</v>
      </c>
      <c r="D626" s="49" t="s">
        <v>251</v>
      </c>
      <c r="E626" s="55">
        <v>1.0</v>
      </c>
      <c r="F626" s="58">
        <v>0.0</v>
      </c>
      <c r="G626" s="67">
        <f>'90146_2025'!F70</f>
        <v>0</v>
      </c>
      <c r="H626" s="54">
        <f>'90146_2025'!H70</f>
        <v>93500</v>
      </c>
      <c r="I626" s="54">
        <f>'90146_2025'!I70</f>
        <v>93500</v>
      </c>
      <c r="J626" s="55" t="s">
        <v>160</v>
      </c>
      <c r="K626" s="462" t="str">
        <f>'90146_2025'!K70</f>
        <v>FD25
</v>
      </c>
      <c r="L626" s="462" t="str">
        <f>'90146_2025'!L70</f>
        <v>47.895.183/0001-14
</v>
      </c>
      <c r="M626" s="462" t="str">
        <f>'90146_2025'!M70</f>
        <v>MEGA IMPORTADORA MAQUINAS E PECAS LTDA
</v>
      </c>
      <c r="N626" s="462" t="str">
        <f>'90146_2025'!N70</f>
        <v/>
      </c>
      <c r="O626" s="462" t="str">
        <f>'90146_2025'!O70</f>
        <v/>
      </c>
      <c r="P626" s="462" t="str">
        <f>'90146_2025'!P70</f>
        <v/>
      </c>
      <c r="Q626" s="70">
        <f>'90146_2025'!Q70</f>
        <v>46365</v>
      </c>
      <c r="R626" s="463"/>
    </row>
    <row r="627" hidden="1">
      <c r="A627" s="326" t="s">
        <v>1003</v>
      </c>
      <c r="B627" s="33">
        <v>8.0</v>
      </c>
      <c r="C627" s="33" t="s">
        <v>332</v>
      </c>
      <c r="D627" s="33" t="s">
        <v>251</v>
      </c>
      <c r="E627" s="64">
        <v>1.0</v>
      </c>
      <c r="F627" s="43">
        <v>0.0</v>
      </c>
      <c r="G627" s="56">
        <f>'90146_2025'!F71</f>
        <v>0</v>
      </c>
      <c r="H627" s="40">
        <f>'90146_2025'!H71</f>
        <v>93500</v>
      </c>
      <c r="I627" s="40">
        <f>'90146_2025'!I71</f>
        <v>93500</v>
      </c>
      <c r="J627" s="64" t="s">
        <v>196</v>
      </c>
      <c r="K627" s="459" t="str">
        <f>'90146_2025'!K71</f>
        <v>FD25
</v>
      </c>
      <c r="L627" s="459" t="str">
        <f>'90146_2025'!L71</f>
        <v>47.895.183/0001-14
</v>
      </c>
      <c r="M627" s="459" t="str">
        <f>'90146_2025'!M71</f>
        <v>MEGA IMPORTADORA MAQUINAS E PECAS LTDA
</v>
      </c>
      <c r="N627" s="459" t="str">
        <f>'90146_2025'!N71</f>
        <v/>
      </c>
      <c r="O627" s="459" t="str">
        <f>'90146_2025'!O71</f>
        <v/>
      </c>
      <c r="P627" s="459" t="str">
        <f>'90146_2025'!P71</f>
        <v/>
      </c>
      <c r="Q627" s="63">
        <f>'90146_2025'!Q71</f>
        <v>46365</v>
      </c>
      <c r="R627" s="460"/>
    </row>
    <row r="628" hidden="1">
      <c r="A628" s="461" t="s">
        <v>1003</v>
      </c>
      <c r="B628" s="49">
        <v>8.0</v>
      </c>
      <c r="C628" s="49" t="s">
        <v>332</v>
      </c>
      <c r="D628" s="49" t="s">
        <v>251</v>
      </c>
      <c r="E628" s="55">
        <v>1.0</v>
      </c>
      <c r="F628" s="58">
        <v>0.0</v>
      </c>
      <c r="G628" s="67">
        <f>'90146_2025'!F72</f>
        <v>1</v>
      </c>
      <c r="H628" s="54">
        <f>'90146_2025'!H72</f>
        <v>93500</v>
      </c>
      <c r="I628" s="54">
        <f>'90146_2025'!I72</f>
        <v>93500</v>
      </c>
      <c r="J628" s="55" t="s">
        <v>192</v>
      </c>
      <c r="K628" s="462" t="str">
        <f>'90146_2025'!K72</f>
        <v>FD25
</v>
      </c>
      <c r="L628" s="462" t="str">
        <f>'90146_2025'!L72</f>
        <v>47.895.183/0001-14
</v>
      </c>
      <c r="M628" s="462" t="str">
        <f>'90146_2025'!M72</f>
        <v>MEGA IMPORTADORA MAQUINAS E PECAS LTDA
</v>
      </c>
      <c r="N628" s="462" t="str">
        <f>'90146_2025'!N72</f>
        <v/>
      </c>
      <c r="O628" s="462" t="str">
        <f>'90146_2025'!O72</f>
        <v/>
      </c>
      <c r="P628" s="462" t="str">
        <f>'90146_2025'!P72</f>
        <v/>
      </c>
      <c r="Q628" s="70">
        <f>'90146_2025'!Q72</f>
        <v>46365</v>
      </c>
      <c r="R628" s="463"/>
    </row>
    <row r="629" hidden="1">
      <c r="A629" s="326" t="s">
        <v>1003</v>
      </c>
      <c r="B629" s="33">
        <v>8.0</v>
      </c>
      <c r="C629" s="33" t="s">
        <v>332</v>
      </c>
      <c r="D629" s="33" t="s">
        <v>251</v>
      </c>
      <c r="E629" s="64">
        <v>1.0</v>
      </c>
      <c r="F629" s="43">
        <v>0.0</v>
      </c>
      <c r="G629" s="56">
        <f>'90146_2025'!F73</f>
        <v>0</v>
      </c>
      <c r="H629" s="40">
        <f>'90146_2025'!H73</f>
        <v>93500</v>
      </c>
      <c r="I629" s="40">
        <f>'90146_2025'!I73</f>
        <v>93500</v>
      </c>
      <c r="J629" s="64" t="s">
        <v>272</v>
      </c>
      <c r="K629" s="459" t="str">
        <f>'90146_2025'!K73</f>
        <v>FD25
</v>
      </c>
      <c r="L629" s="459" t="str">
        <f>'90146_2025'!L73</f>
        <v>47.895.183/0001-14
</v>
      </c>
      <c r="M629" s="459" t="str">
        <f>'90146_2025'!M73</f>
        <v>MEGA IMPORTADORA MAQUINAS E PECAS LTDA
</v>
      </c>
      <c r="N629" s="459" t="str">
        <f>'90146_2025'!N73</f>
        <v/>
      </c>
      <c r="O629" s="459" t="str">
        <f>'90146_2025'!O73</f>
        <v/>
      </c>
      <c r="P629" s="459" t="str">
        <f>'90146_2025'!P73</f>
        <v/>
      </c>
      <c r="Q629" s="63">
        <f>'90146_2025'!Q73</f>
        <v>46365</v>
      </c>
      <c r="R629" s="460"/>
    </row>
    <row r="630" hidden="1">
      <c r="A630" s="461" t="s">
        <v>1003</v>
      </c>
      <c r="B630" s="49">
        <v>8.0</v>
      </c>
      <c r="C630" s="49" t="s">
        <v>332</v>
      </c>
      <c r="D630" s="49" t="s">
        <v>251</v>
      </c>
      <c r="E630" s="55">
        <v>1.0</v>
      </c>
      <c r="F630" s="58">
        <v>0.0</v>
      </c>
      <c r="G630" s="67">
        <f>'90146_2025'!F74</f>
        <v>1</v>
      </c>
      <c r="H630" s="54">
        <f>'90146_2025'!H74</f>
        <v>93500</v>
      </c>
      <c r="I630" s="54">
        <f>'90146_2025'!I74</f>
        <v>93500</v>
      </c>
      <c r="J630" s="55" t="s">
        <v>210</v>
      </c>
      <c r="K630" s="462" t="str">
        <f>'90146_2025'!K74</f>
        <v>FD25
</v>
      </c>
      <c r="L630" s="462" t="str">
        <f>'90146_2025'!L74</f>
        <v>47.895.183/0001-14
</v>
      </c>
      <c r="M630" s="462" t="str">
        <f>'90146_2025'!M74</f>
        <v>MEGA IMPORTADORA MAQUINAS E PECAS LTDA
</v>
      </c>
      <c r="N630" s="462" t="str">
        <f>'90146_2025'!N74</f>
        <v/>
      </c>
      <c r="O630" s="462" t="str">
        <f>'90146_2025'!O74</f>
        <v/>
      </c>
      <c r="P630" s="462" t="str">
        <f>'90146_2025'!P74</f>
        <v/>
      </c>
      <c r="Q630" s="70">
        <f>'90146_2025'!Q74</f>
        <v>46365</v>
      </c>
      <c r="R630" s="463"/>
    </row>
    <row r="631" hidden="1">
      <c r="A631" s="326" t="s">
        <v>1003</v>
      </c>
      <c r="B631" s="33">
        <v>8.0</v>
      </c>
      <c r="C631" s="33" t="s">
        <v>332</v>
      </c>
      <c r="D631" s="33" t="s">
        <v>251</v>
      </c>
      <c r="E631" s="64">
        <v>1.0</v>
      </c>
      <c r="F631" s="43">
        <v>0.0</v>
      </c>
      <c r="G631" s="56">
        <f>'90146_2025'!F75</f>
        <v>1</v>
      </c>
      <c r="H631" s="40">
        <f>'90146_2025'!H75</f>
        <v>93500</v>
      </c>
      <c r="I631" s="40">
        <f>'90146_2025'!I75</f>
        <v>93500</v>
      </c>
      <c r="J631" s="64" t="s">
        <v>214</v>
      </c>
      <c r="K631" s="459" t="str">
        <f>'90146_2025'!K75</f>
        <v>FD25
</v>
      </c>
      <c r="L631" s="459" t="str">
        <f>'90146_2025'!L75</f>
        <v>47.895.183/0001-14
</v>
      </c>
      <c r="M631" s="459" t="str">
        <f>'90146_2025'!M75</f>
        <v>MEGA IMPORTADORA MAQUINAS E PECAS LTDA
</v>
      </c>
      <c r="N631" s="459" t="str">
        <f>'90146_2025'!N75</f>
        <v/>
      </c>
      <c r="O631" s="459" t="str">
        <f>'90146_2025'!O75</f>
        <v/>
      </c>
      <c r="P631" s="459" t="str">
        <f>'90146_2025'!P75</f>
        <v/>
      </c>
      <c r="Q631" s="63">
        <f>'90146_2025'!Q75</f>
        <v>46365</v>
      </c>
      <c r="R631" s="460"/>
    </row>
    <row r="632" hidden="1">
      <c r="A632" s="461" t="s">
        <v>1003</v>
      </c>
      <c r="B632" s="49">
        <v>9.0</v>
      </c>
      <c r="C632" s="49" t="s">
        <v>339</v>
      </c>
      <c r="D632" s="49" t="s">
        <v>340</v>
      </c>
      <c r="E632" s="93">
        <v>2.0</v>
      </c>
      <c r="F632" s="58">
        <v>0.0</v>
      </c>
      <c r="G632" s="67">
        <f>'90146_2025'!F76</f>
        <v>0</v>
      </c>
      <c r="H632" s="54">
        <f>'90146_2025'!H76</f>
        <v>214988</v>
      </c>
      <c r="I632" s="54">
        <f>'90146_2025'!I76</f>
        <v>429976</v>
      </c>
      <c r="J632" s="93" t="s">
        <v>58</v>
      </c>
      <c r="K632" s="462" t="str">
        <f>'90146_2025'!K76</f>
        <v>NLX754</v>
      </c>
      <c r="L632" s="462" t="str">
        <f>'90146_2025'!L76</f>
        <v>47.075.363/0001-50
</v>
      </c>
      <c r="M632" s="462" t="str">
        <f>'90146_2025'!M76</f>
        <v>COMAZI TRATORES E MAQUINAS LTDA
</v>
      </c>
      <c r="N632" s="462" t="str">
        <f>'90146_2025'!N76</f>
        <v>(62) 3086-9990</v>
      </c>
      <c r="O632" s="462" t="str">
        <f>'90146_2025'!O76</f>
        <v>licitacao@comazimaquinas.com.br</v>
      </c>
      <c r="P632" s="462" t="str">
        <f>'90146_2025'!P76</f>
        <v/>
      </c>
      <c r="Q632" s="70">
        <f>'90146_2025'!Q76</f>
        <v>46393</v>
      </c>
      <c r="R632" s="463"/>
    </row>
    <row r="633" hidden="1">
      <c r="A633" s="326" t="s">
        <v>1003</v>
      </c>
      <c r="B633" s="33">
        <v>9.0</v>
      </c>
      <c r="C633" s="33" t="s">
        <v>339</v>
      </c>
      <c r="D633" s="33" t="s">
        <v>340</v>
      </c>
      <c r="E633" s="64">
        <v>1.0</v>
      </c>
      <c r="F633" s="43">
        <v>0.0</v>
      </c>
      <c r="G633" s="56">
        <f>'90146_2025'!F77</f>
        <v>0</v>
      </c>
      <c r="H633" s="40">
        <f>'90146_2025'!H77</f>
        <v>214988</v>
      </c>
      <c r="I633" s="40">
        <f>'90146_2025'!I77</f>
        <v>214988</v>
      </c>
      <c r="J633" s="64" t="s">
        <v>103</v>
      </c>
      <c r="K633" s="459" t="str">
        <f>'90146_2025'!K77</f>
        <v>NLX754</v>
      </c>
      <c r="L633" s="459" t="str">
        <f>'90146_2025'!L77</f>
        <v>47.075.363/0001-50
</v>
      </c>
      <c r="M633" s="459" t="str">
        <f>'90146_2025'!M77</f>
        <v>COMAZI TRATORES E MAQUINAS LTDA
</v>
      </c>
      <c r="N633" s="459" t="str">
        <f>'90146_2025'!N77</f>
        <v>(62) 3086-9990</v>
      </c>
      <c r="O633" s="459" t="str">
        <f>'90146_2025'!O77</f>
        <v>licitacao@comazimaquinas.com.br</v>
      </c>
      <c r="P633" s="459" t="str">
        <f>'90146_2025'!P77</f>
        <v/>
      </c>
      <c r="Q633" s="63">
        <f>'90146_2025'!Q77</f>
        <v>46393</v>
      </c>
      <c r="R633" s="460"/>
    </row>
    <row r="634" hidden="1">
      <c r="A634" s="461" t="s">
        <v>1003</v>
      </c>
      <c r="B634" s="49">
        <v>9.0</v>
      </c>
      <c r="C634" s="49" t="s">
        <v>339</v>
      </c>
      <c r="D634" s="49" t="s">
        <v>340</v>
      </c>
      <c r="E634" s="55">
        <v>1.0</v>
      </c>
      <c r="F634" s="58">
        <v>0.0</v>
      </c>
      <c r="G634" s="67">
        <f>'90146_2025'!F78</f>
        <v>0</v>
      </c>
      <c r="H634" s="54">
        <f>'90146_2025'!H78</f>
        <v>214988</v>
      </c>
      <c r="I634" s="54">
        <f>'90146_2025'!I78</f>
        <v>214988</v>
      </c>
      <c r="J634" s="141" t="s">
        <v>85</v>
      </c>
      <c r="K634" s="462" t="str">
        <f>'90146_2025'!K78</f>
        <v>NLX754</v>
      </c>
      <c r="L634" s="462" t="str">
        <f>'90146_2025'!L78</f>
        <v>47.075.363/0001-50
</v>
      </c>
      <c r="M634" s="462" t="str">
        <f>'90146_2025'!M78</f>
        <v>COMAZI TRATORES E MAQUINAS LTDA
</v>
      </c>
      <c r="N634" s="462" t="str">
        <f>'90146_2025'!N78</f>
        <v>(62) 3086-9990</v>
      </c>
      <c r="O634" s="462" t="str">
        <f>'90146_2025'!O78</f>
        <v>licitacao@comazimaquinas.com.br</v>
      </c>
      <c r="P634" s="462" t="str">
        <f>'90146_2025'!P78</f>
        <v/>
      </c>
      <c r="Q634" s="70">
        <f>'90146_2025'!Q78</f>
        <v>46393</v>
      </c>
      <c r="R634" s="463"/>
    </row>
    <row r="635" hidden="1">
      <c r="A635" s="326" t="s">
        <v>1003</v>
      </c>
      <c r="B635" s="33">
        <v>9.0</v>
      </c>
      <c r="C635" s="33" t="s">
        <v>339</v>
      </c>
      <c r="D635" s="33" t="s">
        <v>340</v>
      </c>
      <c r="E635" s="64">
        <v>1.0</v>
      </c>
      <c r="F635" s="43">
        <v>0.0</v>
      </c>
      <c r="G635" s="56">
        <f>'90146_2025'!F79</f>
        <v>0</v>
      </c>
      <c r="H635" s="40">
        <f>'90146_2025'!H79</f>
        <v>214988</v>
      </c>
      <c r="I635" s="40">
        <f>'90146_2025'!I79</f>
        <v>214988</v>
      </c>
      <c r="J635" s="64" t="s">
        <v>286</v>
      </c>
      <c r="K635" s="459" t="str">
        <f>'90146_2025'!K79</f>
        <v>NLX754</v>
      </c>
      <c r="L635" s="459" t="str">
        <f>'90146_2025'!L79</f>
        <v>47.075.363/0001-50
</v>
      </c>
      <c r="M635" s="459" t="str">
        <f>'90146_2025'!M79</f>
        <v>COMAZI TRATORES E MAQUINAS LTDA
</v>
      </c>
      <c r="N635" s="459" t="str">
        <f>'90146_2025'!N79</f>
        <v>(62) 3086-9990</v>
      </c>
      <c r="O635" s="459" t="str">
        <f>'90146_2025'!O79</f>
        <v>licitacao@comazimaquinas.com.br</v>
      </c>
      <c r="P635" s="459" t="str">
        <f>'90146_2025'!P79</f>
        <v/>
      </c>
      <c r="Q635" s="63">
        <f>'90146_2025'!Q79</f>
        <v>46393</v>
      </c>
      <c r="R635" s="460"/>
    </row>
    <row r="636" hidden="1">
      <c r="A636" s="461" t="s">
        <v>1003</v>
      </c>
      <c r="B636" s="49">
        <v>9.0</v>
      </c>
      <c r="C636" s="49" t="s">
        <v>339</v>
      </c>
      <c r="D636" s="49" t="s">
        <v>340</v>
      </c>
      <c r="E636" s="55">
        <v>1.0</v>
      </c>
      <c r="F636" s="58">
        <v>0.0</v>
      </c>
      <c r="G636" s="67">
        <f>'90146_2025'!F80</f>
        <v>0</v>
      </c>
      <c r="H636" s="54">
        <f>'90146_2025'!H80</f>
        <v>214988</v>
      </c>
      <c r="I636" s="54">
        <f>'90146_2025'!I80</f>
        <v>214988</v>
      </c>
      <c r="J636" s="55" t="s">
        <v>142</v>
      </c>
      <c r="K636" s="462" t="str">
        <f>'90146_2025'!K80</f>
        <v>NLX754</v>
      </c>
      <c r="L636" s="462" t="str">
        <f>'90146_2025'!L80</f>
        <v>47.075.363/0001-50
</v>
      </c>
      <c r="M636" s="462" t="str">
        <f>'90146_2025'!M80</f>
        <v>COMAZI TRATORES E MAQUINAS LTDA
</v>
      </c>
      <c r="N636" s="462" t="str">
        <f>'90146_2025'!N80</f>
        <v>(62) 3086-9990</v>
      </c>
      <c r="O636" s="462" t="str">
        <f>'90146_2025'!O80</f>
        <v>licitacao@comazimaquinas.com.br</v>
      </c>
      <c r="P636" s="462" t="str">
        <f>'90146_2025'!P80</f>
        <v/>
      </c>
      <c r="Q636" s="70">
        <f>'90146_2025'!Q80</f>
        <v>46393</v>
      </c>
      <c r="R636" s="463"/>
    </row>
    <row r="637" hidden="1">
      <c r="A637" s="326" t="s">
        <v>1003</v>
      </c>
      <c r="B637" s="33">
        <v>9.0</v>
      </c>
      <c r="C637" s="33" t="s">
        <v>339</v>
      </c>
      <c r="D637" s="33" t="s">
        <v>340</v>
      </c>
      <c r="E637" s="64">
        <v>1.0</v>
      </c>
      <c r="F637" s="43">
        <v>0.0</v>
      </c>
      <c r="G637" s="56">
        <f>'90146_2025'!F81</f>
        <v>0</v>
      </c>
      <c r="H637" s="40">
        <f>'90146_2025'!H81</f>
        <v>214988</v>
      </c>
      <c r="I637" s="40">
        <f>'90146_2025'!I81</f>
        <v>214988</v>
      </c>
      <c r="J637" s="64" t="s">
        <v>161</v>
      </c>
      <c r="K637" s="459" t="str">
        <f>'90146_2025'!K81</f>
        <v>NLX754</v>
      </c>
      <c r="L637" s="459" t="str">
        <f>'90146_2025'!L81</f>
        <v>47.075.363/0001-50
</v>
      </c>
      <c r="M637" s="459" t="str">
        <f>'90146_2025'!M81</f>
        <v>COMAZI TRATORES E MAQUINAS LTDA
</v>
      </c>
      <c r="N637" s="459" t="str">
        <f>'90146_2025'!N81</f>
        <v>(62) 3086-9990</v>
      </c>
      <c r="O637" s="459" t="str">
        <f>'90146_2025'!O81</f>
        <v>licitacao@comazimaquinas.com.br</v>
      </c>
      <c r="P637" s="459" t="str">
        <f>'90146_2025'!P81</f>
        <v/>
      </c>
      <c r="Q637" s="63">
        <f>'90146_2025'!Q81</f>
        <v>46393</v>
      </c>
      <c r="R637" s="460"/>
    </row>
    <row r="638" hidden="1">
      <c r="A638" s="461" t="s">
        <v>1003</v>
      </c>
      <c r="B638" s="49">
        <v>9.0</v>
      </c>
      <c r="C638" s="49" t="s">
        <v>339</v>
      </c>
      <c r="D638" s="49" t="s">
        <v>340</v>
      </c>
      <c r="E638" s="55">
        <v>1.0</v>
      </c>
      <c r="F638" s="58">
        <v>0.0</v>
      </c>
      <c r="G638" s="67">
        <f>'90146_2025'!F82</f>
        <v>0</v>
      </c>
      <c r="H638" s="54">
        <f>'90146_2025'!H82</f>
        <v>214988</v>
      </c>
      <c r="I638" s="54">
        <f>'90146_2025'!I82</f>
        <v>214988</v>
      </c>
      <c r="J638" s="141" t="s">
        <v>117</v>
      </c>
      <c r="K638" s="462" t="str">
        <f>'90146_2025'!K82</f>
        <v>NLX754</v>
      </c>
      <c r="L638" s="462" t="str">
        <f>'90146_2025'!L82</f>
        <v>47.075.363/0001-50
</v>
      </c>
      <c r="M638" s="462" t="str">
        <f>'90146_2025'!M82</f>
        <v>COMAZI TRATORES E MAQUINAS LTDA
</v>
      </c>
      <c r="N638" s="462" t="str">
        <f>'90146_2025'!N82</f>
        <v>(62) 3086-9990</v>
      </c>
      <c r="O638" s="462" t="str">
        <f>'90146_2025'!O82</f>
        <v>licitacao@comazimaquinas.com.br</v>
      </c>
      <c r="P638" s="462" t="str">
        <f>'90146_2025'!P82</f>
        <v/>
      </c>
      <c r="Q638" s="70">
        <f>'90146_2025'!Q82</f>
        <v>46393</v>
      </c>
      <c r="R638" s="463"/>
    </row>
    <row r="639" hidden="1">
      <c r="A639" s="326" t="s">
        <v>1003</v>
      </c>
      <c r="B639" s="33">
        <v>9.0</v>
      </c>
      <c r="C639" s="33" t="s">
        <v>339</v>
      </c>
      <c r="D639" s="33" t="s">
        <v>340</v>
      </c>
      <c r="E639" s="64">
        <v>1.0</v>
      </c>
      <c r="F639" s="43">
        <v>0.0</v>
      </c>
      <c r="G639" s="56">
        <f>'90146_2025'!F83</f>
        <v>0</v>
      </c>
      <c r="H639" s="40">
        <f>'90146_2025'!H83</f>
        <v>214988</v>
      </c>
      <c r="I639" s="40">
        <f>'90146_2025'!I83</f>
        <v>214988</v>
      </c>
      <c r="J639" s="143" t="s">
        <v>154</v>
      </c>
      <c r="K639" s="459" t="str">
        <f>'90146_2025'!K83</f>
        <v>NLX754</v>
      </c>
      <c r="L639" s="459" t="str">
        <f>'90146_2025'!L83</f>
        <v>47.075.363/0001-50
</v>
      </c>
      <c r="M639" s="459" t="str">
        <f>'90146_2025'!M83</f>
        <v>COMAZI TRATORES E MAQUINAS LTDA
</v>
      </c>
      <c r="N639" s="459" t="str">
        <f>'90146_2025'!N83</f>
        <v>(62) 3086-9990</v>
      </c>
      <c r="O639" s="459" t="str">
        <f>'90146_2025'!O83</f>
        <v>licitacao@comazimaquinas.com.br</v>
      </c>
      <c r="P639" s="459" t="str">
        <f>'90146_2025'!P83</f>
        <v/>
      </c>
      <c r="Q639" s="63">
        <f>'90146_2025'!Q83</f>
        <v>46393</v>
      </c>
      <c r="R639" s="460"/>
    </row>
    <row r="640" hidden="1">
      <c r="A640" s="461" t="s">
        <v>1003</v>
      </c>
      <c r="B640" s="49">
        <v>9.0</v>
      </c>
      <c r="C640" s="49" t="s">
        <v>339</v>
      </c>
      <c r="D640" s="49" t="s">
        <v>340</v>
      </c>
      <c r="E640" s="55">
        <v>2.0</v>
      </c>
      <c r="F640" s="58">
        <v>0.0</v>
      </c>
      <c r="G640" s="67">
        <f>'90146_2025'!F84</f>
        <v>0</v>
      </c>
      <c r="H640" s="54">
        <f>'90146_2025'!H84</f>
        <v>214988</v>
      </c>
      <c r="I640" s="54">
        <f>'90146_2025'!I84</f>
        <v>429976</v>
      </c>
      <c r="J640" s="55" t="s">
        <v>178</v>
      </c>
      <c r="K640" s="462" t="str">
        <f>'90146_2025'!K84</f>
        <v>NLX754</v>
      </c>
      <c r="L640" s="462" t="str">
        <f>'90146_2025'!L84</f>
        <v>47.075.363/0001-50
</v>
      </c>
      <c r="M640" s="462" t="str">
        <f>'90146_2025'!M84</f>
        <v>COMAZI TRATORES E MAQUINAS LTDA
</v>
      </c>
      <c r="N640" s="462" t="str">
        <f>'90146_2025'!N84</f>
        <v>(62) 3086-9990</v>
      </c>
      <c r="O640" s="462" t="str">
        <f>'90146_2025'!O84</f>
        <v>licitacao@comazimaquinas.com.br</v>
      </c>
      <c r="P640" s="462" t="str">
        <f>'90146_2025'!P84</f>
        <v/>
      </c>
      <c r="Q640" s="70">
        <f>'90146_2025'!Q84</f>
        <v>46393</v>
      </c>
      <c r="R640" s="463"/>
    </row>
    <row r="641" hidden="1">
      <c r="A641" s="326" t="s">
        <v>1003</v>
      </c>
      <c r="B641" s="33">
        <v>9.0</v>
      </c>
      <c r="C641" s="33" t="s">
        <v>339</v>
      </c>
      <c r="D641" s="33" t="s">
        <v>340</v>
      </c>
      <c r="E641" s="64">
        <v>1.0</v>
      </c>
      <c r="F641" s="43">
        <v>0.0</v>
      </c>
      <c r="G641" s="56">
        <f>'90146_2025'!F85</f>
        <v>0</v>
      </c>
      <c r="H641" s="40">
        <f>'90146_2025'!H85</f>
        <v>214988</v>
      </c>
      <c r="I641" s="40">
        <f>'90146_2025'!I85</f>
        <v>214988</v>
      </c>
      <c r="J641" s="143" t="s">
        <v>160</v>
      </c>
      <c r="K641" s="459" t="str">
        <f>'90146_2025'!K85</f>
        <v>NLX754</v>
      </c>
      <c r="L641" s="459" t="str">
        <f>'90146_2025'!L85</f>
        <v>47.075.363/0001-50
</v>
      </c>
      <c r="M641" s="459" t="str">
        <f>'90146_2025'!M85</f>
        <v>COMAZI TRATORES E MAQUINAS LTDA
</v>
      </c>
      <c r="N641" s="459" t="str">
        <f>'90146_2025'!N85</f>
        <v>(62) 3086-9990</v>
      </c>
      <c r="O641" s="459" t="str">
        <f>'90146_2025'!O85</f>
        <v>licitacao@comazimaquinas.com.br</v>
      </c>
      <c r="P641" s="459" t="str">
        <f>'90146_2025'!P85</f>
        <v/>
      </c>
      <c r="Q641" s="63">
        <f>'90146_2025'!Q85</f>
        <v>46393</v>
      </c>
      <c r="R641" s="460"/>
    </row>
    <row r="642" hidden="1">
      <c r="A642" s="461" t="s">
        <v>1003</v>
      </c>
      <c r="B642" s="49">
        <v>9.0</v>
      </c>
      <c r="C642" s="49" t="s">
        <v>339</v>
      </c>
      <c r="D642" s="49" t="s">
        <v>340</v>
      </c>
      <c r="E642" s="55">
        <v>1.0</v>
      </c>
      <c r="F642" s="58">
        <v>0.0</v>
      </c>
      <c r="G642" s="67">
        <f>'90146_2025'!F86</f>
        <v>0</v>
      </c>
      <c r="H642" s="54">
        <f>'90146_2025'!H86</f>
        <v>214988</v>
      </c>
      <c r="I642" s="54">
        <f>'90146_2025'!I86</f>
        <v>214988</v>
      </c>
      <c r="J642" s="55" t="s">
        <v>272</v>
      </c>
      <c r="K642" s="462" t="str">
        <f>'90146_2025'!K86</f>
        <v>NLX754</v>
      </c>
      <c r="L642" s="462" t="str">
        <f>'90146_2025'!L86</f>
        <v>47.075.363/0001-50
</v>
      </c>
      <c r="M642" s="462" t="str">
        <f>'90146_2025'!M86</f>
        <v>COMAZI TRATORES E MAQUINAS LTDA
</v>
      </c>
      <c r="N642" s="462" t="str">
        <f>'90146_2025'!N86</f>
        <v>(62) 3086-9990</v>
      </c>
      <c r="O642" s="462" t="str">
        <f>'90146_2025'!O86</f>
        <v>licitacao@comazimaquinas.com.br</v>
      </c>
      <c r="P642" s="462" t="str">
        <f>'90146_2025'!P86</f>
        <v/>
      </c>
      <c r="Q642" s="70">
        <f>'90146_2025'!Q86</f>
        <v>46393</v>
      </c>
      <c r="R642" s="463"/>
    </row>
    <row r="643" hidden="1">
      <c r="A643" s="326" t="s">
        <v>1003</v>
      </c>
      <c r="B643" s="33">
        <v>9.0</v>
      </c>
      <c r="C643" s="33" t="s">
        <v>339</v>
      </c>
      <c r="D643" s="33" t="s">
        <v>340</v>
      </c>
      <c r="E643" s="64">
        <v>1.0</v>
      </c>
      <c r="F643" s="43">
        <v>0.0</v>
      </c>
      <c r="G643" s="56">
        <f>'90146_2025'!F87</f>
        <v>0</v>
      </c>
      <c r="H643" s="40">
        <f>'90146_2025'!H87</f>
        <v>214988</v>
      </c>
      <c r="I643" s="40">
        <f>'90146_2025'!I87</f>
        <v>214988</v>
      </c>
      <c r="J643" s="143" t="s">
        <v>189</v>
      </c>
      <c r="K643" s="459" t="str">
        <f>'90146_2025'!K87</f>
        <v>NLX754</v>
      </c>
      <c r="L643" s="459" t="str">
        <f>'90146_2025'!L87</f>
        <v>47.075.363/0001-50
</v>
      </c>
      <c r="M643" s="459" t="str">
        <f>'90146_2025'!M87</f>
        <v>COMAZI TRATORES E MAQUINAS LTDA
</v>
      </c>
      <c r="N643" s="459" t="str">
        <f>'90146_2025'!N87</f>
        <v>(62) 3086-9990</v>
      </c>
      <c r="O643" s="459" t="str">
        <f>'90146_2025'!O87</f>
        <v>licitacao@comazimaquinas.com.br</v>
      </c>
      <c r="P643" s="459" t="str">
        <f>'90146_2025'!P87</f>
        <v/>
      </c>
      <c r="Q643" s="63">
        <f>'90146_2025'!Q87</f>
        <v>46393</v>
      </c>
      <c r="R643" s="460"/>
    </row>
    <row r="644" hidden="1">
      <c r="A644" s="461" t="s">
        <v>1003</v>
      </c>
      <c r="B644" s="49">
        <v>9.0</v>
      </c>
      <c r="C644" s="49" t="s">
        <v>339</v>
      </c>
      <c r="D644" s="49" t="s">
        <v>340</v>
      </c>
      <c r="E644" s="55">
        <v>1.0</v>
      </c>
      <c r="F644" s="58">
        <v>0.0</v>
      </c>
      <c r="G644" s="67">
        <f>'90146_2025'!F88</f>
        <v>0</v>
      </c>
      <c r="H644" s="54">
        <f>'90146_2025'!H88</f>
        <v>214988</v>
      </c>
      <c r="I644" s="54">
        <f>'90146_2025'!I88</f>
        <v>214988</v>
      </c>
      <c r="J644" s="55" t="s">
        <v>210</v>
      </c>
      <c r="K644" s="462" t="str">
        <f>'90146_2025'!K88</f>
        <v>NLX754</v>
      </c>
      <c r="L644" s="462" t="str">
        <f>'90146_2025'!L88</f>
        <v>47.075.363/0001-50
</v>
      </c>
      <c r="M644" s="462" t="str">
        <f>'90146_2025'!M88</f>
        <v>COMAZI TRATORES E MAQUINAS LTDA
</v>
      </c>
      <c r="N644" s="462" t="str">
        <f>'90146_2025'!N88</f>
        <v>(62) 3086-9990</v>
      </c>
      <c r="O644" s="462" t="str">
        <f>'90146_2025'!O88</f>
        <v>licitacao@comazimaquinas.com.br</v>
      </c>
      <c r="P644" s="462" t="str">
        <f>'90146_2025'!P88</f>
        <v/>
      </c>
      <c r="Q644" s="70">
        <f>'90146_2025'!Q88</f>
        <v>46393</v>
      </c>
      <c r="R644" s="463"/>
    </row>
    <row r="645" hidden="1">
      <c r="A645" s="326" t="s">
        <v>1003</v>
      </c>
      <c r="B645" s="33">
        <v>9.0</v>
      </c>
      <c r="C645" s="33" t="s">
        <v>339</v>
      </c>
      <c r="D645" s="33" t="s">
        <v>340</v>
      </c>
      <c r="E645" s="64">
        <v>1.0</v>
      </c>
      <c r="F645" s="43">
        <v>0.0</v>
      </c>
      <c r="G645" s="56">
        <f>'90146_2025'!F89</f>
        <v>0</v>
      </c>
      <c r="H645" s="40">
        <f>'90146_2025'!H89</f>
        <v>214988</v>
      </c>
      <c r="I645" s="40">
        <f>'90146_2025'!I89</f>
        <v>214988</v>
      </c>
      <c r="J645" s="64" t="s">
        <v>214</v>
      </c>
      <c r="K645" s="459" t="str">
        <f>'90146_2025'!K89</f>
        <v>NLX754</v>
      </c>
      <c r="L645" s="459" t="str">
        <f>'90146_2025'!L89</f>
        <v>47.075.363/0001-50
</v>
      </c>
      <c r="M645" s="459" t="str">
        <f>'90146_2025'!M89</f>
        <v>COMAZI TRATORES E MAQUINAS LTDA
</v>
      </c>
      <c r="N645" s="459" t="str">
        <f>'90146_2025'!N89</f>
        <v>(62) 3086-9990</v>
      </c>
      <c r="O645" s="459" t="str">
        <f>'90146_2025'!O89</f>
        <v>licitacao@comazimaquinas.com.br</v>
      </c>
      <c r="P645" s="459" t="str">
        <f>'90146_2025'!P89</f>
        <v/>
      </c>
      <c r="Q645" s="63">
        <f>'90146_2025'!Q89</f>
        <v>46393</v>
      </c>
      <c r="R645" s="460"/>
    </row>
    <row r="646" hidden="1">
      <c r="A646" s="461" t="s">
        <v>1003</v>
      </c>
      <c r="B646" s="49">
        <v>10.0</v>
      </c>
      <c r="C646" s="93" t="s">
        <v>350</v>
      </c>
      <c r="D646" s="144" t="s">
        <v>275</v>
      </c>
      <c r="E646" s="49">
        <v>1.0</v>
      </c>
      <c r="F646" s="58">
        <v>0.0</v>
      </c>
      <c r="G646" s="67">
        <f>'90146_2025'!F90</f>
        <v>1</v>
      </c>
      <c r="H646" s="54" t="str">
        <f>'90146_2025'!H90</f>
        <v/>
      </c>
      <c r="I646" s="54">
        <f>'90146_2025'!I90</f>
        <v>0</v>
      </c>
      <c r="J646" s="93" t="s">
        <v>154</v>
      </c>
      <c r="K646" s="462" t="str">
        <f>'90146_2025'!K90</f>
        <v/>
      </c>
      <c r="L646" s="462" t="str">
        <f>'90146_2025'!L90</f>
        <v/>
      </c>
      <c r="M646" s="462" t="str">
        <f>'90146_2025'!M90</f>
        <v/>
      </c>
      <c r="N646" s="462" t="str">
        <f>'90146_2025'!N90</f>
        <v/>
      </c>
      <c r="O646" s="462" t="str">
        <f>'90146_2025'!O90</f>
        <v/>
      </c>
      <c r="P646" s="462" t="str">
        <f>'90146_2025'!P90</f>
        <v/>
      </c>
      <c r="Q646" s="70" t="str">
        <f>'90146_2025'!Q90</f>
        <v/>
      </c>
      <c r="R646" s="463"/>
    </row>
    <row r="647">
      <c r="A647" s="326" t="s">
        <v>1003</v>
      </c>
      <c r="B647" s="33">
        <v>11.0</v>
      </c>
      <c r="C647" s="33" t="s">
        <v>352</v>
      </c>
      <c r="D647" s="33" t="s">
        <v>278</v>
      </c>
      <c r="E647" s="64">
        <v>2.0</v>
      </c>
      <c r="F647" s="43">
        <v>0.0</v>
      </c>
      <c r="G647" s="56">
        <f>'90146_2025'!F91</f>
        <v>0</v>
      </c>
      <c r="H647" s="40">
        <f>'90146_2025'!H91</f>
        <v>19700</v>
      </c>
      <c r="I647" s="40">
        <f>'90146_2025'!I91</f>
        <v>39400</v>
      </c>
      <c r="J647" s="64" t="s">
        <v>117</v>
      </c>
      <c r="K647" s="459" t="str">
        <f>'90146_2025'!K91</f>
        <v>TEKNA TCG42-17M
</v>
      </c>
      <c r="L647" s="459" t="str">
        <f>'90146_2025'!L91</f>
        <v>36.374.350/0001-65
</v>
      </c>
      <c r="M647" s="459" t="str">
        <f>'90146_2025'!M91</f>
        <v>DIOGO EMANUEL KUHN &amp; CIA. LTDA
</v>
      </c>
      <c r="N647" s="459" t="str">
        <f>'90146_2025'!N91</f>
        <v>(42) 3252-3627</v>
      </c>
      <c r="O647" s="459" t="str">
        <f>'90146_2025'!O91</f>
        <v> licitacao.diogopecas@gmail.com</v>
      </c>
      <c r="P647" s="459" t="str">
        <f>'90146_2025'!P91</f>
        <v/>
      </c>
      <c r="Q647" s="63">
        <f>'90146_2025'!Q91</f>
        <v>46354</v>
      </c>
      <c r="R647" s="460"/>
    </row>
    <row r="648">
      <c r="A648" s="461" t="s">
        <v>1003</v>
      </c>
      <c r="B648" s="49">
        <v>11.0</v>
      </c>
      <c r="C648" s="49" t="s">
        <v>352</v>
      </c>
      <c r="D648" s="49" t="s">
        <v>278</v>
      </c>
      <c r="E648" s="55">
        <v>1.0</v>
      </c>
      <c r="F648" s="58">
        <v>0.0</v>
      </c>
      <c r="G648" s="67">
        <f>'90146_2025'!F92</f>
        <v>0</v>
      </c>
      <c r="H648" s="54">
        <f>'90146_2025'!H92</f>
        <v>19700</v>
      </c>
      <c r="I648" s="54">
        <f>'90146_2025'!I92</f>
        <v>19700</v>
      </c>
      <c r="J648" s="55" t="s">
        <v>286</v>
      </c>
      <c r="K648" s="462" t="str">
        <f>'90146_2025'!K92</f>
        <v>TEKNA TCG42-17M
</v>
      </c>
      <c r="L648" s="462" t="str">
        <f>'90146_2025'!L92</f>
        <v>36.374.350/0001-65
</v>
      </c>
      <c r="M648" s="462" t="str">
        <f>'90146_2025'!M92</f>
        <v>DIOGO EMANUEL KUHN &amp; CIA. LTDA
</v>
      </c>
      <c r="N648" s="462" t="str">
        <f>'90146_2025'!N92</f>
        <v>(42) 3252-3627</v>
      </c>
      <c r="O648" s="462" t="str">
        <f>'90146_2025'!O92</f>
        <v> licitacao.diogopecas@gmail.com</v>
      </c>
      <c r="P648" s="462" t="str">
        <f>'90146_2025'!P92</f>
        <v/>
      </c>
      <c r="Q648" s="70">
        <f>'90146_2025'!Q92</f>
        <v>46354</v>
      </c>
      <c r="R648" s="463"/>
    </row>
    <row r="649">
      <c r="A649" s="326" t="s">
        <v>1003</v>
      </c>
      <c r="B649" s="33">
        <v>11.0</v>
      </c>
      <c r="C649" s="33" t="s">
        <v>352</v>
      </c>
      <c r="D649" s="33" t="s">
        <v>278</v>
      </c>
      <c r="E649" s="64">
        <v>1.0</v>
      </c>
      <c r="F649" s="43">
        <v>0.0</v>
      </c>
      <c r="G649" s="56">
        <f>'90146_2025'!F93</f>
        <v>0</v>
      </c>
      <c r="H649" s="40">
        <f>'90146_2025'!H93</f>
        <v>19700</v>
      </c>
      <c r="I649" s="40">
        <f>'90146_2025'!I93</f>
        <v>19700</v>
      </c>
      <c r="J649" s="64" t="s">
        <v>161</v>
      </c>
      <c r="K649" s="459" t="str">
        <f>'90146_2025'!K93</f>
        <v>TEKNA TCG42-17M
</v>
      </c>
      <c r="L649" s="459" t="str">
        <f>'90146_2025'!L93</f>
        <v>36.374.350/0001-65
</v>
      </c>
      <c r="M649" s="459" t="str">
        <f>'90146_2025'!M93</f>
        <v>DIOGO EMANUEL KUHN &amp; CIA. LTDA
</v>
      </c>
      <c r="N649" s="459" t="str">
        <f>'90146_2025'!N93</f>
        <v>(42) 3252-3627</v>
      </c>
      <c r="O649" s="459" t="str">
        <f>'90146_2025'!O93</f>
        <v> licitacao.diogopecas@gmail.com</v>
      </c>
      <c r="P649" s="459" t="str">
        <f>'90146_2025'!P93</f>
        <v/>
      </c>
      <c r="Q649" s="63">
        <f>'90146_2025'!Q93</f>
        <v>46354</v>
      </c>
      <c r="R649" s="460"/>
    </row>
    <row r="650">
      <c r="A650" s="461" t="s">
        <v>1003</v>
      </c>
      <c r="B650" s="49">
        <v>11.0</v>
      </c>
      <c r="C650" s="49" t="s">
        <v>352</v>
      </c>
      <c r="D650" s="49" t="s">
        <v>278</v>
      </c>
      <c r="E650" s="55">
        <v>2.0</v>
      </c>
      <c r="F650" s="58">
        <v>0.0</v>
      </c>
      <c r="G650" s="67">
        <f>'90146_2025'!F94</f>
        <v>0</v>
      </c>
      <c r="H650" s="54">
        <f>'90146_2025'!H94</f>
        <v>19700</v>
      </c>
      <c r="I650" s="54">
        <f>'90146_2025'!I94</f>
        <v>39400</v>
      </c>
      <c r="J650" s="55" t="s">
        <v>160</v>
      </c>
      <c r="K650" s="462" t="str">
        <f>'90146_2025'!K94</f>
        <v>TEKNA TCG42-17M
</v>
      </c>
      <c r="L650" s="462" t="str">
        <f>'90146_2025'!L94</f>
        <v>36.374.350/0001-65
</v>
      </c>
      <c r="M650" s="462" t="str">
        <f>'90146_2025'!M94</f>
        <v>DIOGO EMANUEL KUHN &amp; CIA. LTDA
</v>
      </c>
      <c r="N650" s="462" t="str">
        <f>'90146_2025'!N94</f>
        <v>(42) 3252-3627</v>
      </c>
      <c r="O650" s="462" t="str">
        <f>'90146_2025'!O94</f>
        <v> licitacao.diogopecas@gmail.com</v>
      </c>
      <c r="P650" s="462" t="str">
        <f>'90146_2025'!P94</f>
        <v/>
      </c>
      <c r="Q650" s="70">
        <f>'90146_2025'!Q94</f>
        <v>46354</v>
      </c>
      <c r="R650" s="463"/>
    </row>
    <row r="651">
      <c r="A651" s="326" t="s">
        <v>1003</v>
      </c>
      <c r="B651" s="33">
        <v>11.0</v>
      </c>
      <c r="C651" s="33" t="s">
        <v>352</v>
      </c>
      <c r="D651" s="33" t="s">
        <v>278</v>
      </c>
      <c r="E651" s="64">
        <v>2.0</v>
      </c>
      <c r="F651" s="43">
        <v>0.0</v>
      </c>
      <c r="G651" s="56">
        <f>'90146_2025'!F95</f>
        <v>0</v>
      </c>
      <c r="H651" s="40">
        <f>'90146_2025'!H95</f>
        <v>19700</v>
      </c>
      <c r="I651" s="40">
        <f>'90146_2025'!I95</f>
        <v>39400</v>
      </c>
      <c r="J651" s="64" t="s">
        <v>196</v>
      </c>
      <c r="K651" s="459" t="str">
        <f>'90146_2025'!K95</f>
        <v>TEKNA TCG42-17M
</v>
      </c>
      <c r="L651" s="459" t="str">
        <f>'90146_2025'!L95</f>
        <v>36.374.350/0001-65
</v>
      </c>
      <c r="M651" s="459" t="str">
        <f>'90146_2025'!M95</f>
        <v>DIOGO EMANUEL KUHN &amp; CIA. LTDA
</v>
      </c>
      <c r="N651" s="459" t="str">
        <f>'90146_2025'!N95</f>
        <v>(42) 3252-3627</v>
      </c>
      <c r="O651" s="459" t="str">
        <f>'90146_2025'!O95</f>
        <v> licitacao.diogopecas@gmail.com</v>
      </c>
      <c r="P651" s="459" t="str">
        <f>'90146_2025'!P95</f>
        <v/>
      </c>
      <c r="Q651" s="63">
        <f>'90146_2025'!Q95</f>
        <v>46354</v>
      </c>
      <c r="R651" s="460"/>
    </row>
    <row r="652">
      <c r="A652" s="461" t="s">
        <v>1003</v>
      </c>
      <c r="B652" s="49">
        <v>11.0</v>
      </c>
      <c r="C652" s="49" t="s">
        <v>352</v>
      </c>
      <c r="D652" s="49" t="s">
        <v>278</v>
      </c>
      <c r="E652" s="55">
        <v>1.0</v>
      </c>
      <c r="F652" s="58">
        <v>0.0</v>
      </c>
      <c r="G652" s="67">
        <f>'90146_2025'!F96</f>
        <v>0</v>
      </c>
      <c r="H652" s="54">
        <f>'90146_2025'!H96</f>
        <v>19700</v>
      </c>
      <c r="I652" s="54">
        <f>'90146_2025'!I96</f>
        <v>19700</v>
      </c>
      <c r="J652" s="55" t="s">
        <v>178</v>
      </c>
      <c r="K652" s="462" t="str">
        <f>'90146_2025'!K96</f>
        <v>TEKNA TCG42-17M
</v>
      </c>
      <c r="L652" s="462" t="str">
        <f>'90146_2025'!L96</f>
        <v>36.374.350/0001-65
</v>
      </c>
      <c r="M652" s="462" t="str">
        <f>'90146_2025'!M96</f>
        <v>DIOGO EMANUEL KUHN &amp; CIA. LTDA
</v>
      </c>
      <c r="N652" s="462" t="str">
        <f>'90146_2025'!N96</f>
        <v>(42) 3252-3627</v>
      </c>
      <c r="O652" s="462" t="str">
        <f>'90146_2025'!O96</f>
        <v> licitacao.diogopecas@gmail.com</v>
      </c>
      <c r="P652" s="462" t="str">
        <f>'90146_2025'!P96</f>
        <v/>
      </c>
      <c r="Q652" s="70">
        <f>'90146_2025'!Q96</f>
        <v>46354</v>
      </c>
      <c r="R652" s="463"/>
    </row>
    <row r="653">
      <c r="A653" s="326" t="s">
        <v>1003</v>
      </c>
      <c r="B653" s="33">
        <v>11.0</v>
      </c>
      <c r="C653" s="33" t="s">
        <v>352</v>
      </c>
      <c r="D653" s="33" t="s">
        <v>278</v>
      </c>
      <c r="E653" s="64">
        <v>1.0</v>
      </c>
      <c r="F653" s="43">
        <v>0.0</v>
      </c>
      <c r="G653" s="56">
        <f>'90146_2025'!F97</f>
        <v>0</v>
      </c>
      <c r="H653" s="40">
        <f>'90146_2025'!H97</f>
        <v>19700</v>
      </c>
      <c r="I653" s="40">
        <f>'90146_2025'!I97</f>
        <v>19700</v>
      </c>
      <c r="J653" s="64" t="s">
        <v>189</v>
      </c>
      <c r="K653" s="459" t="str">
        <f>'90146_2025'!K97</f>
        <v>TEKNA TCG42-17M
</v>
      </c>
      <c r="L653" s="459" t="str">
        <f>'90146_2025'!L97</f>
        <v>36.374.350/0001-65
</v>
      </c>
      <c r="M653" s="459" t="str">
        <f>'90146_2025'!M97</f>
        <v>DIOGO EMANUEL KUHN &amp; CIA. LTDA
</v>
      </c>
      <c r="N653" s="459" t="str">
        <f>'90146_2025'!N97</f>
        <v>(42) 3252-3627</v>
      </c>
      <c r="O653" s="459" t="str">
        <f>'90146_2025'!O97</f>
        <v> licitacao.diogopecas@gmail.com</v>
      </c>
      <c r="P653" s="459" t="str">
        <f>'90146_2025'!P97</f>
        <v/>
      </c>
      <c r="Q653" s="63">
        <f>'90146_2025'!Q97</f>
        <v>46354</v>
      </c>
      <c r="R653" s="460"/>
    </row>
    <row r="654">
      <c r="A654" s="461" t="s">
        <v>1003</v>
      </c>
      <c r="B654" s="49">
        <v>11.0</v>
      </c>
      <c r="C654" s="49" t="s">
        <v>352</v>
      </c>
      <c r="D654" s="49" t="s">
        <v>278</v>
      </c>
      <c r="E654" s="55">
        <v>1.0</v>
      </c>
      <c r="F654" s="58">
        <v>0.0</v>
      </c>
      <c r="G654" s="67">
        <f>'90146_2025'!F98</f>
        <v>0</v>
      </c>
      <c r="H654" s="54">
        <f>'90146_2025'!H98</f>
        <v>19700</v>
      </c>
      <c r="I654" s="54">
        <f>'90146_2025'!I98</f>
        <v>19700</v>
      </c>
      <c r="J654" s="55" t="s">
        <v>192</v>
      </c>
      <c r="K654" s="462" t="str">
        <f>'90146_2025'!K98</f>
        <v>TEKNA TCG42-17M
</v>
      </c>
      <c r="L654" s="462" t="str">
        <f>'90146_2025'!L98</f>
        <v>36.374.350/0001-65
</v>
      </c>
      <c r="M654" s="462" t="str">
        <f>'90146_2025'!M98</f>
        <v>DIOGO EMANUEL KUHN &amp; CIA. LTDA
</v>
      </c>
      <c r="N654" s="462" t="str">
        <f>'90146_2025'!N98</f>
        <v>(42) 3252-3627</v>
      </c>
      <c r="O654" s="462" t="str">
        <f>'90146_2025'!O98</f>
        <v> licitacao.diogopecas@gmail.com</v>
      </c>
      <c r="P654" s="462" t="str">
        <f>'90146_2025'!P98</f>
        <v/>
      </c>
      <c r="Q654" s="70">
        <f>'90146_2025'!Q98</f>
        <v>46354</v>
      </c>
      <c r="R654" s="463"/>
    </row>
    <row r="655">
      <c r="A655" s="326" t="s">
        <v>1003</v>
      </c>
      <c r="B655" s="33">
        <v>11.0</v>
      </c>
      <c r="C655" s="33" t="s">
        <v>352</v>
      </c>
      <c r="D655" s="33" t="s">
        <v>278</v>
      </c>
      <c r="E655" s="64">
        <v>1.0</v>
      </c>
      <c r="F655" s="43">
        <v>0.0</v>
      </c>
      <c r="G655" s="56">
        <f>'90146_2025'!F99</f>
        <v>0</v>
      </c>
      <c r="H655" s="40">
        <f>'90146_2025'!H99</f>
        <v>19700</v>
      </c>
      <c r="I655" s="40">
        <f>'90146_2025'!I99</f>
        <v>19700</v>
      </c>
      <c r="J655" s="64" t="s">
        <v>210</v>
      </c>
      <c r="K655" s="459" t="str">
        <f>'90146_2025'!K99</f>
        <v>TEKNA TCG42-17M
</v>
      </c>
      <c r="L655" s="459" t="str">
        <f>'90146_2025'!L99</f>
        <v>36.374.350/0001-65
</v>
      </c>
      <c r="M655" s="459" t="str">
        <f>'90146_2025'!M99</f>
        <v>DIOGO EMANUEL KUHN &amp; CIA. LTDA
</v>
      </c>
      <c r="N655" s="459" t="str">
        <f>'90146_2025'!N99</f>
        <v>(42) 3252-3627</v>
      </c>
      <c r="O655" s="459" t="str">
        <f>'90146_2025'!O99</f>
        <v> licitacao.diogopecas@gmail.com</v>
      </c>
      <c r="P655" s="459" t="str">
        <f>'90146_2025'!P99</f>
        <v/>
      </c>
      <c r="Q655" s="63">
        <f>'90146_2025'!Q99</f>
        <v>46354</v>
      </c>
      <c r="R655" s="460"/>
    </row>
    <row r="656">
      <c r="A656" s="461" t="s">
        <v>1003</v>
      </c>
      <c r="B656" s="49">
        <v>11.0</v>
      </c>
      <c r="C656" s="49" t="s">
        <v>352</v>
      </c>
      <c r="D656" s="49" t="s">
        <v>278</v>
      </c>
      <c r="E656" s="55">
        <v>3.0</v>
      </c>
      <c r="F656" s="58">
        <v>0.0</v>
      </c>
      <c r="G656" s="67">
        <f>'90146_2025'!F100</f>
        <v>0</v>
      </c>
      <c r="H656" s="54">
        <f>'90146_2025'!H100</f>
        <v>19700</v>
      </c>
      <c r="I656" s="54">
        <f>'90146_2025'!I100</f>
        <v>59100</v>
      </c>
      <c r="J656" s="55" t="s">
        <v>214</v>
      </c>
      <c r="K656" s="462" t="str">
        <f>'90146_2025'!K100</f>
        <v>TEKNA TCG42-17M
</v>
      </c>
      <c r="L656" s="462" t="str">
        <f>'90146_2025'!L100</f>
        <v>36.374.350/0001-65
</v>
      </c>
      <c r="M656" s="462" t="str">
        <f>'90146_2025'!M100</f>
        <v>DIOGO EMANUEL KUHN &amp; CIA. LTDA
</v>
      </c>
      <c r="N656" s="462" t="str">
        <f>'90146_2025'!N100</f>
        <v>(42) 3252-3627</v>
      </c>
      <c r="O656" s="462" t="str">
        <f>'90146_2025'!O100</f>
        <v> licitacao.diogopecas@gmail.com</v>
      </c>
      <c r="P656" s="462" t="str">
        <f>'90146_2025'!P100</f>
        <v/>
      </c>
      <c r="Q656" s="70">
        <f>'90146_2025'!Q100</f>
        <v>46354</v>
      </c>
      <c r="R656" s="463"/>
    </row>
    <row r="657" hidden="1">
      <c r="A657" s="326" t="s">
        <v>1003</v>
      </c>
      <c r="B657" s="33">
        <v>12.0</v>
      </c>
      <c r="C657" s="33" t="s">
        <v>381</v>
      </c>
      <c r="D657" s="33" t="s">
        <v>285</v>
      </c>
      <c r="E657" s="64">
        <v>1.0</v>
      </c>
      <c r="F657" s="43">
        <v>0.0</v>
      </c>
      <c r="G657" s="56">
        <f>'90146_2025'!F101</f>
        <v>1</v>
      </c>
      <c r="H657" s="40">
        <f>'90146_2025'!H101</f>
        <v>512000</v>
      </c>
      <c r="I657" s="40">
        <f>'90146_2025'!I101</f>
        <v>512000</v>
      </c>
      <c r="J657" s="64" t="s">
        <v>85</v>
      </c>
      <c r="K657" s="459" t="str">
        <f>'90146_2025'!K101</f>
        <v>FOTON 916 + CESTO AEREO
</v>
      </c>
      <c r="L657" s="459" t="str">
        <f>'90146_2025'!L101</f>
        <v>46.135.499/0002-26
</v>
      </c>
      <c r="M657" s="459" t="str">
        <f>'90146_2025'!M101</f>
        <v>FORZA DISTRIBUIDORA LTDA
</v>
      </c>
      <c r="N657" s="459" t="str">
        <f>'90146_2025'!N101</f>
        <v/>
      </c>
      <c r="O657" s="459" t="str">
        <f>'90146_2025'!O101</f>
        <v/>
      </c>
      <c r="P657" s="459" t="str">
        <f>'90146_2025'!P101</f>
        <v/>
      </c>
      <c r="Q657" s="63">
        <f>'90146_2025'!Q101</f>
        <v>46351</v>
      </c>
      <c r="R657" s="460"/>
    </row>
    <row r="658" hidden="1">
      <c r="A658" s="461" t="s">
        <v>1003</v>
      </c>
      <c r="B658" s="49">
        <v>12.0</v>
      </c>
      <c r="C658" s="49" t="s">
        <v>381</v>
      </c>
      <c r="D658" s="49" t="s">
        <v>285</v>
      </c>
      <c r="E658" s="55">
        <v>1.0</v>
      </c>
      <c r="F658" s="58">
        <v>0.0</v>
      </c>
      <c r="G658" s="67">
        <f>'90146_2025'!F102</f>
        <v>1</v>
      </c>
      <c r="H658" s="54">
        <f>'90146_2025'!H102</f>
        <v>512000</v>
      </c>
      <c r="I658" s="54">
        <f>'90146_2025'!I102</f>
        <v>512000</v>
      </c>
      <c r="J658" s="55" t="s">
        <v>232</v>
      </c>
      <c r="K658" s="462" t="str">
        <f>'90146_2025'!K102</f>
        <v>FOTON 916 + CESTO AEREO
</v>
      </c>
      <c r="L658" s="462" t="str">
        <f>'90146_2025'!L102</f>
        <v>46.135.499/0002-26
</v>
      </c>
      <c r="M658" s="462" t="str">
        <f>'90146_2025'!M102</f>
        <v>FORZA DISTRIBUIDORA LTDA
</v>
      </c>
      <c r="N658" s="462" t="str">
        <f>'90146_2025'!N102</f>
        <v/>
      </c>
      <c r="O658" s="462" t="str">
        <f>'90146_2025'!O102</f>
        <v/>
      </c>
      <c r="P658" s="462" t="str">
        <f>'90146_2025'!P102</f>
        <v/>
      </c>
      <c r="Q658" s="70">
        <f>'90146_2025'!Q102</f>
        <v>46351</v>
      </c>
      <c r="R658" s="463"/>
    </row>
    <row r="659" hidden="1">
      <c r="A659" s="326" t="s">
        <v>1003</v>
      </c>
      <c r="B659" s="33">
        <v>12.0</v>
      </c>
      <c r="C659" s="33" t="s">
        <v>381</v>
      </c>
      <c r="D659" s="33" t="s">
        <v>285</v>
      </c>
      <c r="E659" s="64">
        <v>2.0</v>
      </c>
      <c r="F659" s="43">
        <v>0.0</v>
      </c>
      <c r="G659" s="56">
        <f>'90146_2025'!F103</f>
        <v>2</v>
      </c>
      <c r="H659" s="40">
        <f>'90146_2025'!H103</f>
        <v>512000</v>
      </c>
      <c r="I659" s="40">
        <f>'90146_2025'!I103</f>
        <v>1024000</v>
      </c>
      <c r="J659" s="64" t="s">
        <v>103</v>
      </c>
      <c r="K659" s="459" t="str">
        <f>'90146_2025'!K103</f>
        <v>FOTON 916 + CESTO AEREO
</v>
      </c>
      <c r="L659" s="459" t="str">
        <f>'90146_2025'!L103</f>
        <v>46.135.499/0002-26
</v>
      </c>
      <c r="M659" s="459" t="str">
        <f>'90146_2025'!M103</f>
        <v>cae</v>
      </c>
      <c r="N659" s="459" t="str">
        <f>'90146_2025'!N103</f>
        <v/>
      </c>
      <c r="O659" s="459" t="str">
        <f>'90146_2025'!O103</f>
        <v/>
      </c>
      <c r="P659" s="459" t="str">
        <f>'90146_2025'!P103</f>
        <v/>
      </c>
      <c r="Q659" s="63">
        <f>'90146_2025'!Q103</f>
        <v>46351</v>
      </c>
      <c r="R659" s="460"/>
    </row>
    <row r="660" hidden="1">
      <c r="A660" s="461" t="s">
        <v>1003</v>
      </c>
      <c r="B660" s="49">
        <v>12.0</v>
      </c>
      <c r="C660" s="49" t="s">
        <v>381</v>
      </c>
      <c r="D660" s="49" t="s">
        <v>285</v>
      </c>
      <c r="E660" s="55">
        <v>1.0</v>
      </c>
      <c r="F660" s="58">
        <v>0.0</v>
      </c>
      <c r="G660" s="67">
        <f>'90146_2025'!F104</f>
        <v>1</v>
      </c>
      <c r="H660" s="54">
        <f>'90146_2025'!H104</f>
        <v>512000</v>
      </c>
      <c r="I660" s="54">
        <f>'90146_2025'!I104</f>
        <v>512000</v>
      </c>
      <c r="J660" s="55" t="s">
        <v>134</v>
      </c>
      <c r="K660" s="462" t="str">
        <f>'90146_2025'!K104</f>
        <v>FOTON 916 + CESTO AEREO
</v>
      </c>
      <c r="L660" s="462" t="str">
        <f>'90146_2025'!L104</f>
        <v>46.135.499/0002-26
</v>
      </c>
      <c r="M660" s="462" t="str">
        <f>'90146_2025'!M104</f>
        <v>FORZA DISTRIBUIDORA LTDA
</v>
      </c>
      <c r="N660" s="462" t="str">
        <f>'90146_2025'!N104</f>
        <v/>
      </c>
      <c r="O660" s="462" t="str">
        <f>'90146_2025'!O104</f>
        <v/>
      </c>
      <c r="P660" s="462" t="str">
        <f>'90146_2025'!P104</f>
        <v/>
      </c>
      <c r="Q660" s="70">
        <f>'90146_2025'!Q104</f>
        <v>46351</v>
      </c>
      <c r="R660" s="463"/>
    </row>
    <row r="661" hidden="1">
      <c r="A661" s="326" t="s">
        <v>1003</v>
      </c>
      <c r="B661" s="33">
        <v>12.0</v>
      </c>
      <c r="C661" s="33" t="s">
        <v>381</v>
      </c>
      <c r="D661" s="33" t="s">
        <v>285</v>
      </c>
      <c r="E661" s="64">
        <v>1.0</v>
      </c>
      <c r="F661" s="43">
        <v>0.0</v>
      </c>
      <c r="G661" s="56">
        <f>'90146_2025'!F105</f>
        <v>1</v>
      </c>
      <c r="H661" s="40">
        <f>'90146_2025'!H105</f>
        <v>512000</v>
      </c>
      <c r="I661" s="40">
        <f>'90146_2025'!I105</f>
        <v>512000</v>
      </c>
      <c r="J661" s="64" t="s">
        <v>286</v>
      </c>
      <c r="K661" s="459" t="str">
        <f>'90146_2025'!K105</f>
        <v>FOTON 916 + CESTO AEREO
</v>
      </c>
      <c r="L661" s="459" t="str">
        <f>'90146_2025'!L105</f>
        <v>46.135.499/0002-26
</v>
      </c>
      <c r="M661" s="459" t="str">
        <f>'90146_2025'!M105</f>
        <v>FORZA DISTRIBUIDORA LTDA
</v>
      </c>
      <c r="N661" s="459" t="str">
        <f>'90146_2025'!N105</f>
        <v/>
      </c>
      <c r="O661" s="459" t="str">
        <f>'90146_2025'!O105</f>
        <v/>
      </c>
      <c r="P661" s="459" t="str">
        <f>'90146_2025'!P105</f>
        <v/>
      </c>
      <c r="Q661" s="63">
        <f>'90146_2025'!Q105</f>
        <v>46351</v>
      </c>
      <c r="R661" s="460"/>
    </row>
    <row r="662" hidden="1">
      <c r="A662" s="461" t="s">
        <v>1003</v>
      </c>
      <c r="B662" s="49">
        <v>12.0</v>
      </c>
      <c r="C662" s="49" t="s">
        <v>381</v>
      </c>
      <c r="D662" s="49" t="s">
        <v>285</v>
      </c>
      <c r="E662" s="55">
        <v>1.0</v>
      </c>
      <c r="F662" s="58">
        <v>0.0</v>
      </c>
      <c r="G662" s="67">
        <f>'90146_2025'!F106</f>
        <v>1</v>
      </c>
      <c r="H662" s="54">
        <f>'90146_2025'!H106</f>
        <v>512000</v>
      </c>
      <c r="I662" s="54">
        <f>'90146_2025'!I106</f>
        <v>512000</v>
      </c>
      <c r="J662" s="55" t="s">
        <v>161</v>
      </c>
      <c r="K662" s="462" t="str">
        <f>'90146_2025'!K106</f>
        <v>FOTON 916 + CESTO AEREO
</v>
      </c>
      <c r="L662" s="462" t="str">
        <f>'90146_2025'!L106</f>
        <v>46.135.499/0002-26
</v>
      </c>
      <c r="M662" s="462" t="str">
        <f>'90146_2025'!M106</f>
        <v>FORZA DISTRIBUIDORA LTDA
</v>
      </c>
      <c r="N662" s="462" t="str">
        <f>'90146_2025'!N106</f>
        <v/>
      </c>
      <c r="O662" s="462" t="str">
        <f>'90146_2025'!O106</f>
        <v/>
      </c>
      <c r="P662" s="462" t="str">
        <f>'90146_2025'!P106</f>
        <v/>
      </c>
      <c r="Q662" s="70">
        <f>'90146_2025'!Q106</f>
        <v>46351</v>
      </c>
      <c r="R662" s="463"/>
    </row>
    <row r="663" hidden="1">
      <c r="A663" s="326" t="s">
        <v>1003</v>
      </c>
      <c r="B663" s="33">
        <v>12.0</v>
      </c>
      <c r="C663" s="33" t="s">
        <v>381</v>
      </c>
      <c r="D663" s="33" t="s">
        <v>285</v>
      </c>
      <c r="E663" s="64">
        <v>1.0</v>
      </c>
      <c r="F663" s="43">
        <v>0.0</v>
      </c>
      <c r="G663" s="56">
        <f>'90146_2025'!F107</f>
        <v>1</v>
      </c>
      <c r="H663" s="40">
        <f>'90146_2025'!H107</f>
        <v>512000</v>
      </c>
      <c r="I663" s="40">
        <f>'90146_2025'!I107</f>
        <v>512000</v>
      </c>
      <c r="J663" s="64" t="s">
        <v>231</v>
      </c>
      <c r="K663" s="459" t="str">
        <f>'90146_2025'!K107</f>
        <v>FOTON 916 + CESTO AEREO
</v>
      </c>
      <c r="L663" s="459" t="str">
        <f>'90146_2025'!L107</f>
        <v>46.135.499/0002-26
</v>
      </c>
      <c r="M663" s="459" t="str">
        <f>'90146_2025'!M107</f>
        <v>FORZA DISTRIBUIDORA LTDA
</v>
      </c>
      <c r="N663" s="459" t="str">
        <f>'90146_2025'!N107</f>
        <v/>
      </c>
      <c r="O663" s="459" t="str">
        <f>'90146_2025'!O107</f>
        <v/>
      </c>
      <c r="P663" s="459" t="str">
        <f>'90146_2025'!P107</f>
        <v/>
      </c>
      <c r="Q663" s="63">
        <f>'90146_2025'!Q107</f>
        <v>46351</v>
      </c>
      <c r="R663" s="460"/>
    </row>
    <row r="664" hidden="1">
      <c r="A664" s="461" t="s">
        <v>1003</v>
      </c>
      <c r="B664" s="49">
        <v>12.0</v>
      </c>
      <c r="C664" s="49" t="s">
        <v>381</v>
      </c>
      <c r="D664" s="49" t="s">
        <v>285</v>
      </c>
      <c r="E664" s="55">
        <v>1.0</v>
      </c>
      <c r="F664" s="58">
        <v>0.0</v>
      </c>
      <c r="G664" s="67">
        <f>'90146_2025'!F108</f>
        <v>1</v>
      </c>
      <c r="H664" s="54">
        <f>'90146_2025'!H108</f>
        <v>512000</v>
      </c>
      <c r="I664" s="54">
        <f>'90146_2025'!I108</f>
        <v>512000</v>
      </c>
      <c r="J664" s="55" t="s">
        <v>175</v>
      </c>
      <c r="K664" s="462" t="str">
        <f>'90146_2025'!K108</f>
        <v>FOTON 916 + CESTO AEREO
</v>
      </c>
      <c r="L664" s="462" t="str">
        <f>'90146_2025'!L108</f>
        <v>46.135.499/0002-26
</v>
      </c>
      <c r="M664" s="462" t="str">
        <f>'90146_2025'!M108</f>
        <v>FORZA DISTRIBUIDORA LTDA
</v>
      </c>
      <c r="N664" s="462" t="str">
        <f>'90146_2025'!N108</f>
        <v/>
      </c>
      <c r="O664" s="462" t="str">
        <f>'90146_2025'!O108</f>
        <v/>
      </c>
      <c r="P664" s="462" t="str">
        <f>'90146_2025'!P108</f>
        <v/>
      </c>
      <c r="Q664" s="70">
        <f>'90146_2025'!Q108</f>
        <v>46351</v>
      </c>
      <c r="R664" s="463"/>
    </row>
    <row r="665" hidden="1">
      <c r="A665" s="326" t="s">
        <v>1003</v>
      </c>
      <c r="B665" s="33">
        <v>12.0</v>
      </c>
      <c r="C665" s="33" t="s">
        <v>381</v>
      </c>
      <c r="D665" s="33" t="s">
        <v>285</v>
      </c>
      <c r="E665" s="64">
        <v>1.0</v>
      </c>
      <c r="F665" s="43">
        <v>0.0</v>
      </c>
      <c r="G665" s="56">
        <f>'90146_2025'!F109</f>
        <v>0</v>
      </c>
      <c r="H665" s="40">
        <f>'90146_2025'!H109</f>
        <v>512000</v>
      </c>
      <c r="I665" s="40">
        <f>'90146_2025'!I109</f>
        <v>512000</v>
      </c>
      <c r="J665" s="64" t="s">
        <v>160</v>
      </c>
      <c r="K665" s="459" t="str">
        <f>'90146_2025'!K109</f>
        <v>FOTON 916 + CESTO AEREO
</v>
      </c>
      <c r="L665" s="459" t="str">
        <f>'90146_2025'!L109</f>
        <v>46.135.499/0002-26
</v>
      </c>
      <c r="M665" s="459" t="str">
        <f>'90146_2025'!M109</f>
        <v>FORZA DISTRIBUIDORA LTDA
</v>
      </c>
      <c r="N665" s="459" t="str">
        <f>'90146_2025'!N109</f>
        <v/>
      </c>
      <c r="O665" s="459" t="str">
        <f>'90146_2025'!O109</f>
        <v/>
      </c>
      <c r="P665" s="459" t="str">
        <f>'90146_2025'!P109</f>
        <v/>
      </c>
      <c r="Q665" s="63">
        <f>'90146_2025'!Q109</f>
        <v>46351</v>
      </c>
      <c r="R665" s="460"/>
    </row>
    <row r="666" hidden="1">
      <c r="A666" s="461" t="s">
        <v>1003</v>
      </c>
      <c r="B666" s="49">
        <v>12.0</v>
      </c>
      <c r="C666" s="49" t="s">
        <v>381</v>
      </c>
      <c r="D666" s="49" t="s">
        <v>285</v>
      </c>
      <c r="E666" s="55">
        <v>1.0</v>
      </c>
      <c r="F666" s="58">
        <v>0.0</v>
      </c>
      <c r="G666" s="67">
        <f>'90146_2025'!F110</f>
        <v>1</v>
      </c>
      <c r="H666" s="54">
        <f>'90146_2025'!H110</f>
        <v>512000</v>
      </c>
      <c r="I666" s="54">
        <f>'90146_2025'!I110</f>
        <v>512000</v>
      </c>
      <c r="J666" s="55" t="s">
        <v>196</v>
      </c>
      <c r="K666" s="462" t="str">
        <f>'90146_2025'!K110</f>
        <v>FOTON 916 + CESTO AEREO
</v>
      </c>
      <c r="L666" s="462" t="str">
        <f>'90146_2025'!L110</f>
        <v>46.135.499/0002-26
</v>
      </c>
      <c r="M666" s="462" t="str">
        <f>'90146_2025'!M110</f>
        <v>FORZA DISTRIBUIDORA LTDA
</v>
      </c>
      <c r="N666" s="462" t="str">
        <f>'90146_2025'!N110</f>
        <v/>
      </c>
      <c r="O666" s="462" t="str">
        <f>'90146_2025'!O110</f>
        <v/>
      </c>
      <c r="P666" s="462" t="str">
        <f>'90146_2025'!P110</f>
        <v/>
      </c>
      <c r="Q666" s="70">
        <f>'90146_2025'!Q110</f>
        <v>46351</v>
      </c>
      <c r="R666" s="463"/>
    </row>
    <row r="667" hidden="1">
      <c r="A667" s="326" t="s">
        <v>1003</v>
      </c>
      <c r="B667" s="33">
        <v>12.0</v>
      </c>
      <c r="C667" s="33" t="s">
        <v>381</v>
      </c>
      <c r="D667" s="33" t="s">
        <v>285</v>
      </c>
      <c r="E667" s="64">
        <v>1.0</v>
      </c>
      <c r="F667" s="43">
        <v>0.0</v>
      </c>
      <c r="G667" s="56">
        <f>'90146_2025'!F111</f>
        <v>1</v>
      </c>
      <c r="H667" s="40">
        <f>'90146_2025'!H111</f>
        <v>512000</v>
      </c>
      <c r="I667" s="40">
        <f>'90146_2025'!I111</f>
        <v>512000</v>
      </c>
      <c r="J667" s="64" t="s">
        <v>192</v>
      </c>
      <c r="K667" s="459" t="str">
        <f>'90146_2025'!K111</f>
        <v>FOTON 916 + CESTO AEREO
</v>
      </c>
      <c r="L667" s="459" t="str">
        <f>'90146_2025'!L111</f>
        <v>46.135.499/0002-26
</v>
      </c>
      <c r="M667" s="459" t="str">
        <f>'90146_2025'!M111</f>
        <v>FORZA DISTRIBUIDORA LTDA
</v>
      </c>
      <c r="N667" s="459" t="str">
        <f>'90146_2025'!N111</f>
        <v/>
      </c>
      <c r="O667" s="459" t="str">
        <f>'90146_2025'!O111</f>
        <v/>
      </c>
      <c r="P667" s="459" t="str">
        <f>'90146_2025'!P111</f>
        <v/>
      </c>
      <c r="Q667" s="63">
        <f>'90146_2025'!Q111</f>
        <v>46351</v>
      </c>
      <c r="R667" s="460"/>
    </row>
    <row r="668" hidden="1">
      <c r="A668" s="461" t="s">
        <v>1003</v>
      </c>
      <c r="B668" s="49">
        <v>12.0</v>
      </c>
      <c r="C668" s="49" t="s">
        <v>381</v>
      </c>
      <c r="D668" s="49" t="s">
        <v>285</v>
      </c>
      <c r="E668" s="55">
        <v>1.0</v>
      </c>
      <c r="F668" s="58">
        <v>0.0</v>
      </c>
      <c r="G668" s="67">
        <f>'90146_2025'!F112</f>
        <v>1</v>
      </c>
      <c r="H668" s="54">
        <f>'90146_2025'!H112</f>
        <v>512000</v>
      </c>
      <c r="I668" s="54">
        <f>'90146_2025'!I112</f>
        <v>512000</v>
      </c>
      <c r="J668" s="55" t="s">
        <v>304</v>
      </c>
      <c r="K668" s="462" t="str">
        <f>'90146_2025'!K112</f>
        <v>FOTON 916 + CESTO AEREO
</v>
      </c>
      <c r="L668" s="462" t="str">
        <f>'90146_2025'!L112</f>
        <v>46.135.499/0002-26
</v>
      </c>
      <c r="M668" s="462" t="str">
        <f>'90146_2025'!M112</f>
        <v>FORZA DISTRIBUIDORA LTDA
</v>
      </c>
      <c r="N668" s="462" t="str">
        <f>'90146_2025'!N112</f>
        <v/>
      </c>
      <c r="O668" s="462" t="str">
        <f>'90146_2025'!O112</f>
        <v/>
      </c>
      <c r="P668" s="462" t="str">
        <f>'90146_2025'!P112</f>
        <v/>
      </c>
      <c r="Q668" s="70">
        <f>'90146_2025'!Q112</f>
        <v>46351</v>
      </c>
      <c r="R668" s="463"/>
    </row>
    <row r="669" hidden="1">
      <c r="A669" s="326" t="s">
        <v>1003</v>
      </c>
      <c r="B669" s="33">
        <v>12.0</v>
      </c>
      <c r="C669" s="33" t="s">
        <v>381</v>
      </c>
      <c r="D669" s="33" t="s">
        <v>285</v>
      </c>
      <c r="E669" s="64">
        <v>1.0</v>
      </c>
      <c r="F669" s="43">
        <v>0.0</v>
      </c>
      <c r="G669" s="56">
        <f>'90146_2025'!F113</f>
        <v>1</v>
      </c>
      <c r="H669" s="40">
        <f>'90146_2025'!H113</f>
        <v>512000</v>
      </c>
      <c r="I669" s="40">
        <f>'90146_2025'!I113</f>
        <v>512000</v>
      </c>
      <c r="J669" s="64" t="s">
        <v>272</v>
      </c>
      <c r="K669" s="459" t="str">
        <f>'90146_2025'!K113</f>
        <v>FOTON 916 + CESTO AEREO
</v>
      </c>
      <c r="L669" s="459" t="str">
        <f>'90146_2025'!L113</f>
        <v>46.135.499/0002-26
</v>
      </c>
      <c r="M669" s="459" t="str">
        <f>'90146_2025'!M113</f>
        <v>FORZA DISTRIBUIDORA LTDA
</v>
      </c>
      <c r="N669" s="459" t="str">
        <f>'90146_2025'!N113</f>
        <v/>
      </c>
      <c r="O669" s="459" t="str">
        <f>'90146_2025'!O113</f>
        <v/>
      </c>
      <c r="P669" s="459" t="str">
        <f>'90146_2025'!P113</f>
        <v/>
      </c>
      <c r="Q669" s="63">
        <f>'90146_2025'!Q113</f>
        <v>46351</v>
      </c>
      <c r="R669" s="460"/>
    </row>
    <row r="670" hidden="1">
      <c r="A670" s="461" t="s">
        <v>1003</v>
      </c>
      <c r="B670" s="49">
        <v>12.0</v>
      </c>
      <c r="C670" s="49" t="s">
        <v>381</v>
      </c>
      <c r="D670" s="49" t="s">
        <v>285</v>
      </c>
      <c r="E670" s="55">
        <v>1.0</v>
      </c>
      <c r="F670" s="58">
        <v>0.0</v>
      </c>
      <c r="G670" s="67">
        <f>'90146_2025'!F114</f>
        <v>1</v>
      </c>
      <c r="H670" s="54">
        <f>'90146_2025'!H114</f>
        <v>512000</v>
      </c>
      <c r="I670" s="54">
        <f>'90146_2025'!I114</f>
        <v>512000</v>
      </c>
      <c r="J670" s="55" t="s">
        <v>194</v>
      </c>
      <c r="K670" s="462" t="str">
        <f>'90146_2025'!K114</f>
        <v>FOTON 916 + CESTO AEREO
</v>
      </c>
      <c r="L670" s="462" t="str">
        <f>'90146_2025'!L114</f>
        <v>46.135.499/0002-26
</v>
      </c>
      <c r="M670" s="462" t="str">
        <f>'90146_2025'!M114</f>
        <v>FORZA DISTRIBUIDORA LTDA
</v>
      </c>
      <c r="N670" s="462" t="str">
        <f>'90146_2025'!N114</f>
        <v/>
      </c>
      <c r="O670" s="462" t="str">
        <f>'90146_2025'!O114</f>
        <v/>
      </c>
      <c r="P670" s="462" t="str">
        <f>'90146_2025'!P114</f>
        <v/>
      </c>
      <c r="Q670" s="70">
        <f>'90146_2025'!Q114</f>
        <v>46351</v>
      </c>
      <c r="R670" s="463"/>
    </row>
    <row r="671" hidden="1">
      <c r="A671" s="326" t="s">
        <v>1003</v>
      </c>
      <c r="B671" s="33">
        <v>12.0</v>
      </c>
      <c r="C671" s="33" t="s">
        <v>381</v>
      </c>
      <c r="D671" s="33" t="s">
        <v>285</v>
      </c>
      <c r="E671" s="64">
        <v>1.0</v>
      </c>
      <c r="F671" s="43">
        <v>0.0</v>
      </c>
      <c r="G671" s="56">
        <f>'90146_2025'!F115</f>
        <v>1</v>
      </c>
      <c r="H671" s="40">
        <f>'90146_2025'!H115</f>
        <v>512000</v>
      </c>
      <c r="I671" s="40">
        <f>'90146_2025'!I115</f>
        <v>512000</v>
      </c>
      <c r="J671" s="64" t="s">
        <v>210</v>
      </c>
      <c r="K671" s="459" t="str">
        <f>'90146_2025'!K115</f>
        <v>FOTON 916 + CESTO AEREO
</v>
      </c>
      <c r="L671" s="459" t="str">
        <f>'90146_2025'!L115</f>
        <v>46.135.499/0002-26
</v>
      </c>
      <c r="M671" s="459" t="str">
        <f>'90146_2025'!M115</f>
        <v>FORZA DISTRIBUIDORA LTDA
</v>
      </c>
      <c r="N671" s="459" t="str">
        <f>'90146_2025'!N115</f>
        <v/>
      </c>
      <c r="O671" s="459" t="str">
        <f>'90146_2025'!O115</f>
        <v/>
      </c>
      <c r="P671" s="459" t="str">
        <f>'90146_2025'!P115</f>
        <v/>
      </c>
      <c r="Q671" s="63">
        <f>'90146_2025'!Q115</f>
        <v>46351</v>
      </c>
      <c r="R671" s="460"/>
    </row>
    <row r="672" hidden="1">
      <c r="A672" s="461" t="s">
        <v>1003</v>
      </c>
      <c r="B672" s="49">
        <v>12.0</v>
      </c>
      <c r="C672" s="49" t="s">
        <v>381</v>
      </c>
      <c r="D672" s="49" t="s">
        <v>285</v>
      </c>
      <c r="E672" s="55">
        <v>1.0</v>
      </c>
      <c r="F672" s="58">
        <v>0.0</v>
      </c>
      <c r="G672" s="67">
        <f>'90146_2025'!F116</f>
        <v>0</v>
      </c>
      <c r="H672" s="54">
        <f>'90146_2025'!H116</f>
        <v>512000</v>
      </c>
      <c r="I672" s="54">
        <f>'90146_2025'!I116</f>
        <v>512000</v>
      </c>
      <c r="J672" s="55" t="s">
        <v>214</v>
      </c>
      <c r="K672" s="462" t="str">
        <f>'90146_2025'!K116</f>
        <v>FOTON 916 + CESTO AEREO
</v>
      </c>
      <c r="L672" s="462" t="str">
        <f>#REF!</f>
        <v>#REF!</v>
      </c>
      <c r="M672" s="462" t="str">
        <f>'90146_2025'!M116</f>
        <v>FORZA DISTRIBUIDORA LTDA
</v>
      </c>
      <c r="N672" s="462" t="str">
        <f>'90146_2025'!N116</f>
        <v/>
      </c>
      <c r="O672" s="462" t="str">
        <f>'90146_2025'!O116</f>
        <v/>
      </c>
      <c r="P672" s="462" t="str">
        <f>'90146_2025'!P116</f>
        <v/>
      </c>
      <c r="Q672" s="70">
        <f>'90146_2025'!Q116</f>
        <v>46351</v>
      </c>
      <c r="R672" s="463"/>
    </row>
    <row r="673" hidden="1">
      <c r="A673" s="326" t="s">
        <v>1003</v>
      </c>
      <c r="B673" s="33">
        <v>13.0</v>
      </c>
      <c r="C673" s="33" t="s">
        <v>407</v>
      </c>
      <c r="D673" s="33" t="s">
        <v>293</v>
      </c>
      <c r="E673" s="64">
        <v>1.0</v>
      </c>
      <c r="F673" s="43">
        <v>0.0</v>
      </c>
      <c r="G673" s="56">
        <f>'90146_2025'!F117</f>
        <v>0</v>
      </c>
      <c r="H673" s="40">
        <f>'90146_2025'!H117</f>
        <v>362000</v>
      </c>
      <c r="I673" s="40">
        <f>'90146_2025'!I117</f>
        <v>362000</v>
      </c>
      <c r="J673" s="64" t="s">
        <v>58</v>
      </c>
      <c r="K673" s="459" t="str">
        <f>'90146_2025'!K117</f>
        <v>XC870BRII</v>
      </c>
      <c r="L673" s="459" t="str">
        <f>'90146_2025'!L116</f>
        <v>14.707.364/0001-10
</v>
      </c>
      <c r="M673" s="459" t="str">
        <f>'90146_2025'!M117</f>
        <v>XCMG BRASIL INDUSTRIA LTDA
</v>
      </c>
      <c r="N673" s="459" t="str">
        <f>'90146_2025'!N117</f>
        <v/>
      </c>
      <c r="O673" s="459" t="str">
        <f>'90146_2025'!O117</f>
        <v/>
      </c>
      <c r="P673" s="459" t="str">
        <f>'90146_2025'!P117</f>
        <v/>
      </c>
      <c r="Q673" s="63" t="str">
        <f>'90146_2025'!Q117</f>
        <v/>
      </c>
      <c r="R673" s="460"/>
    </row>
    <row r="674" hidden="1">
      <c r="A674" s="461" t="s">
        <v>1003</v>
      </c>
      <c r="B674" s="49">
        <v>13.0</v>
      </c>
      <c r="C674" s="49" t="s">
        <v>407</v>
      </c>
      <c r="D674" s="49" t="s">
        <v>293</v>
      </c>
      <c r="E674" s="55">
        <v>1.0</v>
      </c>
      <c r="F674" s="58">
        <v>0.0</v>
      </c>
      <c r="G674" s="67">
        <f>'90146_2025'!F118</f>
        <v>0</v>
      </c>
      <c r="H674" s="54">
        <f>'90146_2025'!H118</f>
        <v>362000</v>
      </c>
      <c r="I674" s="54">
        <f>'90146_2025'!I118</f>
        <v>362000</v>
      </c>
      <c r="J674" s="55" t="s">
        <v>160</v>
      </c>
      <c r="K674" s="462" t="str">
        <f>'90146_2025'!K118</f>
        <v>XC870BRII</v>
      </c>
      <c r="L674" s="462" t="str">
        <f>'90146_2025'!L118</f>
        <v>14.707.364/0001-10
</v>
      </c>
      <c r="M674" s="462" t="str">
        <f>'90146_2025'!M118</f>
        <v>XCMG BRASIL INDUSTRIA LTDA
</v>
      </c>
      <c r="N674" s="462" t="str">
        <f>'90146_2025'!N118</f>
        <v/>
      </c>
      <c r="O674" s="462" t="str">
        <f>'90146_2025'!O118</f>
        <v/>
      </c>
      <c r="P674" s="462" t="str">
        <f>'90146_2025'!P118</f>
        <v/>
      </c>
      <c r="Q674" s="70" t="str">
        <f>'90146_2025'!Q118</f>
        <v/>
      </c>
      <c r="R674" s="463"/>
    </row>
    <row r="675" hidden="1">
      <c r="A675" s="326" t="s">
        <v>1003</v>
      </c>
      <c r="B675" s="169">
        <v>13.0</v>
      </c>
      <c r="C675" s="33" t="s">
        <v>407</v>
      </c>
      <c r="D675" s="33" t="s">
        <v>293</v>
      </c>
      <c r="E675" s="64">
        <v>1.0</v>
      </c>
      <c r="F675" s="43">
        <v>0.0</v>
      </c>
      <c r="G675" s="56">
        <f>'90146_2025'!F119</f>
        <v>0</v>
      </c>
      <c r="H675" s="40">
        <f>'90146_2025'!H119</f>
        <v>362000</v>
      </c>
      <c r="I675" s="40">
        <f>'90146_2025'!I119</f>
        <v>362000</v>
      </c>
      <c r="J675" s="64" t="s">
        <v>192</v>
      </c>
      <c r="K675" s="459" t="str">
        <f>'90146_2025'!K119</f>
        <v>XC870BRII</v>
      </c>
      <c r="L675" s="459" t="str">
        <f>'90146_2025'!L119</f>
        <v>14.707.364/0001-10
</v>
      </c>
      <c r="M675" s="459" t="str">
        <f>'90146_2025'!M119</f>
        <v>XCMG BRASIL INDUSTRIA LTDA
</v>
      </c>
      <c r="N675" s="459" t="str">
        <f>'90146_2025'!N119</f>
        <v/>
      </c>
      <c r="O675" s="459" t="str">
        <f>'90146_2025'!O119</f>
        <v/>
      </c>
      <c r="P675" s="459" t="str">
        <f>'90146_2025'!P119</f>
        <v/>
      </c>
      <c r="Q675" s="63" t="str">
        <f>'90146_2025'!Q119</f>
        <v/>
      </c>
      <c r="R675" s="460"/>
    </row>
    <row r="676" hidden="1">
      <c r="A676" s="461" t="s">
        <v>1003</v>
      </c>
      <c r="B676" s="49">
        <v>14.0</v>
      </c>
      <c r="C676" s="49" t="s">
        <v>417</v>
      </c>
      <c r="D676" s="49" t="s">
        <v>297</v>
      </c>
      <c r="E676" s="93">
        <v>1.0</v>
      </c>
      <c r="F676" s="58">
        <v>0.0</v>
      </c>
      <c r="G676" s="67">
        <f>'90146_2025'!F120</f>
        <v>1</v>
      </c>
      <c r="H676" s="54">
        <f>'90146_2025'!H120</f>
        <v>555000</v>
      </c>
      <c r="I676" s="54">
        <f>'90146_2025'!I120</f>
        <v>555000</v>
      </c>
      <c r="J676" s="93" t="s">
        <v>58</v>
      </c>
      <c r="K676" s="462" t="str">
        <f>'90146_2025'!K120</f>
        <v>FOTON 1722
</v>
      </c>
      <c r="L676" s="462" t="str">
        <f>'90146_2025'!L120</f>
        <v>46.135.499/0002-26
</v>
      </c>
      <c r="M676" s="462" t="str">
        <f>'90146_2025'!M120</f>
        <v>FORZA DISTRIBUIDORA LTDA
</v>
      </c>
      <c r="N676" s="462" t="str">
        <f>'90146_2025'!N120</f>
        <v/>
      </c>
      <c r="O676" s="462" t="str">
        <f>'90146_2025'!O120</f>
        <v/>
      </c>
      <c r="P676" s="462" t="str">
        <f>'90146_2025'!P120</f>
        <v/>
      </c>
      <c r="Q676" s="70">
        <f>'90146_2025'!Q120</f>
        <v>46351</v>
      </c>
      <c r="R676" s="463"/>
    </row>
    <row r="677" hidden="1">
      <c r="A677" s="326" t="s">
        <v>1003</v>
      </c>
      <c r="B677" s="169">
        <v>14.0</v>
      </c>
      <c r="C677" s="33" t="s">
        <v>417</v>
      </c>
      <c r="D677" s="33" t="s">
        <v>297</v>
      </c>
      <c r="E677" s="80">
        <v>1.0</v>
      </c>
      <c r="F677" s="43">
        <v>0.0</v>
      </c>
      <c r="G677" s="56">
        <f>'90146_2025'!F121</f>
        <v>1</v>
      </c>
      <c r="H677" s="40">
        <f>'90146_2025'!H121</f>
        <v>555000</v>
      </c>
      <c r="I677" s="40">
        <f>'90146_2025'!I121</f>
        <v>555000</v>
      </c>
      <c r="J677" s="41" t="s">
        <v>231</v>
      </c>
      <c r="K677" s="459" t="str">
        <f>'90146_2025'!K121</f>
        <v>FOTON 1722
</v>
      </c>
      <c r="L677" s="459" t="str">
        <f>'90146_2025'!L121</f>
        <v>46.135.499/0002-26
</v>
      </c>
      <c r="M677" s="459" t="str">
        <f>'90146_2025'!M121</f>
        <v>FORZA DISTRIBUIDORA LTDA
</v>
      </c>
      <c r="N677" s="459" t="str">
        <f>'90146_2025'!N121</f>
        <v/>
      </c>
      <c r="O677" s="459" t="str">
        <f>'90146_2025'!O121</f>
        <v/>
      </c>
      <c r="P677" s="459" t="str">
        <f>'90146_2025'!P121</f>
        <v/>
      </c>
      <c r="Q677" s="63">
        <f>'90146_2025'!Q121</f>
        <v>46351</v>
      </c>
      <c r="R677" s="460"/>
    </row>
    <row r="678" hidden="1">
      <c r="A678" s="461" t="s">
        <v>1003</v>
      </c>
      <c r="B678" s="132">
        <v>14.0</v>
      </c>
      <c r="C678" s="49" t="s">
        <v>417</v>
      </c>
      <c r="D678" s="49" t="s">
        <v>297</v>
      </c>
      <c r="E678" s="175">
        <v>1.0</v>
      </c>
      <c r="F678" s="58">
        <v>0.0</v>
      </c>
      <c r="G678" s="67">
        <f>'90146_2025'!F122</f>
        <v>1</v>
      </c>
      <c r="H678" s="54">
        <f>'90146_2025'!H122</f>
        <v>555000</v>
      </c>
      <c r="I678" s="54">
        <f>'90146_2025'!I122</f>
        <v>555000</v>
      </c>
      <c r="J678" s="93" t="s">
        <v>194</v>
      </c>
      <c r="K678" s="462" t="str">
        <f>'90146_2025'!K122</f>
        <v>FOTON 1722
</v>
      </c>
      <c r="L678" s="462" t="str">
        <f>'90146_2025'!L122</f>
        <v>46.135.499/0002-26
</v>
      </c>
      <c r="M678" s="462" t="str">
        <f>'90146_2025'!M122</f>
        <v>FORZA DISTRIBUIDORA LTDA
</v>
      </c>
      <c r="N678" s="462" t="str">
        <f>'90146_2025'!N122</f>
        <v/>
      </c>
      <c r="O678" s="462" t="str">
        <f>'90146_2025'!O122</f>
        <v/>
      </c>
      <c r="P678" s="462" t="str">
        <f>'90146_2025'!P122</f>
        <v/>
      </c>
      <c r="Q678" s="70">
        <f>'90146_2025'!Q122</f>
        <v>46351</v>
      </c>
      <c r="R678" s="463"/>
    </row>
    <row r="679" hidden="1">
      <c r="A679" s="326" t="s">
        <v>1003</v>
      </c>
      <c r="B679" s="169">
        <v>15.0</v>
      </c>
      <c r="C679" s="176" t="s">
        <v>426</v>
      </c>
      <c r="D679" s="177" t="s">
        <v>427</v>
      </c>
      <c r="E679" s="80">
        <v>1.0</v>
      </c>
      <c r="F679" s="43">
        <v>0.0</v>
      </c>
      <c r="G679" s="56">
        <f>'90146_2025'!F124</f>
        <v>1</v>
      </c>
      <c r="H679" s="40">
        <f>'90146_2025'!H124</f>
        <v>14500</v>
      </c>
      <c r="I679" s="40">
        <f>'90146_2025'!I124</f>
        <v>14500</v>
      </c>
      <c r="J679" s="178" t="s">
        <v>58</v>
      </c>
      <c r="K679" s="459" t="str">
        <f>'90146_2025'!K124</f>
        <v>ADL</v>
      </c>
      <c r="L679" s="459" t="str">
        <f>'90146_2025'!L124</f>
        <v>29.127.216/0001-02
</v>
      </c>
      <c r="M679" s="459" t="str">
        <f>'90146_2025'!M124</f>
        <v>AF EMPREENDIMENTOS LTDA
</v>
      </c>
      <c r="N679" s="459" t="str">
        <f>'90146_2025'!N124</f>
        <v/>
      </c>
      <c r="O679" s="459" t="str">
        <f>'90146_2025'!O124</f>
        <v/>
      </c>
      <c r="P679" s="459" t="str">
        <f>'90146_2025'!P124</f>
        <v/>
      </c>
      <c r="Q679" s="63">
        <f>'90146_2025'!Q124</f>
        <v>46394</v>
      </c>
      <c r="R679" s="460"/>
    </row>
    <row r="680" hidden="1">
      <c r="A680" s="461" t="s">
        <v>1003</v>
      </c>
      <c r="B680" s="132">
        <v>15.0</v>
      </c>
      <c r="C680" s="180" t="s">
        <v>426</v>
      </c>
      <c r="D680" s="181" t="s">
        <v>427</v>
      </c>
      <c r="E680" s="93">
        <v>1.0</v>
      </c>
      <c r="F680" s="58">
        <v>0.0</v>
      </c>
      <c r="G680" s="67">
        <f>'90146_2025'!F123</f>
        <v>1</v>
      </c>
      <c r="H680" s="54">
        <f>'90146_2025'!H123</f>
        <v>14500</v>
      </c>
      <c r="I680" s="54">
        <f>'90146_2025'!I123</f>
        <v>14500</v>
      </c>
      <c r="J680" s="182" t="s">
        <v>428</v>
      </c>
      <c r="K680" s="462" t="str">
        <f>'90146_2025'!K123</f>
        <v>ADL</v>
      </c>
      <c r="L680" s="462" t="str">
        <f>'90146_2025'!L123</f>
        <v>29.127.216/0001-02
</v>
      </c>
      <c r="M680" s="462" t="str">
        <f>'90146_2025'!M123</f>
        <v>AF EMPREENDIMENTOS LTDA
</v>
      </c>
      <c r="N680" s="462" t="str">
        <f>'90146_2025'!N123</f>
        <v/>
      </c>
      <c r="O680" s="462" t="str">
        <f>'90146_2025'!O123</f>
        <v/>
      </c>
      <c r="P680" s="462" t="str">
        <f>'90146_2025'!P123</f>
        <v/>
      </c>
      <c r="Q680" s="70">
        <f>'90146_2025'!Q123</f>
        <v>46394</v>
      </c>
      <c r="R680" s="463"/>
    </row>
    <row r="681" hidden="1">
      <c r="A681" s="326" t="s">
        <v>1003</v>
      </c>
      <c r="B681" s="169">
        <v>15.0</v>
      </c>
      <c r="C681" s="176" t="s">
        <v>426</v>
      </c>
      <c r="D681" s="177" t="s">
        <v>427</v>
      </c>
      <c r="E681" s="80">
        <v>1.0</v>
      </c>
      <c r="F681" s="43">
        <v>0.0</v>
      </c>
      <c r="G681" s="56">
        <f>'90146_2025'!F125</f>
        <v>1</v>
      </c>
      <c r="H681" s="40">
        <f>'90146_2025'!H125</f>
        <v>14500</v>
      </c>
      <c r="I681" s="40">
        <f>'90146_2025'!I125</f>
        <v>14500</v>
      </c>
      <c r="J681" s="178" t="s">
        <v>432</v>
      </c>
      <c r="K681" s="459" t="str">
        <f>'90146_2025'!K125</f>
        <v>ADL</v>
      </c>
      <c r="L681" s="459" t="str">
        <f>'90146_2025'!L125</f>
        <v>29.127.216/0001-02
</v>
      </c>
      <c r="M681" s="459" t="str">
        <f>'90146_2025'!M125</f>
        <v>AF EMPREENDIMENTOS LTDA
</v>
      </c>
      <c r="N681" s="459" t="str">
        <f>'90146_2025'!N125</f>
        <v/>
      </c>
      <c r="O681" s="459" t="str">
        <f>'90146_2025'!O125</f>
        <v/>
      </c>
      <c r="P681" s="459" t="str">
        <f>'90146_2025'!P125</f>
        <v/>
      </c>
      <c r="Q681" s="63">
        <f>'90146_2025'!Q125</f>
        <v>46394</v>
      </c>
      <c r="R681" s="460"/>
    </row>
    <row r="682" hidden="1">
      <c r="A682" s="461" t="s">
        <v>1003</v>
      </c>
      <c r="B682" s="132">
        <v>15.0</v>
      </c>
      <c r="C682" s="180" t="s">
        <v>426</v>
      </c>
      <c r="D682" s="181" t="s">
        <v>427</v>
      </c>
      <c r="E682" s="93">
        <v>1.0</v>
      </c>
      <c r="F682" s="58">
        <v>0.0</v>
      </c>
      <c r="G682" s="67">
        <f>'90146_2025'!F126</f>
        <v>1</v>
      </c>
      <c r="H682" s="54">
        <f>'90146_2025'!H126</f>
        <v>14500</v>
      </c>
      <c r="I682" s="54">
        <f>'90146_2025'!I126</f>
        <v>14500</v>
      </c>
      <c r="J682" s="182" t="s">
        <v>433</v>
      </c>
      <c r="K682" s="462" t="str">
        <f>'90146_2025'!K126</f>
        <v>ADL</v>
      </c>
      <c r="L682" s="462" t="str">
        <f>'90146_2025'!L126</f>
        <v>29.127.216/0001-02
</v>
      </c>
      <c r="M682" s="462" t="str">
        <f>'90146_2025'!M126</f>
        <v>AF EMPREENDIMENTOS LTDA
</v>
      </c>
      <c r="N682" s="462" t="str">
        <f>'90146_2025'!N126</f>
        <v/>
      </c>
      <c r="O682" s="462" t="str">
        <f>'90146_2025'!O126</f>
        <v/>
      </c>
      <c r="P682" s="462" t="str">
        <f>'90146_2025'!P126</f>
        <v/>
      </c>
      <c r="Q682" s="70">
        <f>'90146_2025'!Q126</f>
        <v>46394</v>
      </c>
      <c r="R682" s="463"/>
    </row>
    <row r="683" hidden="1">
      <c r="A683" s="326" t="s">
        <v>1003</v>
      </c>
      <c r="B683" s="169">
        <v>15.0</v>
      </c>
      <c r="C683" s="176" t="s">
        <v>426</v>
      </c>
      <c r="D683" s="177" t="s">
        <v>427</v>
      </c>
      <c r="E683" s="80">
        <v>1.0</v>
      </c>
      <c r="F683" s="43">
        <v>0.0</v>
      </c>
      <c r="G683" s="56">
        <f>'90146_2025'!F127</f>
        <v>1</v>
      </c>
      <c r="H683" s="40">
        <f>'90146_2025'!H127</f>
        <v>14500</v>
      </c>
      <c r="I683" s="40">
        <f>'90146_2025'!I127</f>
        <v>14500</v>
      </c>
      <c r="J683" s="178" t="s">
        <v>434</v>
      </c>
      <c r="K683" s="459" t="str">
        <f>'90146_2025'!K127</f>
        <v>ADL</v>
      </c>
      <c r="L683" s="459" t="str">
        <f>'90146_2025'!L127</f>
        <v>29.127.216/0001-02
</v>
      </c>
      <c r="M683" s="459" t="str">
        <f>'90146_2025'!M127</f>
        <v>AF EMPREENDIMENTOS LTDA
</v>
      </c>
      <c r="N683" s="459" t="str">
        <f>'90146_2025'!N127</f>
        <v/>
      </c>
      <c r="O683" s="459" t="str">
        <f>'90146_2025'!O127</f>
        <v/>
      </c>
      <c r="P683" s="459" t="str">
        <f>'90146_2025'!P127</f>
        <v/>
      </c>
      <c r="Q683" s="63">
        <f>'90146_2025'!Q127</f>
        <v>46394</v>
      </c>
      <c r="R683" s="460"/>
    </row>
    <row r="684" hidden="1">
      <c r="A684" s="461" t="s">
        <v>1003</v>
      </c>
      <c r="B684" s="132">
        <v>16.0</v>
      </c>
      <c r="C684" s="184" t="s">
        <v>435</v>
      </c>
      <c r="D684" s="181" t="s">
        <v>305</v>
      </c>
      <c r="E684" s="186">
        <v>2.0</v>
      </c>
      <c r="F684" s="58">
        <v>0.0</v>
      </c>
      <c r="G684" s="67">
        <f>'90146_2025'!F128</f>
        <v>0</v>
      </c>
      <c r="H684" s="54">
        <f>'90146_2025'!H128</f>
        <v>294800</v>
      </c>
      <c r="I684" s="54">
        <f>'90146_2025'!I128</f>
        <v>589600</v>
      </c>
      <c r="J684" s="188" t="s">
        <v>58</v>
      </c>
      <c r="K684" s="462" t="str">
        <f>'90146_2025'!K128</f>
        <v>RENAULT MASTER </v>
      </c>
      <c r="L684" s="462" t="str">
        <f>'90146_2025'!L128</f>
        <v>29.987.662/0001-89
</v>
      </c>
      <c r="M684" s="462" t="str">
        <f>'90146_2025'!M128</f>
        <v>SOCIETE COMERCIO DE VEICULOS LTDA
</v>
      </c>
      <c r="N684" s="462" t="str">
        <f>'90146_2025'!N128</f>
        <v/>
      </c>
      <c r="O684" s="462" t="str">
        <f>'90146_2025'!O128</f>
        <v/>
      </c>
      <c r="P684" s="462" t="str">
        <f>'90146_2025'!P128</f>
        <v/>
      </c>
      <c r="Q684" s="70" t="str">
        <f>'90146_2025'!Q128</f>
        <v/>
      </c>
      <c r="R684" s="463"/>
    </row>
    <row r="685" hidden="1">
      <c r="A685" s="326" t="s">
        <v>1003</v>
      </c>
      <c r="B685" s="169">
        <v>16.0</v>
      </c>
      <c r="C685" s="189" t="s">
        <v>435</v>
      </c>
      <c r="D685" s="177" t="s">
        <v>305</v>
      </c>
      <c r="E685" s="64">
        <v>1.0</v>
      </c>
      <c r="F685" s="43">
        <v>0.0</v>
      </c>
      <c r="G685" s="56">
        <f>'90146_2025'!F129</f>
        <v>0</v>
      </c>
      <c r="H685" s="40">
        <f>'90146_2025'!H129</f>
        <v>294800</v>
      </c>
      <c r="I685" s="40">
        <f>'90146_2025'!I129</f>
        <v>294800</v>
      </c>
      <c r="J685" s="64" t="s">
        <v>103</v>
      </c>
      <c r="K685" s="459" t="str">
        <f>'90146_2025'!K129</f>
        <v>RENAULT MASTER </v>
      </c>
      <c r="L685" s="459" t="str">
        <f>'90146_2025'!L129</f>
        <v>29.987.662/0001-89
</v>
      </c>
      <c r="M685" s="459" t="str">
        <f>'90146_2025'!M129</f>
        <v>SOCIETE COMERCIO DE VEICULOS LTDA
</v>
      </c>
      <c r="N685" s="459" t="str">
        <f>'90146_2025'!N129</f>
        <v/>
      </c>
      <c r="O685" s="459" t="str">
        <f>'90146_2025'!O129</f>
        <v/>
      </c>
      <c r="P685" s="459" t="str">
        <f>'90146_2025'!P129</f>
        <v/>
      </c>
      <c r="Q685" s="63" t="str">
        <f>'90146_2025'!Q129</f>
        <v/>
      </c>
      <c r="R685" s="460"/>
    </row>
    <row r="686" hidden="1">
      <c r="A686" s="461" t="s">
        <v>1003</v>
      </c>
      <c r="B686" s="132">
        <v>16.0</v>
      </c>
      <c r="C686" s="184" t="s">
        <v>435</v>
      </c>
      <c r="D686" s="181" t="s">
        <v>305</v>
      </c>
      <c r="E686" s="55">
        <v>1.0</v>
      </c>
      <c r="F686" s="58">
        <v>0.0</v>
      </c>
      <c r="G686" s="67">
        <f>'90146_2025'!F130</f>
        <v>0</v>
      </c>
      <c r="H686" s="54">
        <f>'90146_2025'!H130</f>
        <v>294800</v>
      </c>
      <c r="I686" s="54">
        <f>'90146_2025'!I130</f>
        <v>294800</v>
      </c>
      <c r="J686" s="55" t="s">
        <v>447</v>
      </c>
      <c r="K686" s="462" t="str">
        <f>'90146_2025'!K130</f>
        <v>RENAULT MASTER </v>
      </c>
      <c r="L686" s="462" t="str">
        <f>'90146_2025'!L130</f>
        <v>29.987.662/0001-89
</v>
      </c>
      <c r="M686" s="462" t="str">
        <f>'90146_2025'!M130</f>
        <v>SOCIETE COMERCIO DE VEICULOS LTDA
</v>
      </c>
      <c r="N686" s="462" t="str">
        <f>'90146_2025'!N130</f>
        <v/>
      </c>
      <c r="O686" s="462" t="str">
        <f>'90146_2025'!O130</f>
        <v/>
      </c>
      <c r="P686" s="462" t="str">
        <f>'90146_2025'!P130</f>
        <v/>
      </c>
      <c r="Q686" s="70" t="str">
        <f>'90146_2025'!Q130</f>
        <v/>
      </c>
      <c r="R686" s="463"/>
    </row>
    <row r="687" hidden="1">
      <c r="A687" s="326" t="s">
        <v>1003</v>
      </c>
      <c r="B687" s="169">
        <v>16.0</v>
      </c>
      <c r="C687" s="189" t="s">
        <v>435</v>
      </c>
      <c r="D687" s="177" t="s">
        <v>305</v>
      </c>
      <c r="E687" s="64">
        <v>1.0</v>
      </c>
      <c r="F687" s="43">
        <v>0.0</v>
      </c>
      <c r="G687" s="56">
        <f>'90146_2025'!F131</f>
        <v>0</v>
      </c>
      <c r="H687" s="40">
        <f>'90146_2025'!H131</f>
        <v>294800</v>
      </c>
      <c r="I687" s="40">
        <f>'90146_2025'!I131</f>
        <v>294800</v>
      </c>
      <c r="J687" s="64" t="s">
        <v>201</v>
      </c>
      <c r="K687" s="459" t="str">
        <f>'90146_2025'!K131</f>
        <v>RENAULT MASTER </v>
      </c>
      <c r="L687" s="459" t="str">
        <f>'90146_2025'!L131</f>
        <v>29.987.662/0001-89
</v>
      </c>
      <c r="M687" s="459" t="str">
        <f>'90146_2025'!M131</f>
        <v>SOCIETE COMERCIO DE VEICULOS LTDA
</v>
      </c>
      <c r="N687" s="459" t="str">
        <f>'90146_2025'!N131</f>
        <v/>
      </c>
      <c r="O687" s="459" t="str">
        <f>'90146_2025'!O131</f>
        <v/>
      </c>
      <c r="P687" s="459" t="str">
        <f>'90146_2025'!P131</f>
        <v/>
      </c>
      <c r="Q687" s="63" t="str">
        <f>'90146_2025'!Q131</f>
        <v/>
      </c>
      <c r="R687" s="460"/>
    </row>
    <row r="688" hidden="1">
      <c r="A688" s="461" t="s">
        <v>1003</v>
      </c>
      <c r="B688" s="49">
        <v>17.0</v>
      </c>
      <c r="C688" s="49" t="s">
        <v>448</v>
      </c>
      <c r="D688" s="49" t="s">
        <v>310</v>
      </c>
      <c r="E688" s="55">
        <v>1.0</v>
      </c>
      <c r="F688" s="58">
        <v>0.0</v>
      </c>
      <c r="G688" s="67">
        <f>'90146_2025'!F132</f>
        <v>0</v>
      </c>
      <c r="H688" s="54">
        <f>'90146_2025'!H132</f>
        <v>145000</v>
      </c>
      <c r="I688" s="54">
        <f>'90146_2025'!I132</f>
        <v>145000</v>
      </c>
      <c r="J688" s="55" t="s">
        <v>58</v>
      </c>
      <c r="K688" s="462" t="str">
        <f>'90146_2025'!K132</f>
        <v>PEUGEOT PARTNER </v>
      </c>
      <c r="L688" s="462" t="str">
        <f>'90146_2025'!L132</f>
        <v>29.987.662/0001-89
</v>
      </c>
      <c r="M688" s="462" t="str">
        <f>'90146_2025'!M132</f>
        <v>SOCIETE COMERCIO DE VEICULOS LTDA
</v>
      </c>
      <c r="N688" s="462" t="str">
        <f>'90146_2025'!N132</f>
        <v/>
      </c>
      <c r="O688" s="462" t="str">
        <f>'90146_2025'!O132</f>
        <v/>
      </c>
      <c r="P688" s="462" t="str">
        <f>'90146_2025'!P132</f>
        <v/>
      </c>
      <c r="Q688" s="70" t="str">
        <f>'90146_2025'!Q132</f>
        <v/>
      </c>
      <c r="R688" s="463"/>
    </row>
    <row r="689" hidden="1">
      <c r="A689" s="326" t="s">
        <v>1003</v>
      </c>
      <c r="B689" s="33">
        <v>17.0</v>
      </c>
      <c r="C689" s="33" t="s">
        <v>448</v>
      </c>
      <c r="D689" s="33" t="s">
        <v>310</v>
      </c>
      <c r="E689" s="64">
        <v>1.0</v>
      </c>
      <c r="F689" s="43">
        <v>0.0</v>
      </c>
      <c r="G689" s="56">
        <f>'90146_2025'!F133</f>
        <v>0</v>
      </c>
      <c r="H689" s="40">
        <f>'90146_2025'!H133</f>
        <v>145000</v>
      </c>
      <c r="I689" s="40">
        <f>'90146_2025'!I133</f>
        <v>145000</v>
      </c>
      <c r="J689" s="64" t="s">
        <v>232</v>
      </c>
      <c r="K689" s="459" t="str">
        <f>'90146_2025'!K133</f>
        <v>PEUGEOT PARTNER </v>
      </c>
      <c r="L689" s="459" t="str">
        <f>'90146_2025'!L133</f>
        <v>29.987.662/0001-89
</v>
      </c>
      <c r="M689" s="459" t="str">
        <f>'90146_2025'!M133</f>
        <v>SOCIETE COMERCIO DE VEICULOS LTDA
</v>
      </c>
      <c r="N689" s="459" t="str">
        <f>'90146_2025'!N133</f>
        <v/>
      </c>
      <c r="O689" s="459" t="str">
        <f>'90146_2025'!O133</f>
        <v/>
      </c>
      <c r="P689" s="459" t="str">
        <f>'90146_2025'!P133</f>
        <v/>
      </c>
      <c r="Q689" s="63" t="str">
        <f>'90146_2025'!Q133</f>
        <v/>
      </c>
      <c r="R689" s="460"/>
    </row>
    <row r="690" hidden="1">
      <c r="A690" s="461" t="s">
        <v>1003</v>
      </c>
      <c r="B690" s="49">
        <v>17.0</v>
      </c>
      <c r="C690" s="49" t="s">
        <v>448</v>
      </c>
      <c r="D690" s="49" t="s">
        <v>310</v>
      </c>
      <c r="E690" s="55">
        <v>1.0</v>
      </c>
      <c r="F690" s="58">
        <v>0.0</v>
      </c>
      <c r="G690" s="67">
        <f>'90146_2025'!F134</f>
        <v>0</v>
      </c>
      <c r="H690" s="54">
        <f>'90146_2025'!H134</f>
        <v>145000</v>
      </c>
      <c r="I690" s="54">
        <f>'90146_2025'!I134</f>
        <v>145000</v>
      </c>
      <c r="J690" s="55" t="s">
        <v>117</v>
      </c>
      <c r="K690" s="462" t="str">
        <f>'90146_2025'!K134</f>
        <v>PEUGEOT PARTNER </v>
      </c>
      <c r="L690" s="462" t="str">
        <f>'90146_2025'!L134</f>
        <v>29.987.662/0001-89
</v>
      </c>
      <c r="M690" s="462" t="str">
        <f>'90146_2025'!M134</f>
        <v>SOCIETE COMERCIO DE VEICULOS LTDA
</v>
      </c>
      <c r="N690" s="462" t="str">
        <f>'90146_2025'!N134</f>
        <v/>
      </c>
      <c r="O690" s="462" t="str">
        <f>'90146_2025'!O134</f>
        <v/>
      </c>
      <c r="P690" s="462" t="str">
        <f>'90146_2025'!P134</f>
        <v/>
      </c>
      <c r="Q690" s="70" t="str">
        <f>'90146_2025'!Q134</f>
        <v/>
      </c>
      <c r="R690" s="463"/>
    </row>
    <row r="691" hidden="1">
      <c r="A691" s="326" t="s">
        <v>1003</v>
      </c>
      <c r="B691" s="33">
        <v>17.0</v>
      </c>
      <c r="C691" s="33" t="s">
        <v>448</v>
      </c>
      <c r="D691" s="33" t="s">
        <v>310</v>
      </c>
      <c r="E691" s="64">
        <v>1.0</v>
      </c>
      <c r="F691" s="43">
        <v>0.0</v>
      </c>
      <c r="G691" s="56">
        <f>'90146_2025'!F135</f>
        <v>0</v>
      </c>
      <c r="H691" s="40">
        <f>'90146_2025'!H135</f>
        <v>145000</v>
      </c>
      <c r="I691" s="40">
        <f>'90146_2025'!I135</f>
        <v>145000</v>
      </c>
      <c r="J691" s="64" t="s">
        <v>96</v>
      </c>
      <c r="K691" s="459" t="str">
        <f>'90146_2025'!K135</f>
        <v>PEUGEOT PARTNER </v>
      </c>
      <c r="L691" s="459" t="str">
        <f>'90146_2025'!L135</f>
        <v>29.987.662/0001-89
</v>
      </c>
      <c r="M691" s="459" t="str">
        <f>'90146_2025'!M135</f>
        <v>SOCIETE COMERCIO DE VEICULOS LTDA
</v>
      </c>
      <c r="N691" s="459" t="str">
        <f>'90146_2025'!N135</f>
        <v/>
      </c>
      <c r="O691" s="459" t="str">
        <f>'90146_2025'!O135</f>
        <v/>
      </c>
      <c r="P691" s="459" t="str">
        <f>'90146_2025'!P135</f>
        <v/>
      </c>
      <c r="Q691" s="63" t="str">
        <f>'90146_2025'!Q135</f>
        <v/>
      </c>
      <c r="R691" s="460"/>
    </row>
    <row r="692" hidden="1">
      <c r="A692" s="461" t="s">
        <v>1003</v>
      </c>
      <c r="B692" s="49">
        <v>17.0</v>
      </c>
      <c r="C692" s="49" t="s">
        <v>448</v>
      </c>
      <c r="D692" s="49" t="s">
        <v>310</v>
      </c>
      <c r="E692" s="55">
        <v>1.0</v>
      </c>
      <c r="F692" s="58">
        <v>0.0</v>
      </c>
      <c r="G692" s="67">
        <f>'90146_2025'!F136</f>
        <v>0</v>
      </c>
      <c r="H692" s="54">
        <f>'90146_2025'!H136</f>
        <v>145000</v>
      </c>
      <c r="I692" s="54">
        <f>'90146_2025'!I136</f>
        <v>145000</v>
      </c>
      <c r="J692" s="55" t="s">
        <v>113</v>
      </c>
      <c r="K692" s="462" t="str">
        <f>'90146_2025'!K136</f>
        <v>PEUGEOT PARTNER </v>
      </c>
      <c r="L692" s="462" t="str">
        <f>'90146_2025'!L136</f>
        <v>29.987.662/0001-89
</v>
      </c>
      <c r="M692" s="462" t="str">
        <f>'90146_2025'!M136</f>
        <v>SOCIETE COMERCIO DE VEICULOS LTDA
</v>
      </c>
      <c r="N692" s="462" t="str">
        <f>'90146_2025'!N136</f>
        <v/>
      </c>
      <c r="O692" s="462" t="str">
        <f>'90146_2025'!O136</f>
        <v/>
      </c>
      <c r="P692" s="462" t="str">
        <f>'90146_2025'!P136</f>
        <v/>
      </c>
      <c r="Q692" s="70" t="str">
        <f>'90146_2025'!Q136</f>
        <v/>
      </c>
      <c r="R692" s="463"/>
    </row>
    <row r="693" hidden="1">
      <c r="A693" s="326" t="s">
        <v>1003</v>
      </c>
      <c r="B693" s="33">
        <v>17.0</v>
      </c>
      <c r="C693" s="33" t="s">
        <v>448</v>
      </c>
      <c r="D693" s="33" t="s">
        <v>310</v>
      </c>
      <c r="E693" s="64">
        <v>1.0</v>
      </c>
      <c r="F693" s="43">
        <v>0.0</v>
      </c>
      <c r="G693" s="56">
        <f>'90146_2025'!F137</f>
        <v>0</v>
      </c>
      <c r="H693" s="40">
        <f>'90146_2025'!H137</f>
        <v>145000</v>
      </c>
      <c r="I693" s="40">
        <f>'90146_2025'!I137</f>
        <v>145000</v>
      </c>
      <c r="J693" s="64" t="s">
        <v>161</v>
      </c>
      <c r="K693" s="459" t="str">
        <f>'90146_2025'!K137</f>
        <v>PEUGEOT PARTNER </v>
      </c>
      <c r="L693" s="459" t="str">
        <f>'90146_2025'!L137</f>
        <v>29.987.662/0001-89
</v>
      </c>
      <c r="M693" s="459" t="str">
        <f>'90146_2025'!M137</f>
        <v>SOCIETE COMERCIO DE VEICULOS LTDA
</v>
      </c>
      <c r="N693" s="459" t="str">
        <f>'90146_2025'!N137</f>
        <v/>
      </c>
      <c r="O693" s="459" t="str">
        <f>'90146_2025'!O137</f>
        <v/>
      </c>
      <c r="P693" s="459" t="str">
        <f>'90146_2025'!P137</f>
        <v/>
      </c>
      <c r="Q693" s="63" t="str">
        <f>'90146_2025'!Q137</f>
        <v/>
      </c>
      <c r="R693" s="460"/>
    </row>
    <row r="694" hidden="1">
      <c r="A694" s="461" t="s">
        <v>1003</v>
      </c>
      <c r="B694" s="49">
        <v>17.0</v>
      </c>
      <c r="C694" s="49" t="s">
        <v>448</v>
      </c>
      <c r="D694" s="49" t="s">
        <v>310</v>
      </c>
      <c r="E694" s="55">
        <v>1.0</v>
      </c>
      <c r="F694" s="58">
        <v>0.0</v>
      </c>
      <c r="G694" s="67">
        <f>'90146_2025'!F138</f>
        <v>0</v>
      </c>
      <c r="H694" s="54">
        <f>'90146_2025'!H138</f>
        <v>145000</v>
      </c>
      <c r="I694" s="54">
        <f>'90146_2025'!I138</f>
        <v>145000</v>
      </c>
      <c r="J694" s="55" t="s">
        <v>228</v>
      </c>
      <c r="K694" s="462" t="str">
        <f>'90146_2025'!K138</f>
        <v>PEUGEOT PARTNER </v>
      </c>
      <c r="L694" s="462" t="str">
        <f>'90146_2025'!L138</f>
        <v>29.987.662/0001-89
</v>
      </c>
      <c r="M694" s="462" t="str">
        <f>'90146_2025'!M138</f>
        <v>SOCIETE COMERCIO DE VEICULOS LTDA
</v>
      </c>
      <c r="N694" s="462" t="str">
        <f>'90146_2025'!N138</f>
        <v/>
      </c>
      <c r="O694" s="462" t="str">
        <f>'90146_2025'!O138</f>
        <v/>
      </c>
      <c r="P694" s="462" t="str">
        <f>'90146_2025'!P138</f>
        <v/>
      </c>
      <c r="Q694" s="70" t="str">
        <f>'90146_2025'!Q138</f>
        <v/>
      </c>
      <c r="R694" s="463"/>
    </row>
    <row r="695" hidden="1">
      <c r="A695" s="326" t="s">
        <v>1003</v>
      </c>
      <c r="B695" s="33">
        <v>17.0</v>
      </c>
      <c r="C695" s="33" t="s">
        <v>448</v>
      </c>
      <c r="D695" s="33" t="s">
        <v>310</v>
      </c>
      <c r="E695" s="64">
        <v>1.0</v>
      </c>
      <c r="F695" s="43">
        <v>0.0</v>
      </c>
      <c r="G695" s="56">
        <f>'90146_2025'!F139</f>
        <v>0</v>
      </c>
      <c r="H695" s="40">
        <f>'90146_2025'!H139</f>
        <v>145000</v>
      </c>
      <c r="I695" s="40">
        <f>'90146_2025'!I139</f>
        <v>145000</v>
      </c>
      <c r="J695" s="64" t="s">
        <v>454</v>
      </c>
      <c r="K695" s="459" t="str">
        <f>'90146_2025'!K139</f>
        <v>PEUGEOT PARTNER </v>
      </c>
      <c r="L695" s="459" t="str">
        <f>'90146_2025'!L139</f>
        <v>29.987.662/0001-89
</v>
      </c>
      <c r="M695" s="459" t="str">
        <f>'90146_2025'!M139</f>
        <v>SOCIETE COMERCIO DE VEICULOS LTDA
</v>
      </c>
      <c r="N695" s="459" t="str">
        <f>'90146_2025'!N139</f>
        <v/>
      </c>
      <c r="O695" s="459" t="str">
        <f>'90146_2025'!O139</f>
        <v/>
      </c>
      <c r="P695" s="459" t="str">
        <f>'90146_2025'!P139</f>
        <v/>
      </c>
      <c r="Q695" s="63" t="str">
        <f>'90146_2025'!Q139</f>
        <v/>
      </c>
      <c r="R695" s="460"/>
    </row>
    <row r="696" hidden="1">
      <c r="A696" s="461" t="s">
        <v>1003</v>
      </c>
      <c r="B696" s="49">
        <v>17.0</v>
      </c>
      <c r="C696" s="49" t="s">
        <v>448</v>
      </c>
      <c r="D696" s="49" t="s">
        <v>310</v>
      </c>
      <c r="E696" s="55">
        <v>1.0</v>
      </c>
      <c r="F696" s="58">
        <v>0.0</v>
      </c>
      <c r="G696" s="67">
        <f>'90146_2025'!F140</f>
        <v>0</v>
      </c>
      <c r="H696" s="54">
        <f>'90146_2025'!H140</f>
        <v>145000</v>
      </c>
      <c r="I696" s="54">
        <f>'90146_2025'!I140</f>
        <v>145000</v>
      </c>
      <c r="J696" s="55" t="s">
        <v>175</v>
      </c>
      <c r="K696" s="462" t="str">
        <f>'90146_2025'!K140</f>
        <v>PEUGEOT PARTNER </v>
      </c>
      <c r="L696" s="462" t="str">
        <f>'90146_2025'!L140</f>
        <v>29.987.662/0001-89
</v>
      </c>
      <c r="M696" s="462" t="str">
        <f>'90146_2025'!M140</f>
        <v>SOCIETE COMERCIO DE VEICULOS LTDA
</v>
      </c>
      <c r="N696" s="462" t="str">
        <f>'90146_2025'!N140</f>
        <v/>
      </c>
      <c r="O696" s="462" t="str">
        <f>'90146_2025'!O140</f>
        <v/>
      </c>
      <c r="P696" s="462" t="str">
        <f>'90146_2025'!P140</f>
        <v/>
      </c>
      <c r="Q696" s="70" t="str">
        <f>'90146_2025'!Q140</f>
        <v/>
      </c>
      <c r="R696" s="463"/>
    </row>
    <row r="697" hidden="1">
      <c r="A697" s="326" t="s">
        <v>1003</v>
      </c>
      <c r="B697" s="33">
        <v>17.0</v>
      </c>
      <c r="C697" s="33" t="s">
        <v>448</v>
      </c>
      <c r="D697" s="33" t="s">
        <v>310</v>
      </c>
      <c r="E697" s="64">
        <v>1.0</v>
      </c>
      <c r="F697" s="43">
        <v>0.0</v>
      </c>
      <c r="G697" s="56">
        <f>'90146_2025'!F141</f>
        <v>0</v>
      </c>
      <c r="H697" s="40">
        <f>'90146_2025'!H141</f>
        <v>145000</v>
      </c>
      <c r="I697" s="40">
        <f>'90146_2025'!I141</f>
        <v>145000</v>
      </c>
      <c r="J697" s="64" t="s">
        <v>447</v>
      </c>
      <c r="K697" s="459" t="str">
        <f>'90146_2025'!K141</f>
        <v>PEUGEOT PARTNER </v>
      </c>
      <c r="L697" s="459" t="str">
        <f>'90146_2025'!L141</f>
        <v>29.987.662/0001-89
</v>
      </c>
      <c r="M697" s="459" t="str">
        <f>'90146_2025'!M141</f>
        <v>SOCIETE COMERCIO DE VEICULOS LTDA
</v>
      </c>
      <c r="N697" s="459" t="str">
        <f>'90146_2025'!N141</f>
        <v/>
      </c>
      <c r="O697" s="459" t="str">
        <f>'90146_2025'!O141</f>
        <v/>
      </c>
      <c r="P697" s="459" t="str">
        <f>'90146_2025'!P141</f>
        <v/>
      </c>
      <c r="Q697" s="63" t="str">
        <f>'90146_2025'!Q141</f>
        <v/>
      </c>
      <c r="R697" s="460"/>
    </row>
    <row r="698" hidden="1">
      <c r="A698" s="461" t="s">
        <v>1003</v>
      </c>
      <c r="B698" s="49">
        <v>17.0</v>
      </c>
      <c r="C698" s="49" t="s">
        <v>448</v>
      </c>
      <c r="D698" s="49" t="s">
        <v>310</v>
      </c>
      <c r="E698" s="55">
        <v>1.0</v>
      </c>
      <c r="F698" s="58">
        <v>0.0</v>
      </c>
      <c r="G698" s="67">
        <f>'90146_2025'!F142</f>
        <v>0</v>
      </c>
      <c r="H698" s="54">
        <f>'90146_2025'!H142</f>
        <v>145000</v>
      </c>
      <c r="I698" s="54">
        <f>'90146_2025'!I142</f>
        <v>145000</v>
      </c>
      <c r="J698" s="55" t="s">
        <v>160</v>
      </c>
      <c r="K698" s="462" t="str">
        <f>'90146_2025'!K142</f>
        <v>PEUGEOT PARTNER </v>
      </c>
      <c r="L698" s="462" t="str">
        <f>'90146_2025'!L142</f>
        <v>29.987.662/0001-89
</v>
      </c>
      <c r="M698" s="462" t="str">
        <f>'90146_2025'!M142</f>
        <v>SOCIETE COMERCIO DE VEICULOS LTDA
</v>
      </c>
      <c r="N698" s="462" t="str">
        <f>'90146_2025'!N142</f>
        <v/>
      </c>
      <c r="O698" s="462" t="str">
        <f>'90146_2025'!O142</f>
        <v/>
      </c>
      <c r="P698" s="462" t="str">
        <f>'90146_2025'!P142</f>
        <v/>
      </c>
      <c r="Q698" s="70" t="str">
        <f>'90146_2025'!Q142</f>
        <v/>
      </c>
      <c r="R698" s="463"/>
    </row>
    <row r="699" hidden="1">
      <c r="A699" s="326" t="s">
        <v>1003</v>
      </c>
      <c r="B699" s="33">
        <v>17.0</v>
      </c>
      <c r="C699" s="33" t="s">
        <v>448</v>
      </c>
      <c r="D699" s="33" t="s">
        <v>310</v>
      </c>
      <c r="E699" s="64">
        <v>1.0</v>
      </c>
      <c r="F699" s="43">
        <v>0.0</v>
      </c>
      <c r="G699" s="56">
        <f>'90146_2025'!F143</f>
        <v>0</v>
      </c>
      <c r="H699" s="40">
        <f>'90146_2025'!H143</f>
        <v>145000</v>
      </c>
      <c r="I699" s="40">
        <f>'90146_2025'!I143</f>
        <v>145000</v>
      </c>
      <c r="J699" s="64" t="s">
        <v>196</v>
      </c>
      <c r="K699" s="459" t="str">
        <f>'90146_2025'!K143</f>
        <v>PEUGEOT PARTNER </v>
      </c>
      <c r="L699" s="459" t="str">
        <f>'90146_2025'!L143</f>
        <v>29.987.662/0001-89
</v>
      </c>
      <c r="M699" s="459" t="str">
        <f>'90146_2025'!M143</f>
        <v>SOCIETE COMERCIO DE VEICULOS LTDA
</v>
      </c>
      <c r="N699" s="459" t="str">
        <f>'90146_2025'!N143</f>
        <v/>
      </c>
      <c r="O699" s="459" t="str">
        <f>'90146_2025'!O143</f>
        <v/>
      </c>
      <c r="P699" s="459" t="str">
        <f>'90146_2025'!P143</f>
        <v/>
      </c>
      <c r="Q699" s="63" t="str">
        <f>'90146_2025'!Q143</f>
        <v/>
      </c>
      <c r="R699" s="460"/>
    </row>
    <row r="700" hidden="1">
      <c r="A700" s="461" t="s">
        <v>1003</v>
      </c>
      <c r="B700" s="49">
        <v>17.0</v>
      </c>
      <c r="C700" s="49" t="s">
        <v>448</v>
      </c>
      <c r="D700" s="49" t="s">
        <v>310</v>
      </c>
      <c r="E700" s="55">
        <v>1.0</v>
      </c>
      <c r="F700" s="58">
        <v>0.0</v>
      </c>
      <c r="G700" s="67">
        <f>'90146_2025'!F144</f>
        <v>0</v>
      </c>
      <c r="H700" s="54">
        <f>'90146_2025'!H144</f>
        <v>145000</v>
      </c>
      <c r="I700" s="54">
        <f>'90146_2025'!I144</f>
        <v>145000</v>
      </c>
      <c r="J700" s="55" t="s">
        <v>201</v>
      </c>
      <c r="K700" s="462" t="str">
        <f>'90146_2025'!K144</f>
        <v>PEUGEOT PARTNER </v>
      </c>
      <c r="L700" s="462" t="str">
        <f>'90146_2025'!L144</f>
        <v>29.987.662/0001-89
</v>
      </c>
      <c r="M700" s="462" t="str">
        <f>'90146_2025'!M144</f>
        <v>SOCIETE COMERCIO DE VEICULOS LTDA
</v>
      </c>
      <c r="N700" s="462" t="str">
        <f>'90146_2025'!N144</f>
        <v/>
      </c>
      <c r="O700" s="462" t="str">
        <f>'90146_2025'!O144</f>
        <v/>
      </c>
      <c r="P700" s="462" t="str">
        <f>'90146_2025'!P144</f>
        <v/>
      </c>
      <c r="Q700" s="70" t="str">
        <f>'90146_2025'!Q144</f>
        <v/>
      </c>
      <c r="R700" s="463"/>
    </row>
    <row r="701" hidden="1">
      <c r="A701" s="326" t="s">
        <v>1003</v>
      </c>
      <c r="B701" s="33">
        <v>17.0</v>
      </c>
      <c r="C701" s="33" t="s">
        <v>448</v>
      </c>
      <c r="D701" s="33" t="s">
        <v>310</v>
      </c>
      <c r="E701" s="64">
        <v>1.0</v>
      </c>
      <c r="F701" s="43">
        <v>0.0</v>
      </c>
      <c r="G701" s="56">
        <f>'90146_2025'!F145</f>
        <v>0</v>
      </c>
      <c r="H701" s="40">
        <f>'90146_2025'!H145</f>
        <v>145000</v>
      </c>
      <c r="I701" s="40">
        <f>'90146_2025'!I145</f>
        <v>145000</v>
      </c>
      <c r="J701" s="64" t="s">
        <v>189</v>
      </c>
      <c r="K701" s="459" t="str">
        <f>'90146_2025'!K145</f>
        <v>PEUGEOT PARTNER </v>
      </c>
      <c r="L701" s="459" t="str">
        <f>'90146_2025'!L145</f>
        <v>29.987.662/0001-89
</v>
      </c>
      <c r="M701" s="459" t="str">
        <f>'90146_2025'!M145</f>
        <v>SOCIETE COMERCIO DE VEICULOS LTDA
</v>
      </c>
      <c r="N701" s="459" t="str">
        <f>'90146_2025'!N145</f>
        <v/>
      </c>
      <c r="O701" s="459" t="str">
        <f>'90146_2025'!O145</f>
        <v/>
      </c>
      <c r="P701" s="459" t="str">
        <f>'90146_2025'!P145</f>
        <v/>
      </c>
      <c r="Q701" s="63" t="str">
        <f>'90146_2025'!Q145</f>
        <v/>
      </c>
      <c r="R701" s="460"/>
    </row>
    <row r="702" hidden="1">
      <c r="A702" s="461" t="s">
        <v>1003</v>
      </c>
      <c r="B702" s="49">
        <v>17.0</v>
      </c>
      <c r="C702" s="49" t="s">
        <v>448</v>
      </c>
      <c r="D702" s="49" t="s">
        <v>310</v>
      </c>
      <c r="E702" s="55">
        <v>1.0</v>
      </c>
      <c r="F702" s="58">
        <v>0.0</v>
      </c>
      <c r="G702" s="67">
        <f>'90146_2025'!F146</f>
        <v>0</v>
      </c>
      <c r="H702" s="54">
        <f>'90146_2025'!H146</f>
        <v>145000</v>
      </c>
      <c r="I702" s="54">
        <f>'90146_2025'!I146</f>
        <v>145000</v>
      </c>
      <c r="J702" s="55" t="s">
        <v>192</v>
      </c>
      <c r="K702" s="462" t="str">
        <f>'90146_2025'!K146</f>
        <v>PEUGEOT PARTNER </v>
      </c>
      <c r="L702" s="462" t="str">
        <f>'90146_2025'!L146</f>
        <v>29.987.662/0001-89
</v>
      </c>
      <c r="M702" s="462" t="str">
        <f>'90146_2025'!M146</f>
        <v>SOCIETE COMERCIO DE VEICULOS LTDA
</v>
      </c>
      <c r="N702" s="462" t="str">
        <f>'90146_2025'!N146</f>
        <v/>
      </c>
      <c r="O702" s="462" t="str">
        <f>'90146_2025'!O146</f>
        <v/>
      </c>
      <c r="P702" s="462" t="str">
        <f>'90146_2025'!P146</f>
        <v/>
      </c>
      <c r="Q702" s="70" t="str">
        <f>'90146_2025'!Q146</f>
        <v/>
      </c>
      <c r="R702" s="463"/>
    </row>
    <row r="703" hidden="1">
      <c r="A703" s="326" t="s">
        <v>1003</v>
      </c>
      <c r="B703" s="33">
        <v>17.0</v>
      </c>
      <c r="C703" s="33" t="s">
        <v>448</v>
      </c>
      <c r="D703" s="33" t="s">
        <v>310</v>
      </c>
      <c r="E703" s="64">
        <v>2.0</v>
      </c>
      <c r="F703" s="43">
        <v>0.0</v>
      </c>
      <c r="G703" s="56">
        <f>'90146_2025'!F147</f>
        <v>0</v>
      </c>
      <c r="H703" s="40">
        <f>'90146_2025'!H147</f>
        <v>145000</v>
      </c>
      <c r="I703" s="40">
        <f>'90146_2025'!I147</f>
        <v>290000</v>
      </c>
      <c r="J703" s="64" t="s">
        <v>199</v>
      </c>
      <c r="K703" s="459" t="str">
        <f>'90146_2025'!K147</f>
        <v>PEUGEOT PARTNER </v>
      </c>
      <c r="L703" s="459" t="str">
        <f>'90146_2025'!L147</f>
        <v>29.987.662/0001-89
</v>
      </c>
      <c r="M703" s="459" t="str">
        <f>'90146_2025'!M147</f>
        <v>SOCIETE COMERCIO DE VEICULOS LTDA
</v>
      </c>
      <c r="N703" s="459" t="str">
        <f>'90146_2025'!N147</f>
        <v/>
      </c>
      <c r="O703" s="459" t="str">
        <f>'90146_2025'!O147</f>
        <v/>
      </c>
      <c r="P703" s="459" t="str">
        <f>'90146_2025'!P147</f>
        <v/>
      </c>
      <c r="Q703" s="63" t="str">
        <f>'90146_2025'!Q147</f>
        <v/>
      </c>
      <c r="R703" s="460"/>
    </row>
    <row r="704" hidden="1">
      <c r="A704" s="461" t="s">
        <v>1003</v>
      </c>
      <c r="B704" s="49">
        <v>17.0</v>
      </c>
      <c r="C704" s="49" t="s">
        <v>448</v>
      </c>
      <c r="D704" s="49" t="s">
        <v>310</v>
      </c>
      <c r="E704" s="55">
        <v>1.0</v>
      </c>
      <c r="F704" s="58">
        <v>0.0</v>
      </c>
      <c r="G704" s="67">
        <f>'90146_2025'!F148</f>
        <v>0</v>
      </c>
      <c r="H704" s="54">
        <f>'90146_2025'!H148</f>
        <v>145000</v>
      </c>
      <c r="I704" s="54">
        <f>'90146_2025'!I148</f>
        <v>145000</v>
      </c>
      <c r="J704" s="55" t="s">
        <v>214</v>
      </c>
      <c r="K704" s="462" t="str">
        <f>'90146_2025'!K148</f>
        <v>PEUGEOT PARTNER </v>
      </c>
      <c r="L704" s="462" t="str">
        <f>'90146_2025'!L148</f>
        <v>29.987.662/0001-89
</v>
      </c>
      <c r="M704" s="462" t="str">
        <f>'90146_2025'!M148</f>
        <v>SOCIETE COMERCIO DE VEICULOS LTDA
</v>
      </c>
      <c r="N704" s="462" t="str">
        <f>'90146_2025'!N148</f>
        <v/>
      </c>
      <c r="O704" s="462" t="str">
        <f>'90146_2025'!O148</f>
        <v/>
      </c>
      <c r="P704" s="462" t="str">
        <f>'90146_2025'!P148</f>
        <v/>
      </c>
      <c r="Q704" s="70" t="str">
        <f>'90146_2025'!Q148</f>
        <v/>
      </c>
      <c r="R704" s="463"/>
    </row>
    <row r="705" hidden="1">
      <c r="A705" s="326" t="s">
        <v>1003</v>
      </c>
      <c r="B705" s="80">
        <v>18.0</v>
      </c>
      <c r="C705" s="64" t="s">
        <v>471</v>
      </c>
      <c r="D705" s="205" t="s">
        <v>472</v>
      </c>
      <c r="E705" s="33">
        <v>1.0</v>
      </c>
      <c r="F705" s="43">
        <v>0.0</v>
      </c>
      <c r="G705" s="56">
        <f>'90146_2025'!F149</f>
        <v>0</v>
      </c>
      <c r="H705" s="40">
        <f>'90146_2025'!H149</f>
        <v>673000</v>
      </c>
      <c r="I705" s="40">
        <f>'90146_2025'!I149</f>
        <v>673000</v>
      </c>
      <c r="J705" s="197" t="s">
        <v>154</v>
      </c>
      <c r="K705" s="459" t="str">
        <f>'90146_2025'!K149</f>
        <v>IVECO</v>
      </c>
      <c r="L705" s="459" t="str">
        <f>'90146_2025'!L149</f>
        <v>46.135.499/0002-26
</v>
      </c>
      <c r="M705" s="459" t="str">
        <f>'90146_2025'!M149</f>
        <v>FORZA DISTRIBUIDORA LTDA
</v>
      </c>
      <c r="N705" s="459" t="str">
        <f>'90146_2025'!N149</f>
        <v/>
      </c>
      <c r="O705" s="459" t="str">
        <f>'90146_2025'!O149</f>
        <v/>
      </c>
      <c r="P705" s="459" t="str">
        <f>'90146_2025'!P149</f>
        <v/>
      </c>
      <c r="Q705" s="63" t="str">
        <f>'90146_2025'!Q149</f>
        <v/>
      </c>
      <c r="R705" s="460"/>
    </row>
    <row r="706" hidden="1">
      <c r="A706" s="461" t="s">
        <v>1003</v>
      </c>
      <c r="B706" s="49">
        <v>19.0</v>
      </c>
      <c r="C706" s="49" t="s">
        <v>47</v>
      </c>
      <c r="D706" s="49" t="s">
        <v>49</v>
      </c>
      <c r="E706" s="55">
        <v>1.0</v>
      </c>
      <c r="F706" s="58">
        <v>0.0</v>
      </c>
      <c r="G706" s="67">
        <f>'90146_2025'!F150</f>
        <v>1</v>
      </c>
      <c r="H706" s="54" t="str">
        <f>'90146_2025'!H150</f>
        <v/>
      </c>
      <c r="I706" s="54">
        <f>'90146_2025'!I150</f>
        <v>0</v>
      </c>
      <c r="J706" s="55" t="s">
        <v>58</v>
      </c>
      <c r="K706" s="462" t="str">
        <f>'90146_2025'!K150</f>
        <v>FRACASSADO </v>
      </c>
      <c r="L706" s="462" t="str">
        <f>'90146_2025'!L150</f>
        <v/>
      </c>
      <c r="M706" s="462" t="str">
        <f>'90146_2025'!M150</f>
        <v/>
      </c>
      <c r="N706" s="462" t="str">
        <f>'90146_2025'!N150</f>
        <v/>
      </c>
      <c r="O706" s="462" t="str">
        <f>'90146_2025'!O150</f>
        <v/>
      </c>
      <c r="P706" s="462" t="str">
        <f>'90146_2025'!P150</f>
        <v/>
      </c>
      <c r="Q706" s="70" t="str">
        <f>'90146_2025'!Q150</f>
        <v/>
      </c>
      <c r="R706" s="463"/>
    </row>
    <row r="707" hidden="1">
      <c r="A707" s="326" t="s">
        <v>1003</v>
      </c>
      <c r="B707" s="33">
        <v>19.0</v>
      </c>
      <c r="C707" s="33" t="s">
        <v>47</v>
      </c>
      <c r="D707" s="33" t="s">
        <v>49</v>
      </c>
      <c r="E707" s="64">
        <v>1.0</v>
      </c>
      <c r="F707" s="43">
        <v>0.0</v>
      </c>
      <c r="G707" s="56">
        <f>'90146_2025'!F151</f>
        <v>1</v>
      </c>
      <c r="H707" s="40" t="str">
        <f>'90146_2025'!H151</f>
        <v/>
      </c>
      <c r="I707" s="40">
        <f>'90146_2025'!I151</f>
        <v>0</v>
      </c>
      <c r="J707" s="64" t="s">
        <v>96</v>
      </c>
      <c r="K707" s="459" t="str">
        <f>'90146_2025'!K151</f>
        <v>FRACASSADO </v>
      </c>
      <c r="L707" s="459" t="str">
        <f>'90146_2025'!L151</f>
        <v/>
      </c>
      <c r="M707" s="459" t="str">
        <f>'90146_2025'!M151</f>
        <v/>
      </c>
      <c r="N707" s="459" t="str">
        <f>'90146_2025'!N151</f>
        <v/>
      </c>
      <c r="O707" s="459" t="str">
        <f>'90146_2025'!O151</f>
        <v/>
      </c>
      <c r="P707" s="459" t="str">
        <f>'90146_2025'!P151</f>
        <v/>
      </c>
      <c r="Q707" s="63" t="str">
        <f>'90146_2025'!Q151</f>
        <v/>
      </c>
      <c r="R707" s="460"/>
    </row>
    <row r="708" hidden="1">
      <c r="A708" s="461" t="s">
        <v>1003</v>
      </c>
      <c r="B708" s="49">
        <v>19.0</v>
      </c>
      <c r="C708" s="49" t="s">
        <v>47</v>
      </c>
      <c r="D708" s="49" t="s">
        <v>49</v>
      </c>
      <c r="E708" s="55">
        <v>1.0</v>
      </c>
      <c r="F708" s="58">
        <v>0.0</v>
      </c>
      <c r="G708" s="67">
        <f>'90146_2025'!F152</f>
        <v>1</v>
      </c>
      <c r="H708" s="54" t="str">
        <f>'90146_2025'!H152</f>
        <v/>
      </c>
      <c r="I708" s="54">
        <f>'90146_2025'!I152</f>
        <v>0</v>
      </c>
      <c r="J708" s="55" t="s">
        <v>113</v>
      </c>
      <c r="K708" s="462" t="str">
        <f>'90146_2025'!K152</f>
        <v>FRACASSADO </v>
      </c>
      <c r="L708" s="462" t="str">
        <f>'90146_2025'!L152</f>
        <v/>
      </c>
      <c r="M708" s="462" t="str">
        <f>'90146_2025'!M152</f>
        <v/>
      </c>
      <c r="N708" s="462" t="str">
        <f>'90146_2025'!N152</f>
        <v/>
      </c>
      <c r="O708" s="462" t="str">
        <f>'90146_2025'!O152</f>
        <v/>
      </c>
      <c r="P708" s="462" t="str">
        <f>'90146_2025'!P152</f>
        <v/>
      </c>
      <c r="Q708" s="70" t="str">
        <f>'90146_2025'!Q152</f>
        <v/>
      </c>
      <c r="R708" s="463"/>
    </row>
    <row r="709" hidden="1">
      <c r="A709" s="326" t="s">
        <v>1003</v>
      </c>
      <c r="B709" s="33">
        <v>19.0</v>
      </c>
      <c r="C709" s="33" t="s">
        <v>47</v>
      </c>
      <c r="D709" s="33" t="s">
        <v>49</v>
      </c>
      <c r="E709" s="64">
        <v>1.0</v>
      </c>
      <c r="F709" s="43">
        <v>0.0</v>
      </c>
      <c r="G709" s="56">
        <f>'90146_2025'!F153</f>
        <v>1</v>
      </c>
      <c r="H709" s="40" t="str">
        <f>'90146_2025'!H153</f>
        <v/>
      </c>
      <c r="I709" s="40">
        <f>'90146_2025'!I153</f>
        <v>0</v>
      </c>
      <c r="J709" s="64" t="s">
        <v>134</v>
      </c>
      <c r="K709" s="459" t="str">
        <f>'90146_2025'!K153</f>
        <v>FRACASSADO </v>
      </c>
      <c r="L709" s="459" t="str">
        <f>'90146_2025'!L153</f>
        <v/>
      </c>
      <c r="M709" s="459" t="str">
        <f>'90146_2025'!M153</f>
        <v/>
      </c>
      <c r="N709" s="459" t="str">
        <f>'90146_2025'!N153</f>
        <v/>
      </c>
      <c r="O709" s="459" t="str">
        <f>'90146_2025'!O153</f>
        <v/>
      </c>
      <c r="P709" s="459" t="str">
        <f>'90146_2025'!P153</f>
        <v/>
      </c>
      <c r="Q709" s="63" t="str">
        <f>'90146_2025'!Q153</f>
        <v/>
      </c>
      <c r="R709" s="460"/>
    </row>
    <row r="710" hidden="1">
      <c r="A710" s="461" t="s">
        <v>1003</v>
      </c>
      <c r="B710" s="49">
        <v>19.0</v>
      </c>
      <c r="C710" s="49" t="s">
        <v>47</v>
      </c>
      <c r="D710" s="49" t="s">
        <v>49</v>
      </c>
      <c r="E710" s="55">
        <v>1.0</v>
      </c>
      <c r="F710" s="58">
        <v>0.0</v>
      </c>
      <c r="G710" s="67">
        <f>'90146_2025'!F154</f>
        <v>1</v>
      </c>
      <c r="H710" s="54" t="str">
        <f>'90146_2025'!H154</f>
        <v/>
      </c>
      <c r="I710" s="54">
        <f>'90146_2025'!I154</f>
        <v>0</v>
      </c>
      <c r="J710" s="55" t="s">
        <v>142</v>
      </c>
      <c r="K710" s="462" t="str">
        <f>'90146_2025'!K154</f>
        <v>FRACASSADO </v>
      </c>
      <c r="L710" s="462" t="str">
        <f>'90146_2025'!L154</f>
        <v/>
      </c>
      <c r="M710" s="462" t="str">
        <f>'90146_2025'!M154</f>
        <v/>
      </c>
      <c r="N710" s="462" t="str">
        <f>'90146_2025'!N154</f>
        <v/>
      </c>
      <c r="O710" s="462" t="str">
        <f>'90146_2025'!O154</f>
        <v/>
      </c>
      <c r="P710" s="462" t="str">
        <f>'90146_2025'!P154</f>
        <v/>
      </c>
      <c r="Q710" s="70" t="str">
        <f>'90146_2025'!Q154</f>
        <v/>
      </c>
      <c r="R710" s="463"/>
    </row>
    <row r="711" hidden="1">
      <c r="A711" s="326" t="s">
        <v>1003</v>
      </c>
      <c r="B711" s="33">
        <v>19.0</v>
      </c>
      <c r="C711" s="33" t="s">
        <v>47</v>
      </c>
      <c r="D711" s="33" t="s">
        <v>49</v>
      </c>
      <c r="E711" s="64">
        <v>1.0</v>
      </c>
      <c r="F711" s="43">
        <v>0.0</v>
      </c>
      <c r="G711" s="56">
        <f>'90146_2025'!F155</f>
        <v>1</v>
      </c>
      <c r="H711" s="40" t="str">
        <f>'90146_2025'!H155</f>
        <v/>
      </c>
      <c r="I711" s="40">
        <f>'90146_2025'!I155</f>
        <v>0</v>
      </c>
      <c r="J711" s="64" t="s">
        <v>161</v>
      </c>
      <c r="K711" s="459" t="str">
        <f>'90146_2025'!K155</f>
        <v>FRACASSADO </v>
      </c>
      <c r="L711" s="459" t="str">
        <f>'90146_2025'!L155</f>
        <v/>
      </c>
      <c r="M711" s="459" t="str">
        <f>'90146_2025'!M155</f>
        <v/>
      </c>
      <c r="N711" s="459" t="str">
        <f>'90146_2025'!N155</f>
        <v/>
      </c>
      <c r="O711" s="459" t="str">
        <f>'90146_2025'!O155</f>
        <v/>
      </c>
      <c r="P711" s="459" t="str">
        <f>'90146_2025'!P155</f>
        <v/>
      </c>
      <c r="Q711" s="63" t="str">
        <f>'90146_2025'!Q155</f>
        <v/>
      </c>
      <c r="R711" s="460"/>
    </row>
    <row r="712" hidden="1">
      <c r="A712" s="461" t="s">
        <v>1003</v>
      </c>
      <c r="B712" s="49">
        <v>19.0</v>
      </c>
      <c r="C712" s="49" t="s">
        <v>47</v>
      </c>
      <c r="D712" s="49" t="s">
        <v>49</v>
      </c>
      <c r="E712" s="55">
        <v>1.0</v>
      </c>
      <c r="F712" s="58">
        <v>0.0</v>
      </c>
      <c r="G712" s="67">
        <f>'90146_2025'!F156</f>
        <v>1</v>
      </c>
      <c r="H712" s="54" t="str">
        <f>'90146_2025'!H156</f>
        <v/>
      </c>
      <c r="I712" s="54">
        <f>'90146_2025'!I156</f>
        <v>0</v>
      </c>
      <c r="J712" s="55" t="s">
        <v>175</v>
      </c>
      <c r="K712" s="462" t="str">
        <f>'90146_2025'!K156</f>
        <v>FRACASSADO </v>
      </c>
      <c r="L712" s="462" t="str">
        <f>'90146_2025'!L156</f>
        <v/>
      </c>
      <c r="M712" s="462" t="str">
        <f>'90146_2025'!M156</f>
        <v/>
      </c>
      <c r="N712" s="462" t="str">
        <f>'90146_2025'!N156</f>
        <v/>
      </c>
      <c r="O712" s="462" t="str">
        <f>'90146_2025'!O156</f>
        <v/>
      </c>
      <c r="P712" s="462" t="str">
        <f>'90146_2025'!P156</f>
        <v/>
      </c>
      <c r="Q712" s="70" t="str">
        <f>'90146_2025'!Q156</f>
        <v/>
      </c>
      <c r="R712" s="463"/>
    </row>
    <row r="713" hidden="1">
      <c r="A713" s="326" t="s">
        <v>1003</v>
      </c>
      <c r="B713" s="33">
        <v>19.0</v>
      </c>
      <c r="C713" s="33" t="s">
        <v>47</v>
      </c>
      <c r="D713" s="33" t="s">
        <v>49</v>
      </c>
      <c r="E713" s="64">
        <v>1.0</v>
      </c>
      <c r="F713" s="43">
        <v>0.0</v>
      </c>
      <c r="G713" s="56">
        <f>'90146_2025'!F157</f>
        <v>1</v>
      </c>
      <c r="H713" s="40" t="str">
        <f>'90146_2025'!H157</f>
        <v/>
      </c>
      <c r="I713" s="40">
        <f>'90146_2025'!I157</f>
        <v>0</v>
      </c>
      <c r="J713" s="64" t="s">
        <v>188</v>
      </c>
      <c r="K713" s="459" t="str">
        <f>'90146_2025'!K157</f>
        <v>FRACASSADO </v>
      </c>
      <c r="L713" s="459" t="str">
        <f>'90146_2025'!L157</f>
        <v/>
      </c>
      <c r="M713" s="459" t="str">
        <f>'90146_2025'!M157</f>
        <v/>
      </c>
      <c r="N713" s="459" t="str">
        <f>'90146_2025'!N157</f>
        <v/>
      </c>
      <c r="O713" s="459" t="str">
        <f>'90146_2025'!O157</f>
        <v/>
      </c>
      <c r="P713" s="459" t="str">
        <f>'90146_2025'!P157</f>
        <v/>
      </c>
      <c r="Q713" s="63" t="str">
        <f>'90146_2025'!Q157</f>
        <v/>
      </c>
      <c r="R713" s="460"/>
    </row>
    <row r="714" hidden="1">
      <c r="A714" s="461" t="s">
        <v>1003</v>
      </c>
      <c r="B714" s="49">
        <v>19.0</v>
      </c>
      <c r="C714" s="49" t="s">
        <v>47</v>
      </c>
      <c r="D714" s="49" t="s">
        <v>49</v>
      </c>
      <c r="E714" s="55">
        <v>1.0</v>
      </c>
      <c r="F714" s="58">
        <v>0.0</v>
      </c>
      <c r="G714" s="67">
        <f>'90146_2025'!F158</f>
        <v>1</v>
      </c>
      <c r="H714" s="54" t="str">
        <f>'90146_2025'!H158</f>
        <v/>
      </c>
      <c r="I714" s="54">
        <f>'90146_2025'!I158</f>
        <v>0</v>
      </c>
      <c r="J714" s="55" t="s">
        <v>160</v>
      </c>
      <c r="K714" s="462" t="str">
        <f>'90146_2025'!K158</f>
        <v>FRACASSADO </v>
      </c>
      <c r="L714" s="462" t="str">
        <f>'90146_2025'!L158</f>
        <v/>
      </c>
      <c r="M714" s="462" t="str">
        <f>'90146_2025'!M158</f>
        <v/>
      </c>
      <c r="N714" s="462" t="str">
        <f>'90146_2025'!N158</f>
        <v/>
      </c>
      <c r="O714" s="462" t="str">
        <f>'90146_2025'!O158</f>
        <v/>
      </c>
      <c r="P714" s="462" t="str">
        <f>'90146_2025'!P158</f>
        <v/>
      </c>
      <c r="Q714" s="70" t="str">
        <f>'90146_2025'!Q158</f>
        <v/>
      </c>
      <c r="R714" s="463"/>
    </row>
    <row r="715" hidden="1">
      <c r="A715" s="326" t="s">
        <v>1003</v>
      </c>
      <c r="B715" s="33">
        <v>19.0</v>
      </c>
      <c r="C715" s="33" t="s">
        <v>47</v>
      </c>
      <c r="D715" s="33" t="s">
        <v>49</v>
      </c>
      <c r="E715" s="64">
        <v>1.0</v>
      </c>
      <c r="F715" s="43">
        <v>0.0</v>
      </c>
      <c r="G715" s="56">
        <f>'90146_2025'!F159</f>
        <v>1</v>
      </c>
      <c r="H715" s="40" t="str">
        <f>'90146_2025'!H159</f>
        <v/>
      </c>
      <c r="I715" s="40">
        <f>'90146_2025'!I159</f>
        <v>0</v>
      </c>
      <c r="J715" s="64" t="s">
        <v>196</v>
      </c>
      <c r="K715" s="459" t="str">
        <f>'90146_2025'!K159</f>
        <v>FRACASSADO </v>
      </c>
      <c r="L715" s="459" t="str">
        <f>'90146_2025'!L159</f>
        <v/>
      </c>
      <c r="M715" s="459" t="str">
        <f>'90146_2025'!M159</f>
        <v/>
      </c>
      <c r="N715" s="459" t="str">
        <f>'90146_2025'!N159</f>
        <v/>
      </c>
      <c r="O715" s="459" t="str">
        <f>'90146_2025'!O159</f>
        <v/>
      </c>
      <c r="P715" s="459" t="str">
        <f>'90146_2025'!P159</f>
        <v/>
      </c>
      <c r="Q715" s="63" t="str">
        <f>'90146_2025'!Q159</f>
        <v/>
      </c>
      <c r="R715" s="460"/>
    </row>
    <row r="716" hidden="1">
      <c r="A716" s="461" t="s">
        <v>1003</v>
      </c>
      <c r="B716" s="49">
        <v>19.0</v>
      </c>
      <c r="C716" s="49" t="s">
        <v>47</v>
      </c>
      <c r="D716" s="49" t="s">
        <v>49</v>
      </c>
      <c r="E716" s="55">
        <v>10.0</v>
      </c>
      <c r="F716" s="58">
        <v>0.0</v>
      </c>
      <c r="G716" s="67">
        <f>'90146_2025'!F160</f>
        <v>10</v>
      </c>
      <c r="H716" s="54" t="str">
        <f>'90146_2025'!H160</f>
        <v/>
      </c>
      <c r="I716" s="54">
        <f>'90146_2025'!I160</f>
        <v>0</v>
      </c>
      <c r="J716" s="55" t="s">
        <v>201</v>
      </c>
      <c r="K716" s="462" t="str">
        <f>'90146_2025'!K160</f>
        <v>FRACASSADO </v>
      </c>
      <c r="L716" s="462" t="str">
        <f>'90146_2025'!L160</f>
        <v/>
      </c>
      <c r="M716" s="462" t="str">
        <f>'90146_2025'!M160</f>
        <v/>
      </c>
      <c r="N716" s="462" t="str">
        <f>'90146_2025'!N160</f>
        <v/>
      </c>
      <c r="O716" s="462" t="str">
        <f>'90146_2025'!O160</f>
        <v/>
      </c>
      <c r="P716" s="462" t="str">
        <f>'90146_2025'!P160</f>
        <v/>
      </c>
      <c r="Q716" s="70" t="str">
        <f>'90146_2025'!Q160</f>
        <v/>
      </c>
      <c r="R716" s="463"/>
    </row>
    <row r="717" hidden="1">
      <c r="A717" s="326" t="s">
        <v>1003</v>
      </c>
      <c r="B717" s="33">
        <v>19.0</v>
      </c>
      <c r="C717" s="33" t="s">
        <v>47</v>
      </c>
      <c r="D717" s="33" t="s">
        <v>49</v>
      </c>
      <c r="E717" s="64">
        <v>3.0</v>
      </c>
      <c r="F717" s="43">
        <v>0.0</v>
      </c>
      <c r="G717" s="56">
        <f>'90146_2025'!F161</f>
        <v>3</v>
      </c>
      <c r="H717" s="40" t="str">
        <f>'90146_2025'!H161</f>
        <v/>
      </c>
      <c r="I717" s="40">
        <f>'90146_2025'!I161</f>
        <v>0</v>
      </c>
      <c r="J717" s="64" t="s">
        <v>199</v>
      </c>
      <c r="K717" s="459" t="str">
        <f>'90146_2025'!K161</f>
        <v>FRACASSADO </v>
      </c>
      <c r="L717" s="459" t="str">
        <f>'90146_2025'!L161</f>
        <v/>
      </c>
      <c r="M717" s="459" t="str">
        <f>'90146_2025'!M161</f>
        <v/>
      </c>
      <c r="N717" s="459" t="str">
        <f>'90146_2025'!N161</f>
        <v/>
      </c>
      <c r="O717" s="459" t="str">
        <f>'90146_2025'!O161</f>
        <v/>
      </c>
      <c r="P717" s="459" t="str">
        <f>'90146_2025'!P161</f>
        <v/>
      </c>
      <c r="Q717" s="63" t="str">
        <f>'90146_2025'!Q161</f>
        <v/>
      </c>
      <c r="R717" s="460"/>
    </row>
    <row r="718" hidden="1">
      <c r="A718" s="461" t="s">
        <v>1003</v>
      </c>
      <c r="B718" s="49">
        <v>19.0</v>
      </c>
      <c r="C718" s="49" t="s">
        <v>47</v>
      </c>
      <c r="D718" s="49" t="s">
        <v>49</v>
      </c>
      <c r="E718" s="55">
        <v>7.0</v>
      </c>
      <c r="F718" s="58">
        <v>0.0</v>
      </c>
      <c r="G718" s="67">
        <f>'90146_2025'!F162</f>
        <v>7</v>
      </c>
      <c r="H718" s="54" t="str">
        <f>'90146_2025'!H162</f>
        <v/>
      </c>
      <c r="I718" s="54">
        <f>'90146_2025'!I162</f>
        <v>0</v>
      </c>
      <c r="J718" s="55" t="s">
        <v>214</v>
      </c>
      <c r="K718" s="462" t="str">
        <f>'90146_2025'!K162</f>
        <v>FRACASSADO </v>
      </c>
      <c r="L718" s="462" t="str">
        <f>'90146_2025'!L162</f>
        <v/>
      </c>
      <c r="M718" s="462" t="str">
        <f>'90146_2025'!M162</f>
        <v/>
      </c>
      <c r="N718" s="462" t="str">
        <f>'90146_2025'!N162</f>
        <v/>
      </c>
      <c r="O718" s="462" t="str">
        <f>'90146_2025'!O162</f>
        <v/>
      </c>
      <c r="P718" s="462" t="str">
        <f>'90146_2025'!P162</f>
        <v/>
      </c>
      <c r="Q718" s="70" t="str">
        <f>'90146_2025'!Q162</f>
        <v/>
      </c>
      <c r="R718" s="463"/>
    </row>
    <row r="719" hidden="1">
      <c r="A719" s="326" t="s">
        <v>1003</v>
      </c>
      <c r="B719" s="33">
        <v>20.0</v>
      </c>
      <c r="C719" s="64" t="s">
        <v>481</v>
      </c>
      <c r="D719" s="205" t="s">
        <v>482</v>
      </c>
      <c r="E719" s="64">
        <v>20.0</v>
      </c>
      <c r="F719" s="43">
        <v>0.0</v>
      </c>
      <c r="G719" s="56">
        <f>'90146_2025'!F163</f>
        <v>20</v>
      </c>
      <c r="H719" s="40" t="str">
        <f>'90146_2025'!H163</f>
        <v/>
      </c>
      <c r="I719" s="40">
        <f>'90146_2025'!I163</f>
        <v>0</v>
      </c>
      <c r="J719" s="197" t="s">
        <v>189</v>
      </c>
      <c r="K719" s="459" t="str">
        <f>'90146_2025'!K163</f>
        <v/>
      </c>
      <c r="L719" s="459" t="str">
        <f>'90146_2025'!L163</f>
        <v/>
      </c>
      <c r="M719" s="459" t="str">
        <f>'90146_2025'!M163</f>
        <v/>
      </c>
      <c r="N719" s="459" t="str">
        <f>'90146_2025'!N163</f>
        <v/>
      </c>
      <c r="O719" s="459" t="str">
        <f>'90146_2025'!O163</f>
        <v/>
      </c>
      <c r="P719" s="459" t="str">
        <f>'90146_2025'!P163</f>
        <v/>
      </c>
      <c r="Q719" s="63" t="str">
        <f>'90146_2025'!Q163</f>
        <v/>
      </c>
      <c r="R719" s="460"/>
    </row>
    <row r="720" hidden="1">
      <c r="A720" s="461" t="s">
        <v>1003</v>
      </c>
      <c r="B720" s="49">
        <v>21.0</v>
      </c>
      <c r="C720" s="49" t="s">
        <v>484</v>
      </c>
      <c r="D720" s="49" t="s">
        <v>419</v>
      </c>
      <c r="E720" s="55">
        <v>3.0</v>
      </c>
      <c r="F720" s="58">
        <v>0.0</v>
      </c>
      <c r="G720" s="67">
        <f>'90146_2025'!F164</f>
        <v>1</v>
      </c>
      <c r="H720" s="54">
        <f>'90146_2025'!H164</f>
        <v>218000</v>
      </c>
      <c r="I720" s="54">
        <f>'90146_2025'!I164</f>
        <v>654000</v>
      </c>
      <c r="J720" s="55" t="s">
        <v>58</v>
      </c>
      <c r="K720" s="462" t="str">
        <f>'90146_2025'!K164</f>
        <v>Jac Hunter</v>
      </c>
      <c r="L720" s="462" t="str">
        <f>'90146_2025'!L164</f>
        <v>11.453.341/0004-81
</v>
      </c>
      <c r="M720" s="462" t="str">
        <f>'90146_2025'!M164</f>
        <v>NGN DISTRIBUIDORA DE VEICULOS LTDA
</v>
      </c>
      <c r="N720" s="462" t="str">
        <f>'90146_2025'!N164</f>
        <v/>
      </c>
      <c r="O720" s="462" t="str">
        <f>'90146_2025'!O164</f>
        <v/>
      </c>
      <c r="P720" s="462" t="str">
        <f>'90146_2025'!P164</f>
        <v/>
      </c>
      <c r="Q720" s="70">
        <f>'90146_2025'!Q164</f>
        <v>46379</v>
      </c>
      <c r="R720" s="463"/>
    </row>
    <row r="721" hidden="1">
      <c r="A721" s="326" t="s">
        <v>1003</v>
      </c>
      <c r="B721" s="33">
        <v>21.0</v>
      </c>
      <c r="C721" s="33" t="s">
        <v>484</v>
      </c>
      <c r="D721" s="33" t="s">
        <v>419</v>
      </c>
      <c r="E721" s="64">
        <v>1.0</v>
      </c>
      <c r="F721" s="43">
        <v>0.0</v>
      </c>
      <c r="G721" s="56">
        <f>'90146_2025'!F165</f>
        <v>0</v>
      </c>
      <c r="H721" s="40">
        <f>'90146_2025'!H165</f>
        <v>218000</v>
      </c>
      <c r="I721" s="40">
        <f>'90146_2025'!I165</f>
        <v>218000</v>
      </c>
      <c r="J721" s="64" t="s">
        <v>85</v>
      </c>
      <c r="K721" s="459" t="str">
        <f>'90146_2025'!K165</f>
        <v>Jac Hunter</v>
      </c>
      <c r="L721" s="459" t="str">
        <f>'90146_2025'!L165</f>
        <v>11.453.341/0004-81
</v>
      </c>
      <c r="M721" s="459" t="str">
        <f>'90146_2025'!M165</f>
        <v>NGN DISTRIBUIDORA DE VEICULOS LTDA
</v>
      </c>
      <c r="N721" s="459" t="str">
        <f>'90146_2025'!N165</f>
        <v/>
      </c>
      <c r="O721" s="459" t="str">
        <f>'90146_2025'!O165</f>
        <v/>
      </c>
      <c r="P721" s="459" t="str">
        <f>'90146_2025'!P165</f>
        <v/>
      </c>
      <c r="Q721" s="63">
        <f>'90146_2025'!Q165</f>
        <v>46379</v>
      </c>
      <c r="R721" s="460"/>
    </row>
    <row r="722" hidden="1">
      <c r="A722" s="461" t="s">
        <v>1003</v>
      </c>
      <c r="B722" s="49">
        <v>21.0</v>
      </c>
      <c r="C722" s="49" t="s">
        <v>484</v>
      </c>
      <c r="D722" s="49" t="s">
        <v>419</v>
      </c>
      <c r="E722" s="55">
        <v>2.0</v>
      </c>
      <c r="F722" s="58">
        <v>0.0</v>
      </c>
      <c r="G722" s="67">
        <f>'90146_2025'!F166</f>
        <v>0</v>
      </c>
      <c r="H722" s="54">
        <f>'90146_2025'!H166</f>
        <v>218000</v>
      </c>
      <c r="I722" s="54">
        <f>'90146_2025'!I166</f>
        <v>436000</v>
      </c>
      <c r="J722" s="55" t="s">
        <v>113</v>
      </c>
      <c r="K722" s="462" t="str">
        <f>'90146_2025'!K166</f>
        <v>Jac Hunter</v>
      </c>
      <c r="L722" s="462" t="str">
        <f>'90146_2025'!L166</f>
        <v>11.453.341/0004-81
</v>
      </c>
      <c r="M722" s="462" t="str">
        <f>'90146_2025'!M166</f>
        <v>NGN DISTRIBUIDORA DE VEICULOS LTDA
</v>
      </c>
      <c r="N722" s="462" t="str">
        <f>'90146_2025'!N166</f>
        <v/>
      </c>
      <c r="O722" s="462" t="str">
        <f>'90146_2025'!O166</f>
        <v/>
      </c>
      <c r="P722" s="462" t="str">
        <f>'90146_2025'!P166</f>
        <v/>
      </c>
      <c r="Q722" s="70">
        <f>'90146_2025'!Q166</f>
        <v>46379</v>
      </c>
      <c r="R722" s="463"/>
    </row>
    <row r="723" hidden="1">
      <c r="A723" s="326" t="s">
        <v>1003</v>
      </c>
      <c r="B723" s="33">
        <v>21.0</v>
      </c>
      <c r="C723" s="33" t="s">
        <v>484</v>
      </c>
      <c r="D723" s="33" t="s">
        <v>419</v>
      </c>
      <c r="E723" s="64">
        <v>1.0</v>
      </c>
      <c r="F723" s="43">
        <v>0.0</v>
      </c>
      <c r="G723" s="56">
        <f>'90146_2025'!F167</f>
        <v>0</v>
      </c>
      <c r="H723" s="40">
        <f>'90146_2025'!H167</f>
        <v>218000</v>
      </c>
      <c r="I723" s="40">
        <f>'90146_2025'!I167</f>
        <v>218000</v>
      </c>
      <c r="J723" s="64" t="s">
        <v>117</v>
      </c>
      <c r="K723" s="459" t="str">
        <f>'90146_2025'!K167</f>
        <v>Jac Hunter</v>
      </c>
      <c r="L723" s="459" t="str">
        <f>'90146_2025'!L167</f>
        <v>11.453.341/0004-81
</v>
      </c>
      <c r="M723" s="459" t="str">
        <f>'90146_2025'!M167</f>
        <v>NGN DISTRIBUIDORA DE VEICULOS LTDA
</v>
      </c>
      <c r="N723" s="459" t="str">
        <f>'90146_2025'!N167</f>
        <v/>
      </c>
      <c r="O723" s="459" t="str">
        <f>'90146_2025'!O167</f>
        <v/>
      </c>
      <c r="P723" s="459" t="str">
        <f>'90146_2025'!P167</f>
        <v/>
      </c>
      <c r="Q723" s="63">
        <f>'90146_2025'!Q167</f>
        <v>46379</v>
      </c>
      <c r="R723" s="460"/>
    </row>
    <row r="724" hidden="1">
      <c r="A724" s="461" t="s">
        <v>1003</v>
      </c>
      <c r="B724" s="49">
        <v>21.0</v>
      </c>
      <c r="C724" s="49" t="s">
        <v>484</v>
      </c>
      <c r="D724" s="49" t="s">
        <v>419</v>
      </c>
      <c r="E724" s="55">
        <v>1.0</v>
      </c>
      <c r="F724" s="58">
        <v>0.0</v>
      </c>
      <c r="G724" s="67">
        <f>'90146_2025'!F168</f>
        <v>0</v>
      </c>
      <c r="H724" s="54">
        <f>'90146_2025'!H168</f>
        <v>218000</v>
      </c>
      <c r="I724" s="54">
        <f>'90146_2025'!I168</f>
        <v>218000</v>
      </c>
      <c r="J724" s="55" t="s">
        <v>161</v>
      </c>
      <c r="K724" s="462" t="str">
        <f>'90146_2025'!K168</f>
        <v>Jac Hunter</v>
      </c>
      <c r="L724" s="462" t="str">
        <f>'90146_2025'!L168</f>
        <v>11.453.341/0004-81
</v>
      </c>
      <c r="M724" s="462" t="str">
        <f>'90146_2025'!M168</f>
        <v>NGN DISTRIBUIDORA DE VEICULOS LTDA
</v>
      </c>
      <c r="N724" s="462" t="str">
        <f>'90146_2025'!N168</f>
        <v/>
      </c>
      <c r="O724" s="462" t="str">
        <f>'90146_2025'!O168</f>
        <v/>
      </c>
      <c r="P724" s="462" t="str">
        <f>'90146_2025'!P168</f>
        <v/>
      </c>
      <c r="Q724" s="70">
        <f>'90146_2025'!Q168</f>
        <v>46379</v>
      </c>
      <c r="R724" s="463"/>
    </row>
    <row r="725" hidden="1">
      <c r="A725" s="326" t="s">
        <v>1003</v>
      </c>
      <c r="B725" s="33">
        <v>21.0</v>
      </c>
      <c r="C725" s="33" t="s">
        <v>484</v>
      </c>
      <c r="D725" s="33" t="s">
        <v>419</v>
      </c>
      <c r="E725" s="64">
        <v>1.0</v>
      </c>
      <c r="F725" s="43">
        <v>0.0</v>
      </c>
      <c r="G725" s="56">
        <f>'90146_2025'!F169</f>
        <v>0</v>
      </c>
      <c r="H725" s="40">
        <f>'90146_2025'!H169</f>
        <v>218000</v>
      </c>
      <c r="I725" s="40">
        <f>'90146_2025'!I169</f>
        <v>218000</v>
      </c>
      <c r="J725" s="64" t="s">
        <v>167</v>
      </c>
      <c r="K725" s="459" t="str">
        <f>'90146_2025'!K169</f>
        <v>Jac Hunter</v>
      </c>
      <c r="L725" s="459" t="str">
        <f>'90146_2025'!L169</f>
        <v>11.453.341/0004-81
</v>
      </c>
      <c r="M725" s="459" t="str">
        <f>'90146_2025'!M169</f>
        <v>NGN DISTRIBUIDORA DE VEICULOS LTDA
</v>
      </c>
      <c r="N725" s="459" t="str">
        <f>'90146_2025'!N169</f>
        <v/>
      </c>
      <c r="O725" s="459" t="str">
        <f>'90146_2025'!O169</f>
        <v/>
      </c>
      <c r="P725" s="459" t="str">
        <f>'90146_2025'!P169</f>
        <v/>
      </c>
      <c r="Q725" s="63">
        <f>'90146_2025'!Q169</f>
        <v>46379</v>
      </c>
      <c r="R725" s="460"/>
    </row>
    <row r="726" hidden="1">
      <c r="A726" s="461" t="s">
        <v>1003</v>
      </c>
      <c r="B726" s="49">
        <v>21.0</v>
      </c>
      <c r="C726" s="49" t="s">
        <v>484</v>
      </c>
      <c r="D726" s="49" t="s">
        <v>419</v>
      </c>
      <c r="E726" s="55">
        <v>3.0</v>
      </c>
      <c r="F726" s="58">
        <v>0.0</v>
      </c>
      <c r="G726" s="67">
        <f>'90146_2025'!F170</f>
        <v>0</v>
      </c>
      <c r="H726" s="54">
        <f>'90146_2025'!H170</f>
        <v>218000</v>
      </c>
      <c r="I726" s="54">
        <f>'90146_2025'!I170</f>
        <v>654000</v>
      </c>
      <c r="J726" s="55" t="s">
        <v>154</v>
      </c>
      <c r="K726" s="462" t="str">
        <f>'90146_2025'!K170</f>
        <v>Jac Hunter</v>
      </c>
      <c r="L726" s="462" t="str">
        <f>'90146_2025'!L170</f>
        <v>11.453.341/0004-81
</v>
      </c>
      <c r="M726" s="462" t="str">
        <f>'90146_2025'!M170</f>
        <v>NGN DISTRIBUIDORA DE VEICULOS LTDA
</v>
      </c>
      <c r="N726" s="462" t="str">
        <f>'90146_2025'!N170</f>
        <v/>
      </c>
      <c r="O726" s="462" t="str">
        <f>'90146_2025'!O170</f>
        <v/>
      </c>
      <c r="P726" s="462" t="str">
        <f>'90146_2025'!P170</f>
        <v/>
      </c>
      <c r="Q726" s="70">
        <f>'90146_2025'!Q170</f>
        <v>46379</v>
      </c>
      <c r="R726" s="463"/>
    </row>
    <row r="727" hidden="1">
      <c r="A727" s="326" t="s">
        <v>1003</v>
      </c>
      <c r="B727" s="33">
        <v>21.0</v>
      </c>
      <c r="C727" s="33" t="s">
        <v>484</v>
      </c>
      <c r="D727" s="33" t="s">
        <v>419</v>
      </c>
      <c r="E727" s="64">
        <v>2.0</v>
      </c>
      <c r="F727" s="43">
        <v>0.0</v>
      </c>
      <c r="G727" s="56">
        <f>'90146_2025'!F171</f>
        <v>0</v>
      </c>
      <c r="H727" s="40">
        <f>'90146_2025'!H171</f>
        <v>218000</v>
      </c>
      <c r="I727" s="40">
        <f>'90146_2025'!I171</f>
        <v>436000</v>
      </c>
      <c r="J727" s="64" t="s">
        <v>160</v>
      </c>
      <c r="K727" s="459" t="str">
        <f>'90146_2025'!K171</f>
        <v>Jac Hunter</v>
      </c>
      <c r="L727" s="459" t="str">
        <f>'90146_2025'!L171</f>
        <v>11.453.341/0004-81
</v>
      </c>
      <c r="M727" s="459" t="str">
        <f>'90146_2025'!M171</f>
        <v>NGN DISTRIBUIDORA DE VEICULOS LTDA
</v>
      </c>
      <c r="N727" s="459" t="str">
        <f>'90146_2025'!N171</f>
        <v/>
      </c>
      <c r="O727" s="459" t="str">
        <f>'90146_2025'!O171</f>
        <v/>
      </c>
      <c r="P727" s="459" t="str">
        <f>'90146_2025'!P171</f>
        <v/>
      </c>
      <c r="Q727" s="63">
        <f>'90146_2025'!Q171</f>
        <v>46379</v>
      </c>
      <c r="R727" s="460"/>
    </row>
    <row r="728" hidden="1">
      <c r="A728" s="461" t="s">
        <v>1003</v>
      </c>
      <c r="B728" s="49">
        <v>21.0</v>
      </c>
      <c r="C728" s="49" t="s">
        <v>484</v>
      </c>
      <c r="D728" s="49" t="s">
        <v>419</v>
      </c>
      <c r="E728" s="55">
        <v>1.0</v>
      </c>
      <c r="F728" s="58">
        <v>0.0</v>
      </c>
      <c r="G728" s="67">
        <f>'90146_2025'!F172</f>
        <v>0</v>
      </c>
      <c r="H728" s="54">
        <f>'90146_2025'!H172</f>
        <v>218000</v>
      </c>
      <c r="I728" s="54">
        <f>'90146_2025'!I172</f>
        <v>218000</v>
      </c>
      <c r="J728" s="55" t="s">
        <v>196</v>
      </c>
      <c r="K728" s="462" t="str">
        <f>'90146_2025'!K172</f>
        <v>Jac Hunter</v>
      </c>
      <c r="L728" s="462" t="str">
        <f>'90146_2025'!L172</f>
        <v>11.453.341/0004-81
</v>
      </c>
      <c r="M728" s="462" t="str">
        <f>'90146_2025'!M172</f>
        <v>NGN DISTRIBUIDORA DE VEICULOS LTDA
</v>
      </c>
      <c r="N728" s="462" t="str">
        <f>'90146_2025'!N172</f>
        <v/>
      </c>
      <c r="O728" s="462" t="str">
        <f>'90146_2025'!O172</f>
        <v/>
      </c>
      <c r="P728" s="462" t="str">
        <f>'90146_2025'!P172</f>
        <v/>
      </c>
      <c r="Q728" s="70">
        <f>'90146_2025'!Q172</f>
        <v>46379</v>
      </c>
      <c r="R728" s="463"/>
    </row>
    <row r="729" hidden="1">
      <c r="A729" s="326" t="s">
        <v>1003</v>
      </c>
      <c r="B729" s="33">
        <v>21.0</v>
      </c>
      <c r="C729" s="33" t="s">
        <v>484</v>
      </c>
      <c r="D729" s="33" t="s">
        <v>419</v>
      </c>
      <c r="E729" s="64">
        <v>1.0</v>
      </c>
      <c r="F729" s="43">
        <v>0.0</v>
      </c>
      <c r="G729" s="56">
        <f>'90146_2025'!F173</f>
        <v>0</v>
      </c>
      <c r="H729" s="40">
        <f>'90146_2025'!H173</f>
        <v>218000</v>
      </c>
      <c r="I729" s="40">
        <f>'90146_2025'!I173</f>
        <v>218000</v>
      </c>
      <c r="J729" s="64" t="s">
        <v>189</v>
      </c>
      <c r="K729" s="459" t="str">
        <f>'90146_2025'!K173</f>
        <v>Jac Hunter</v>
      </c>
      <c r="L729" s="459" t="str">
        <f>'90146_2025'!L173</f>
        <v>11.453.341/0004-81
</v>
      </c>
      <c r="M729" s="459" t="str">
        <f>'90146_2025'!M173</f>
        <v>NGN DISTRIBUIDORA DE VEICULOS LTDA
</v>
      </c>
      <c r="N729" s="459" t="str">
        <f>'90146_2025'!N173</f>
        <v/>
      </c>
      <c r="O729" s="459" t="str">
        <f>'90146_2025'!O173</f>
        <v/>
      </c>
      <c r="P729" s="459" t="str">
        <f>'90146_2025'!P173</f>
        <v/>
      </c>
      <c r="Q729" s="63">
        <f>'90146_2025'!Q173</f>
        <v>46379</v>
      </c>
      <c r="R729" s="460"/>
    </row>
    <row r="730" hidden="1">
      <c r="A730" s="461" t="s">
        <v>1003</v>
      </c>
      <c r="B730" s="49">
        <v>21.0</v>
      </c>
      <c r="C730" s="49" t="s">
        <v>484</v>
      </c>
      <c r="D730" s="49" t="s">
        <v>419</v>
      </c>
      <c r="E730" s="55">
        <v>1.0</v>
      </c>
      <c r="F730" s="58">
        <v>0.0</v>
      </c>
      <c r="G730" s="67">
        <f>'90146_2025'!F174</f>
        <v>0</v>
      </c>
      <c r="H730" s="54">
        <f>'90146_2025'!H174</f>
        <v>218000</v>
      </c>
      <c r="I730" s="54">
        <f>'90146_2025'!I174</f>
        <v>218000</v>
      </c>
      <c r="J730" s="55" t="s">
        <v>194</v>
      </c>
      <c r="K730" s="462" t="str">
        <f>'90146_2025'!K174</f>
        <v>Jac Hunter</v>
      </c>
      <c r="L730" s="462" t="str">
        <f>'90146_2025'!L174</f>
        <v>11.453.341/0004-81
</v>
      </c>
      <c r="M730" s="462" t="str">
        <f>'90146_2025'!M174</f>
        <v>NGN DISTRIBUIDORA DE VEICULOS LTDA
</v>
      </c>
      <c r="N730" s="462" t="str">
        <f>'90146_2025'!N174</f>
        <v/>
      </c>
      <c r="O730" s="462" t="str">
        <f>'90146_2025'!O174</f>
        <v/>
      </c>
      <c r="P730" s="462" t="str">
        <f>'90146_2025'!P174</f>
        <v/>
      </c>
      <c r="Q730" s="70">
        <f>'90146_2025'!Q174</f>
        <v>46379</v>
      </c>
      <c r="R730" s="463"/>
    </row>
    <row r="731" hidden="1">
      <c r="A731" s="326" t="s">
        <v>1003</v>
      </c>
      <c r="B731" s="33">
        <v>21.0</v>
      </c>
      <c r="C731" s="33" t="s">
        <v>484</v>
      </c>
      <c r="D731" s="33" t="s">
        <v>419</v>
      </c>
      <c r="E731" s="64">
        <v>1.0</v>
      </c>
      <c r="F731" s="43">
        <v>0.0</v>
      </c>
      <c r="G731" s="56">
        <f>'90146_2025'!F175</f>
        <v>0</v>
      </c>
      <c r="H731" s="40">
        <f>'90146_2025'!H175</f>
        <v>218000</v>
      </c>
      <c r="I731" s="40">
        <f>'90146_2025'!I175</f>
        <v>218000</v>
      </c>
      <c r="J731" s="64" t="s">
        <v>210</v>
      </c>
      <c r="K731" s="459" t="str">
        <f>'90146_2025'!K175</f>
        <v>Jac Hunter</v>
      </c>
      <c r="L731" s="459" t="str">
        <f>'90146_2025'!L175</f>
        <v>11.453.341/0004-81
</v>
      </c>
      <c r="M731" s="459" t="str">
        <f>'90146_2025'!M175</f>
        <v>NGN DISTRIBUIDORA DE VEICULOS LTDA
</v>
      </c>
      <c r="N731" s="459" t="str">
        <f>'90146_2025'!N175</f>
        <v/>
      </c>
      <c r="O731" s="459" t="str">
        <f>'90146_2025'!O175</f>
        <v/>
      </c>
      <c r="P731" s="459" t="str">
        <f>'90146_2025'!P175</f>
        <v/>
      </c>
      <c r="Q731" s="63">
        <f>'90146_2025'!Q175</f>
        <v>46379</v>
      </c>
      <c r="R731" s="460"/>
    </row>
    <row r="732" hidden="1">
      <c r="A732" s="461" t="s">
        <v>1003</v>
      </c>
      <c r="B732" s="49">
        <v>21.0</v>
      </c>
      <c r="C732" s="49" t="s">
        <v>484</v>
      </c>
      <c r="D732" s="49" t="s">
        <v>419</v>
      </c>
      <c r="E732" s="55">
        <v>2.0</v>
      </c>
      <c r="F732" s="58">
        <v>0.0</v>
      </c>
      <c r="G732" s="67">
        <f>'90146_2025'!F176</f>
        <v>0</v>
      </c>
      <c r="H732" s="54">
        <f>'90146_2025'!H176</f>
        <v>218000</v>
      </c>
      <c r="I732" s="54">
        <f>'90146_2025'!I176</f>
        <v>436000</v>
      </c>
      <c r="J732" s="55" t="s">
        <v>214</v>
      </c>
      <c r="K732" s="462" t="str">
        <f>'90146_2025'!K176</f>
        <v>Jac Hunter</v>
      </c>
      <c r="L732" s="462" t="str">
        <f>'90146_2025'!L176</f>
        <v>11.453.341/0004-81
</v>
      </c>
      <c r="M732" s="462" t="str">
        <f>'90146_2025'!M176</f>
        <v>NGN DISTRIBUIDORA DE VEICULOS LTDA
</v>
      </c>
      <c r="N732" s="462" t="str">
        <f>'90146_2025'!N176</f>
        <v/>
      </c>
      <c r="O732" s="462" t="str">
        <f>'90146_2025'!O176</f>
        <v/>
      </c>
      <c r="P732" s="462" t="str">
        <f>'90146_2025'!P176</f>
        <v/>
      </c>
      <c r="Q732" s="70">
        <f>'90146_2025'!Q176</f>
        <v>46379</v>
      </c>
      <c r="R732" s="463"/>
    </row>
    <row r="733" hidden="1">
      <c r="A733" s="326" t="s">
        <v>1003</v>
      </c>
      <c r="B733" s="33">
        <v>22.0</v>
      </c>
      <c r="C733" s="33" t="s">
        <v>215</v>
      </c>
      <c r="D733" s="33" t="s">
        <v>284</v>
      </c>
      <c r="E733" s="64">
        <v>1.0</v>
      </c>
      <c r="F733" s="43">
        <v>0.0</v>
      </c>
      <c r="G733" s="56">
        <f>'90146_2025'!F177</f>
        <v>0</v>
      </c>
      <c r="H733" s="40">
        <f>'90146_2025'!H177</f>
        <v>255000</v>
      </c>
      <c r="I733" s="40">
        <f>'90146_2025'!I177</f>
        <v>255000</v>
      </c>
      <c r="J733" s="64" t="s">
        <v>85</v>
      </c>
      <c r="K733" s="459" t="str">
        <f>'90146_2025'!K177</f>
        <v>Jac Hunter  4X4</v>
      </c>
      <c r="L733" s="459" t="str">
        <f>'90146_2025'!L177</f>
        <v>03.093.776/0018-30
</v>
      </c>
      <c r="M733" s="459" t="str">
        <f>'90146_2025'!M177</f>
        <v>MANUPA COMERCIO EXPORTACAO IMPORTACAO DE EQUIPAMENTOS E VEICULOS ADAPTADOS LTDA
</v>
      </c>
      <c r="N733" s="459" t="str">
        <f>'90146_2025'!N177</f>
        <v/>
      </c>
      <c r="O733" s="459" t="str">
        <f>'90146_2025'!O177</f>
        <v/>
      </c>
      <c r="P733" s="459" t="str">
        <f>'90146_2025'!P177</f>
        <v/>
      </c>
      <c r="Q733" s="63" t="str">
        <f>'90146_2025'!Q177</f>
        <v/>
      </c>
      <c r="R733" s="460"/>
    </row>
    <row r="734" hidden="1">
      <c r="A734" s="461" t="s">
        <v>1003</v>
      </c>
      <c r="B734" s="49">
        <v>22.0</v>
      </c>
      <c r="C734" s="49" t="s">
        <v>215</v>
      </c>
      <c r="D734" s="49" t="s">
        <v>284</v>
      </c>
      <c r="E734" s="55">
        <v>1.0</v>
      </c>
      <c r="F734" s="58">
        <v>0.0</v>
      </c>
      <c r="G734" s="67">
        <f>'90146_2025'!F178</f>
        <v>0</v>
      </c>
      <c r="H734" s="54">
        <f>'90146_2025'!H178</f>
        <v>255000</v>
      </c>
      <c r="I734" s="54">
        <f>'90146_2025'!I178</f>
        <v>255000</v>
      </c>
      <c r="J734" s="55" t="s">
        <v>232</v>
      </c>
      <c r="K734" s="462" t="str">
        <f>'90146_2025'!K178</f>
        <v>Jac Hunter  4X4</v>
      </c>
      <c r="L734" s="462" t="str">
        <f>'90146_2025'!L178</f>
        <v>03.093.776/0018-30
</v>
      </c>
      <c r="M734" s="462" t="str">
        <f>'90146_2025'!M178</f>
        <v>MANUPA COMERCIO EXPORTACAO IMPORTACAO DE EQUIPAMENTOS E VEICULOS ADAPTADOS LTDA
</v>
      </c>
      <c r="N734" s="462" t="str">
        <f>'90146_2025'!N178</f>
        <v/>
      </c>
      <c r="O734" s="462" t="str">
        <f>'90146_2025'!O178</f>
        <v/>
      </c>
      <c r="P734" s="462" t="str">
        <f>'90146_2025'!P178</f>
        <v/>
      </c>
      <c r="Q734" s="70" t="str">
        <f>'90146_2025'!Q178</f>
        <v/>
      </c>
      <c r="R734" s="463"/>
    </row>
    <row r="735" hidden="1">
      <c r="A735" s="326" t="s">
        <v>1003</v>
      </c>
      <c r="B735" s="33">
        <v>22.0</v>
      </c>
      <c r="C735" s="33" t="s">
        <v>215</v>
      </c>
      <c r="D735" s="33" t="s">
        <v>284</v>
      </c>
      <c r="E735" s="64">
        <v>1.0</v>
      </c>
      <c r="F735" s="43">
        <v>0.0</v>
      </c>
      <c r="G735" s="56">
        <f>'90146_2025'!F179</f>
        <v>0</v>
      </c>
      <c r="H735" s="40">
        <f>'90146_2025'!H179</f>
        <v>255000</v>
      </c>
      <c r="I735" s="40">
        <f>'90146_2025'!I179</f>
        <v>255000</v>
      </c>
      <c r="J735" s="64" t="s">
        <v>103</v>
      </c>
      <c r="K735" s="459" t="str">
        <f>'90146_2025'!K179</f>
        <v>Jac Hunter  4X4</v>
      </c>
      <c r="L735" s="459" t="str">
        <f>'90146_2025'!L179</f>
        <v>03.093.776/0018-30
</v>
      </c>
      <c r="M735" s="459" t="str">
        <f>'90146_2025'!M179</f>
        <v>MANUPA COMERCIO EXPORTACAO IMPORTACAO DE EQUIPAMENTOS E VEICULOS ADAPTADOS LTDA
</v>
      </c>
      <c r="N735" s="459" t="str">
        <f>'90146_2025'!N179</f>
        <v/>
      </c>
      <c r="O735" s="459" t="str">
        <f>'90146_2025'!O179</f>
        <v/>
      </c>
      <c r="P735" s="459" t="str">
        <f>'90146_2025'!P179</f>
        <v/>
      </c>
      <c r="Q735" s="63" t="str">
        <f>'90146_2025'!Q179</f>
        <v/>
      </c>
      <c r="R735" s="460"/>
    </row>
    <row r="736" hidden="1">
      <c r="A736" s="461" t="s">
        <v>1003</v>
      </c>
      <c r="B736" s="49">
        <v>22.0</v>
      </c>
      <c r="C736" s="49" t="s">
        <v>215</v>
      </c>
      <c r="D736" s="49" t="s">
        <v>284</v>
      </c>
      <c r="E736" s="55">
        <v>1.0</v>
      </c>
      <c r="F736" s="58">
        <v>0.0</v>
      </c>
      <c r="G736" s="67">
        <f>'90146_2025'!F180</f>
        <v>0</v>
      </c>
      <c r="H736" s="54">
        <f>'90146_2025'!H180</f>
        <v>255000</v>
      </c>
      <c r="I736" s="54">
        <f>'90146_2025'!I180</f>
        <v>255000</v>
      </c>
      <c r="J736" s="55" t="s">
        <v>96</v>
      </c>
      <c r="K736" s="462" t="str">
        <f>'90146_2025'!K180</f>
        <v>Jac Hunter  4X4</v>
      </c>
      <c r="L736" s="462" t="str">
        <f>'90146_2025'!L180</f>
        <v>03.093.776/0018-30
</v>
      </c>
      <c r="M736" s="462" t="str">
        <f>'90146_2025'!M180</f>
        <v>MANUPA COMERCIO EXPORTACAO IMPORTACAO DE EQUIPAMENTOS E VEICULOS ADAPTADOS LTDA
</v>
      </c>
      <c r="N736" s="462" t="str">
        <f>'90146_2025'!N180</f>
        <v/>
      </c>
      <c r="O736" s="462" t="str">
        <f>'90146_2025'!O180</f>
        <v/>
      </c>
      <c r="P736" s="462" t="str">
        <f>'90146_2025'!P180</f>
        <v/>
      </c>
      <c r="Q736" s="70" t="str">
        <f>'90146_2025'!Q180</f>
        <v/>
      </c>
      <c r="R736" s="463"/>
    </row>
    <row r="737" hidden="1">
      <c r="A737" s="326" t="s">
        <v>1003</v>
      </c>
      <c r="B737" s="33">
        <v>22.0</v>
      </c>
      <c r="C737" s="33" t="s">
        <v>215</v>
      </c>
      <c r="D737" s="33" t="s">
        <v>284</v>
      </c>
      <c r="E737" s="64">
        <v>1.0</v>
      </c>
      <c r="F737" s="43">
        <v>0.0</v>
      </c>
      <c r="G737" s="56">
        <f>'90146_2025'!F181</f>
        <v>0</v>
      </c>
      <c r="H737" s="40">
        <f>'90146_2025'!H181</f>
        <v>255000</v>
      </c>
      <c r="I737" s="40">
        <f>'90146_2025'!I181</f>
        <v>255000</v>
      </c>
      <c r="J737" s="64" t="s">
        <v>142</v>
      </c>
      <c r="K737" s="459" t="str">
        <f>'90146_2025'!K181</f>
        <v>Jac Hunter  4X4</v>
      </c>
      <c r="L737" s="459" t="str">
        <f>'90146_2025'!L181</f>
        <v>03.093.776/0018-30
</v>
      </c>
      <c r="M737" s="459" t="str">
        <f>'90146_2025'!M181</f>
        <v>MANUPA COMERCIO EXPORTACAO IMPORTACAO DE EQUIPAMENTOS E VEICULOS ADAPTADOS LTDA
</v>
      </c>
      <c r="N737" s="459" t="str">
        <f>'90146_2025'!N181</f>
        <v/>
      </c>
      <c r="O737" s="459" t="str">
        <f>'90146_2025'!O181</f>
        <v/>
      </c>
      <c r="P737" s="459" t="str">
        <f>'90146_2025'!P181</f>
        <v/>
      </c>
      <c r="Q737" s="63" t="str">
        <f>'90146_2025'!Q181</f>
        <v/>
      </c>
      <c r="R737" s="460"/>
    </row>
    <row r="738" hidden="1">
      <c r="A738" s="461" t="s">
        <v>1003</v>
      </c>
      <c r="B738" s="49">
        <v>22.0</v>
      </c>
      <c r="C738" s="49" t="s">
        <v>215</v>
      </c>
      <c r="D738" s="49" t="s">
        <v>284</v>
      </c>
      <c r="E738" s="55">
        <v>1.0</v>
      </c>
      <c r="F738" s="58">
        <v>0.0</v>
      </c>
      <c r="G738" s="67">
        <f>'90146_2025'!F182</f>
        <v>0</v>
      </c>
      <c r="H738" s="54">
        <f>'90146_2025'!H182</f>
        <v>255000</v>
      </c>
      <c r="I738" s="54">
        <f>'90146_2025'!I182</f>
        <v>255000</v>
      </c>
      <c r="J738" s="55" t="s">
        <v>178</v>
      </c>
      <c r="K738" s="462" t="str">
        <f>'90146_2025'!K182</f>
        <v>Jac Hunter  4X4</v>
      </c>
      <c r="L738" s="462" t="str">
        <f>'90146_2025'!L182</f>
        <v>03.093.776/0018-30
</v>
      </c>
      <c r="M738" s="462" t="str">
        <f>'90146_2025'!M182</f>
        <v>MANUPA COMERCIO EXPORTACAO IMPORTACAO DE EQUIPAMENTOS E VEICULOS ADAPTADOS LTDA
</v>
      </c>
      <c r="N738" s="462" t="str">
        <f>'90146_2025'!N182</f>
        <v/>
      </c>
      <c r="O738" s="462" t="str">
        <f>'90146_2025'!O182</f>
        <v/>
      </c>
      <c r="P738" s="462" t="str">
        <f>'90146_2025'!P182</f>
        <v/>
      </c>
      <c r="Q738" s="70" t="str">
        <f>'90146_2025'!Q182</f>
        <v/>
      </c>
      <c r="R738" s="463"/>
    </row>
    <row r="739" hidden="1">
      <c r="A739" s="326" t="s">
        <v>1003</v>
      </c>
      <c r="B739" s="33">
        <v>22.0</v>
      </c>
      <c r="C739" s="33" t="s">
        <v>215</v>
      </c>
      <c r="D739" s="33" t="s">
        <v>284</v>
      </c>
      <c r="E739" s="64">
        <v>1.0</v>
      </c>
      <c r="F739" s="43">
        <v>0.0</v>
      </c>
      <c r="G739" s="56">
        <f>'90146_2025'!F183</f>
        <v>0</v>
      </c>
      <c r="H739" s="40">
        <f>'90146_2025'!H183</f>
        <v>255000</v>
      </c>
      <c r="I739" s="40">
        <f>'90146_2025'!I183</f>
        <v>255000</v>
      </c>
      <c r="J739" s="64" t="s">
        <v>214</v>
      </c>
      <c r="K739" s="459" t="str">
        <f>'90146_2025'!K183</f>
        <v>Jac Hunter  4X4</v>
      </c>
      <c r="L739" s="459" t="str">
        <f>'90146_2025'!L183</f>
        <v>03.093.776/0018-30
</v>
      </c>
      <c r="M739" s="459" t="str">
        <f>'90146_2025'!M183</f>
        <v>MANUPA COMERCIO EXPORTACAO IMPORTACAO DE EQUIPAMENTOS E VEICULOS ADAPTADOS LTDA
</v>
      </c>
      <c r="N739" s="459" t="str">
        <f>'90146_2025'!N183</f>
        <v/>
      </c>
      <c r="O739" s="459" t="str">
        <f>'90146_2025'!O183</f>
        <v/>
      </c>
      <c r="P739" s="459" t="str">
        <f>'90146_2025'!P183</f>
        <v/>
      </c>
      <c r="Q739" s="63" t="str">
        <f>'90146_2025'!Q183</f>
        <v/>
      </c>
      <c r="R739" s="460"/>
    </row>
    <row r="740" hidden="1">
      <c r="A740" s="461" t="s">
        <v>1003</v>
      </c>
      <c r="B740" s="49">
        <v>23.0</v>
      </c>
      <c r="C740" s="49" t="s">
        <v>512</v>
      </c>
      <c r="D740" s="49" t="s">
        <v>479</v>
      </c>
      <c r="E740" s="55">
        <v>1.0</v>
      </c>
      <c r="F740" s="58">
        <v>0.0</v>
      </c>
      <c r="G740" s="67">
        <f>'90146_2025'!F184</f>
        <v>0</v>
      </c>
      <c r="H740" s="54">
        <f>'90146_2025'!H184</f>
        <v>274000</v>
      </c>
      <c r="I740" s="54">
        <f>'90146_2025'!I184</f>
        <v>274000</v>
      </c>
      <c r="J740" s="55" t="s">
        <v>513</v>
      </c>
      <c r="K740" s="462" t="str">
        <f>'90146_2025'!K184</f>
        <v>Jac Hunter  4X4</v>
      </c>
      <c r="L740" s="462" t="str">
        <f>'90146_2025'!L184</f>
        <v>03.093.776/0018-30
</v>
      </c>
      <c r="M740" s="462" t="str">
        <f>'90146_2025'!M184</f>
        <v>MANUPA COMERCIO EXPORTACAO IMPORTACAO DE EQUIPAMENTOS E VEICULOS ADAPTADOS LTDA
</v>
      </c>
      <c r="N740" s="462" t="str">
        <f>'90146_2025'!N184</f>
        <v/>
      </c>
      <c r="O740" s="462" t="str">
        <f>'90146_2025'!O184</f>
        <v/>
      </c>
      <c r="P740" s="462" t="str">
        <f>'90146_2025'!P184</f>
        <v/>
      </c>
      <c r="Q740" s="70">
        <f>'90146_2025'!Q184</f>
        <v>46365</v>
      </c>
      <c r="R740" s="463"/>
    </row>
    <row r="741" hidden="1">
      <c r="A741" s="326" t="s">
        <v>1003</v>
      </c>
      <c r="B741" s="33">
        <v>23.0</v>
      </c>
      <c r="C741" s="33" t="s">
        <v>512</v>
      </c>
      <c r="D741" s="33" t="s">
        <v>479</v>
      </c>
      <c r="E741" s="64">
        <v>1.0</v>
      </c>
      <c r="F741" s="43">
        <v>0.0</v>
      </c>
      <c r="G741" s="56">
        <f>'90146_2025'!F185</f>
        <v>0</v>
      </c>
      <c r="H741" s="40">
        <f>'90146_2025'!H185</f>
        <v>274000</v>
      </c>
      <c r="I741" s="40">
        <f>'90146_2025'!I185</f>
        <v>274000</v>
      </c>
      <c r="J741" s="64" t="s">
        <v>134</v>
      </c>
      <c r="K741" s="459" t="str">
        <f>'90146_2025'!K185</f>
        <v>Jac Hunter  4X4</v>
      </c>
      <c r="L741" s="459" t="str">
        <f>'90146_2025'!L185</f>
        <v>03.093.776/0018-30
</v>
      </c>
      <c r="M741" s="459" t="str">
        <f>'90146_2025'!M185</f>
        <v>MANUPA COMERCIO EXPORTACAO IMPORTACAO DE EQUIPAMENTOS E VEICULOS ADAPTADOS LTDA
</v>
      </c>
      <c r="N741" s="459" t="str">
        <f>'90146_2025'!N185</f>
        <v/>
      </c>
      <c r="O741" s="459" t="str">
        <f>'90146_2025'!O185</f>
        <v/>
      </c>
      <c r="P741" s="459" t="str">
        <f>'90146_2025'!P185</f>
        <v/>
      </c>
      <c r="Q741" s="63">
        <f>'90146_2025'!Q185</f>
        <v>46365</v>
      </c>
      <c r="R741" s="460"/>
    </row>
    <row r="742" hidden="1">
      <c r="A742" s="461" t="s">
        <v>1003</v>
      </c>
      <c r="B742" s="49">
        <v>23.0</v>
      </c>
      <c r="C742" s="49" t="s">
        <v>512</v>
      </c>
      <c r="D742" s="49" t="s">
        <v>479</v>
      </c>
      <c r="E742" s="55">
        <v>1.0</v>
      </c>
      <c r="F742" s="58">
        <v>0.0</v>
      </c>
      <c r="G742" s="67">
        <f>'90146_2025'!F186</f>
        <v>0</v>
      </c>
      <c r="H742" s="54">
        <f>'90146_2025'!H186</f>
        <v>274000</v>
      </c>
      <c r="I742" s="54">
        <f>'90146_2025'!I186</f>
        <v>274000</v>
      </c>
      <c r="J742" s="55" t="s">
        <v>161</v>
      </c>
      <c r="K742" s="462" t="str">
        <f>'90146_2025'!K186</f>
        <v>Jac Hunter  4X4</v>
      </c>
      <c r="L742" s="462" t="str">
        <f>'90146_2025'!L186</f>
        <v>03.093.776/0018-30
</v>
      </c>
      <c r="M742" s="462" t="str">
        <f>'90146_2025'!M186</f>
        <v>MANUPA COMERCIO EXPORTACAO IMPORTACAO DE EQUIPAMENTOS E VEICULOS ADAPTADOS LTDA
</v>
      </c>
      <c r="N742" s="462" t="str">
        <f>'90146_2025'!N186</f>
        <v/>
      </c>
      <c r="O742" s="462" t="str">
        <f>'90146_2025'!O186</f>
        <v/>
      </c>
      <c r="P742" s="462" t="str">
        <f>'90146_2025'!P186</f>
        <v/>
      </c>
      <c r="Q742" s="70">
        <f>'90146_2025'!Q186</f>
        <v>46365</v>
      </c>
      <c r="R742" s="463"/>
    </row>
    <row r="743" hidden="1">
      <c r="A743" s="326" t="s">
        <v>1003</v>
      </c>
      <c r="B743" s="33">
        <v>23.0</v>
      </c>
      <c r="C743" s="33" t="s">
        <v>512</v>
      </c>
      <c r="D743" s="33" t="s">
        <v>479</v>
      </c>
      <c r="E743" s="64">
        <v>1.0</v>
      </c>
      <c r="F743" s="43">
        <v>0.0</v>
      </c>
      <c r="G743" s="56">
        <f>'90146_2025'!F187</f>
        <v>0</v>
      </c>
      <c r="H743" s="40">
        <f>'90146_2025'!H187</f>
        <v>274000</v>
      </c>
      <c r="I743" s="40">
        <f>'90146_2025'!I187</f>
        <v>274000</v>
      </c>
      <c r="J743" s="64" t="s">
        <v>178</v>
      </c>
      <c r="K743" s="459" t="str">
        <f>'90146_2025'!K187</f>
        <v>Jac Hunter  4X4</v>
      </c>
      <c r="L743" s="459" t="str">
        <f>'90146_2025'!L187</f>
        <v>03.093.776/0018-30
</v>
      </c>
      <c r="M743" s="459" t="str">
        <f>'90146_2025'!M187</f>
        <v>MANUPA COMERCIO EXPORTACAO IMPORTACAO DE EQUIPAMENTOS E VEICULOS ADAPTADOS LTDA
</v>
      </c>
      <c r="N743" s="459" t="str">
        <f>'90146_2025'!N187</f>
        <v/>
      </c>
      <c r="O743" s="459" t="str">
        <f>'90146_2025'!O187</f>
        <v/>
      </c>
      <c r="P743" s="459" t="str">
        <f>'90146_2025'!P187</f>
        <v/>
      </c>
      <c r="Q743" s="63">
        <f>'90146_2025'!Q187</f>
        <v>46365</v>
      </c>
      <c r="R743" s="460"/>
    </row>
    <row r="744" hidden="1">
      <c r="A744" s="461" t="s">
        <v>1003</v>
      </c>
      <c r="B744" s="49">
        <v>23.0</v>
      </c>
      <c r="C744" s="49" t="s">
        <v>512</v>
      </c>
      <c r="D744" s="49" t="s">
        <v>479</v>
      </c>
      <c r="E744" s="55">
        <v>2.0</v>
      </c>
      <c r="F744" s="58">
        <v>0.0</v>
      </c>
      <c r="G744" s="67">
        <f>'90146_2025'!F188</f>
        <v>1</v>
      </c>
      <c r="H744" s="54">
        <f>'90146_2025'!H188</f>
        <v>274000</v>
      </c>
      <c r="I744" s="54">
        <f>'90146_2025'!I188</f>
        <v>548000</v>
      </c>
      <c r="J744" s="55" t="s">
        <v>520</v>
      </c>
      <c r="K744" s="462" t="str">
        <f>'90146_2025'!K188</f>
        <v>Jac Hunter  4X4</v>
      </c>
      <c r="L744" s="462" t="str">
        <f>'90146_2025'!L188</f>
        <v>03.093.776/0018-30
</v>
      </c>
      <c r="M744" s="462" t="str">
        <f>'90146_2025'!M188</f>
        <v>MANUPA COMERCIO EXPORTACAO IMPORTACAO DE EQUIPAMENTOS E VEICULOS ADAPTADOS LTDA
</v>
      </c>
      <c r="N744" s="462" t="str">
        <f>'90146_2025'!N188</f>
        <v/>
      </c>
      <c r="O744" s="462" t="str">
        <f>'90146_2025'!O188</f>
        <v/>
      </c>
      <c r="P744" s="462" t="str">
        <f>'90146_2025'!P188</f>
        <v/>
      </c>
      <c r="Q744" s="70">
        <f>'90146_2025'!Q188</f>
        <v>46365</v>
      </c>
      <c r="R744" s="463"/>
    </row>
    <row r="745" hidden="1">
      <c r="A745" s="326" t="s">
        <v>1003</v>
      </c>
      <c r="B745" s="33">
        <v>23.0</v>
      </c>
      <c r="C745" s="33" t="s">
        <v>512</v>
      </c>
      <c r="D745" s="33" t="s">
        <v>479</v>
      </c>
      <c r="E745" s="64">
        <v>1.0</v>
      </c>
      <c r="F745" s="43">
        <v>0.0</v>
      </c>
      <c r="G745" s="56">
        <f>'90146_2025'!F189</f>
        <v>0</v>
      </c>
      <c r="H745" s="40">
        <f>'90146_2025'!H189</f>
        <v>274000</v>
      </c>
      <c r="I745" s="40">
        <f>'90146_2025'!I189</f>
        <v>274000</v>
      </c>
      <c r="J745" s="64" t="s">
        <v>199</v>
      </c>
      <c r="K745" s="459" t="str">
        <f>'90146_2025'!K189</f>
        <v>Jac Hunter  4X4</v>
      </c>
      <c r="L745" s="459" t="str">
        <f>'90146_2025'!L189</f>
        <v>03.093.776/0018-30
</v>
      </c>
      <c r="M745" s="459" t="str">
        <f>'90146_2025'!M189</f>
        <v>MANUPA COMERCIO EXPORTACAO IMPORTACAO DE EQUIPAMENTOS E VEICULOS ADAPTADOS LTDA
</v>
      </c>
      <c r="N745" s="459" t="str">
        <f>'90146_2025'!N189</f>
        <v/>
      </c>
      <c r="O745" s="459" t="str">
        <f>'90146_2025'!O189</f>
        <v/>
      </c>
      <c r="P745" s="459" t="str">
        <f>'90146_2025'!P189</f>
        <v/>
      </c>
      <c r="Q745" s="63">
        <f>'90146_2025'!Q189</f>
        <v>46365</v>
      </c>
      <c r="R745" s="460"/>
    </row>
    <row r="746" hidden="1">
      <c r="A746" s="461" t="s">
        <v>1003</v>
      </c>
      <c r="B746" s="49">
        <v>23.0</v>
      </c>
      <c r="C746" s="49" t="s">
        <v>512</v>
      </c>
      <c r="D746" s="49" t="s">
        <v>479</v>
      </c>
      <c r="E746" s="55">
        <v>1.0</v>
      </c>
      <c r="F746" s="58">
        <v>0.0</v>
      </c>
      <c r="G746" s="67">
        <f>'90146_2025'!F190</f>
        <v>0</v>
      </c>
      <c r="H746" s="54">
        <f>'90146_2025'!H190</f>
        <v>274000</v>
      </c>
      <c r="I746" s="54">
        <f>'90146_2025'!I190</f>
        <v>274000</v>
      </c>
      <c r="J746" s="55" t="s">
        <v>214</v>
      </c>
      <c r="K746" s="462" t="str">
        <f>'90146_2025'!K190</f>
        <v>Jac Hunter  4X4</v>
      </c>
      <c r="L746" s="462" t="str">
        <f>'90146_2025'!L190</f>
        <v>03.093.776/0018-30
</v>
      </c>
      <c r="M746" s="462" t="str">
        <f>'90146_2025'!M190</f>
        <v>MANUPA COMERCIO EXPORTACAO IMPORTACAO DE EQUIPAMENTOS E VEICULOS ADAPTADOS LTDA
</v>
      </c>
      <c r="N746" s="462" t="str">
        <f>'90146_2025'!N190</f>
        <v/>
      </c>
      <c r="O746" s="462" t="str">
        <f>'90146_2025'!O190</f>
        <v/>
      </c>
      <c r="P746" s="462" t="str">
        <f>'90146_2025'!P190</f>
        <v/>
      </c>
      <c r="Q746" s="70">
        <f>'90146_2025'!Q190</f>
        <v>46365</v>
      </c>
      <c r="R746" s="463"/>
    </row>
    <row r="747" hidden="1">
      <c r="A747" s="326" t="s">
        <v>1003</v>
      </c>
      <c r="B747" s="33">
        <v>24.0</v>
      </c>
      <c r="C747" s="33" t="s">
        <v>528</v>
      </c>
      <c r="D747" s="33" t="s">
        <v>488</v>
      </c>
      <c r="E747" s="64">
        <v>1.0</v>
      </c>
      <c r="F747" s="43">
        <v>0.0</v>
      </c>
      <c r="G747" s="56">
        <f>'90146_2025'!F191</f>
        <v>0</v>
      </c>
      <c r="H747" s="40">
        <f>'90146_2025'!H191</f>
        <v>345000</v>
      </c>
      <c r="I747" s="40">
        <f>'90146_2025'!I191</f>
        <v>345000</v>
      </c>
      <c r="J747" s="64" t="s">
        <v>103</v>
      </c>
      <c r="K747" s="459" t="str">
        <f>'90146_2025'!K191</f>
        <v>RENAULT MASTER L3H2</v>
      </c>
      <c r="L747" s="459" t="str">
        <f>'90146_2025'!L191</f>
        <v>29.987.662/0001-89
</v>
      </c>
      <c r="M747" s="459" t="str">
        <f>'90146_2025'!M191</f>
        <v>SOCIETE COMERCIO DE VEICULOS LTDA
</v>
      </c>
      <c r="N747" s="459" t="str">
        <f>'90146_2025'!N191</f>
        <v/>
      </c>
      <c r="O747" s="459" t="str">
        <f>'90146_2025'!O191</f>
        <v/>
      </c>
      <c r="P747" s="459" t="str">
        <f>'90146_2025'!P191</f>
        <v/>
      </c>
      <c r="Q747" s="63" t="str">
        <f>'90146_2025'!Q191</f>
        <v/>
      </c>
      <c r="R747" s="460"/>
    </row>
    <row r="748" hidden="1">
      <c r="A748" s="461" t="s">
        <v>1003</v>
      </c>
      <c r="B748" s="49">
        <v>24.0</v>
      </c>
      <c r="C748" s="49" t="s">
        <v>528</v>
      </c>
      <c r="D748" s="49" t="s">
        <v>488</v>
      </c>
      <c r="E748" s="55">
        <v>1.0</v>
      </c>
      <c r="F748" s="58">
        <v>0.0</v>
      </c>
      <c r="G748" s="67">
        <f>'90146_2025'!F192</f>
        <v>0</v>
      </c>
      <c r="H748" s="54">
        <f>'90146_2025'!H192</f>
        <v>345000</v>
      </c>
      <c r="I748" s="54">
        <f>'90146_2025'!I192</f>
        <v>345000</v>
      </c>
      <c r="J748" s="55" t="s">
        <v>134</v>
      </c>
      <c r="K748" s="462" t="str">
        <f>'90146_2025'!K192</f>
        <v>RENAULT MASTER L3H2</v>
      </c>
      <c r="L748" s="462" t="str">
        <f>'90146_2025'!L192</f>
        <v>29.987.662/0001-89
</v>
      </c>
      <c r="M748" s="462" t="str">
        <f>'90146_2025'!M192</f>
        <v>SOCIETE COMERCIO DE VEICULOS LTDA
</v>
      </c>
      <c r="N748" s="462" t="str">
        <f>'90146_2025'!N192</f>
        <v/>
      </c>
      <c r="O748" s="462" t="str">
        <f>'90146_2025'!O192</f>
        <v/>
      </c>
      <c r="P748" s="462" t="str">
        <f>'90146_2025'!P192</f>
        <v/>
      </c>
      <c r="Q748" s="70" t="str">
        <f>'90146_2025'!Q192</f>
        <v/>
      </c>
      <c r="R748" s="463"/>
    </row>
    <row r="749" hidden="1">
      <c r="A749" s="326" t="s">
        <v>1003</v>
      </c>
      <c r="B749" s="33">
        <v>24.0</v>
      </c>
      <c r="C749" s="33" t="s">
        <v>528</v>
      </c>
      <c r="D749" s="33" t="s">
        <v>488</v>
      </c>
      <c r="E749" s="64">
        <v>1.0</v>
      </c>
      <c r="F749" s="43">
        <v>0.0</v>
      </c>
      <c r="G749" s="56">
        <f>'90146_2025'!F193</f>
        <v>0</v>
      </c>
      <c r="H749" s="40">
        <f>'90146_2025'!H193</f>
        <v>345000</v>
      </c>
      <c r="I749" s="40">
        <f>'90146_2025'!I193</f>
        <v>345000</v>
      </c>
      <c r="J749" s="64" t="s">
        <v>117</v>
      </c>
      <c r="K749" s="459" t="str">
        <f>'90146_2025'!K193</f>
        <v>RENAULT MASTER L3H2</v>
      </c>
      <c r="L749" s="459" t="str">
        <f>'90146_2025'!L193</f>
        <v>29.987.662/0001-89
</v>
      </c>
      <c r="M749" s="459" t="str">
        <f>'90146_2025'!M193</f>
        <v>SOCIETE COMERCIO DE VEICULOS LTDA
</v>
      </c>
      <c r="N749" s="459" t="str">
        <f>'90146_2025'!N193</f>
        <v/>
      </c>
      <c r="O749" s="459" t="str">
        <f>'90146_2025'!O193</f>
        <v/>
      </c>
      <c r="P749" s="459" t="str">
        <f>'90146_2025'!P193</f>
        <v/>
      </c>
      <c r="Q749" s="63" t="str">
        <f>'90146_2025'!Q193</f>
        <v/>
      </c>
      <c r="R749" s="460"/>
    </row>
    <row r="750" hidden="1">
      <c r="A750" s="461" t="s">
        <v>1003</v>
      </c>
      <c r="B750" s="49">
        <v>24.0</v>
      </c>
      <c r="C750" s="49" t="s">
        <v>528</v>
      </c>
      <c r="D750" s="49" t="s">
        <v>488</v>
      </c>
      <c r="E750" s="55">
        <v>1.0</v>
      </c>
      <c r="F750" s="58">
        <v>0.0</v>
      </c>
      <c r="G750" s="67">
        <f>'90146_2025'!F194</f>
        <v>0</v>
      </c>
      <c r="H750" s="54">
        <f>'90146_2025'!H194</f>
        <v>345000</v>
      </c>
      <c r="I750" s="54">
        <f>'90146_2025'!I194</f>
        <v>345000</v>
      </c>
      <c r="J750" s="55" t="s">
        <v>89</v>
      </c>
      <c r="K750" s="462" t="str">
        <f>'90146_2025'!K194</f>
        <v>RENAULT MASTER L3H2</v>
      </c>
      <c r="L750" s="462" t="str">
        <f>'90146_2025'!L194</f>
        <v>29.987.662/0001-89
</v>
      </c>
      <c r="M750" s="462" t="str">
        <f>'90146_2025'!M194</f>
        <v>SOCIETE COMERCIO DE VEICULOS LTDA
</v>
      </c>
      <c r="N750" s="462" t="str">
        <f>'90146_2025'!N194</f>
        <v/>
      </c>
      <c r="O750" s="462" t="str">
        <f>'90146_2025'!O194</f>
        <v/>
      </c>
      <c r="P750" s="462" t="str">
        <f>'90146_2025'!P194</f>
        <v/>
      </c>
      <c r="Q750" s="70" t="str">
        <f>'90146_2025'!Q194</f>
        <v/>
      </c>
      <c r="R750" s="463"/>
    </row>
    <row r="751" hidden="1">
      <c r="A751" s="326" t="s">
        <v>1003</v>
      </c>
      <c r="B751" s="33">
        <v>24.0</v>
      </c>
      <c r="C751" s="33" t="s">
        <v>528</v>
      </c>
      <c r="D751" s="33" t="s">
        <v>488</v>
      </c>
      <c r="E751" s="64">
        <v>1.0</v>
      </c>
      <c r="F751" s="43">
        <v>0.0</v>
      </c>
      <c r="G751" s="56">
        <f>'90146_2025'!F195</f>
        <v>0</v>
      </c>
      <c r="H751" s="40">
        <f>'90146_2025'!H195</f>
        <v>345000</v>
      </c>
      <c r="I751" s="40">
        <f>'90146_2025'!I195</f>
        <v>345000</v>
      </c>
      <c r="J751" s="64" t="s">
        <v>154</v>
      </c>
      <c r="K751" s="459" t="str">
        <f>'90146_2025'!K195</f>
        <v>RENAULT MASTER L3H2</v>
      </c>
      <c r="L751" s="459" t="str">
        <f>'90146_2025'!L195</f>
        <v>29.987.662/0001-89
</v>
      </c>
      <c r="M751" s="459" t="str">
        <f>'90146_2025'!M195</f>
        <v>SOCIETE COMERCIO DE VEICULOS LTDA
</v>
      </c>
      <c r="N751" s="459" t="str">
        <f>'90146_2025'!N195</f>
        <v/>
      </c>
      <c r="O751" s="459" t="str">
        <f>'90146_2025'!O195</f>
        <v/>
      </c>
      <c r="P751" s="459" t="str">
        <f>'90146_2025'!P195</f>
        <v/>
      </c>
      <c r="Q751" s="63" t="str">
        <f>'90146_2025'!Q195</f>
        <v/>
      </c>
      <c r="R751" s="460"/>
    </row>
    <row r="752" hidden="1">
      <c r="A752" s="461" t="s">
        <v>1003</v>
      </c>
      <c r="B752" s="49">
        <v>24.0</v>
      </c>
      <c r="C752" s="49" t="s">
        <v>528</v>
      </c>
      <c r="D752" s="49" t="s">
        <v>488</v>
      </c>
      <c r="E752" s="55">
        <v>1.0</v>
      </c>
      <c r="F752" s="58">
        <v>0.0</v>
      </c>
      <c r="G752" s="67">
        <f>'90146_2025'!F196</f>
        <v>0</v>
      </c>
      <c r="H752" s="54">
        <f>'90146_2025'!H196</f>
        <v>345000</v>
      </c>
      <c r="I752" s="54">
        <f>'90146_2025'!I196</f>
        <v>345000</v>
      </c>
      <c r="J752" s="55" t="s">
        <v>175</v>
      </c>
      <c r="K752" s="462" t="str">
        <f>'90146_2025'!K196</f>
        <v>RENAULT MASTER L3H2</v>
      </c>
      <c r="L752" s="462" t="str">
        <f>'90146_2025'!L196</f>
        <v>29.987.662/0001-89
</v>
      </c>
      <c r="M752" s="462" t="str">
        <f>'90146_2025'!M196</f>
        <v>SOCIETE COMERCIO DE VEICULOS LTDA
</v>
      </c>
      <c r="N752" s="462" t="str">
        <f>'90146_2025'!N196</f>
        <v/>
      </c>
      <c r="O752" s="462" t="str">
        <f>'90146_2025'!O196</f>
        <v/>
      </c>
      <c r="P752" s="462" t="str">
        <f>'90146_2025'!P196</f>
        <v/>
      </c>
      <c r="Q752" s="70" t="str">
        <f>'90146_2025'!Q196</f>
        <v/>
      </c>
      <c r="R752" s="463"/>
    </row>
    <row r="753" hidden="1">
      <c r="A753" s="326" t="s">
        <v>1003</v>
      </c>
      <c r="B753" s="33">
        <v>24.0</v>
      </c>
      <c r="C753" s="33" t="s">
        <v>528</v>
      </c>
      <c r="D753" s="33" t="s">
        <v>488</v>
      </c>
      <c r="E753" s="64">
        <v>1.0</v>
      </c>
      <c r="F753" s="43">
        <v>0.0</v>
      </c>
      <c r="G753" s="56">
        <f>'90146_2025'!F197</f>
        <v>0</v>
      </c>
      <c r="H753" s="40">
        <f>'90146_2025'!H197</f>
        <v>345000</v>
      </c>
      <c r="I753" s="40">
        <f>'90146_2025'!I197</f>
        <v>345000</v>
      </c>
      <c r="J753" s="64" t="s">
        <v>188</v>
      </c>
      <c r="K753" s="459" t="str">
        <f>'90146_2025'!K197</f>
        <v>RENAULT MASTER L3H2</v>
      </c>
      <c r="L753" s="459" t="str">
        <f>'90146_2025'!L197</f>
        <v>29.987.662/0001-89
</v>
      </c>
      <c r="M753" s="459" t="str">
        <f>'90146_2025'!M197</f>
        <v>SOCIETE COMERCIO DE VEICULOS LTDA
</v>
      </c>
      <c r="N753" s="459" t="str">
        <f>'90146_2025'!N197</f>
        <v/>
      </c>
      <c r="O753" s="459" t="str">
        <f>'90146_2025'!O197</f>
        <v/>
      </c>
      <c r="P753" s="459" t="str">
        <f>'90146_2025'!P197</f>
        <v/>
      </c>
      <c r="Q753" s="63" t="str">
        <f>'90146_2025'!Q197</f>
        <v/>
      </c>
      <c r="R753" s="460"/>
    </row>
    <row r="754" hidden="1">
      <c r="A754" s="461" t="s">
        <v>1003</v>
      </c>
      <c r="B754" s="49">
        <v>24.0</v>
      </c>
      <c r="C754" s="49" t="s">
        <v>528</v>
      </c>
      <c r="D754" s="49" t="s">
        <v>488</v>
      </c>
      <c r="E754" s="55">
        <v>1.0</v>
      </c>
      <c r="F754" s="58">
        <v>0.0</v>
      </c>
      <c r="G754" s="67">
        <f>'90146_2025'!F198</f>
        <v>0</v>
      </c>
      <c r="H754" s="54">
        <f>'90146_2025'!H198</f>
        <v>345000</v>
      </c>
      <c r="I754" s="54">
        <f>'90146_2025'!I198</f>
        <v>345000</v>
      </c>
      <c r="J754" s="55" t="s">
        <v>160</v>
      </c>
      <c r="K754" s="462" t="str">
        <f>'90146_2025'!K198</f>
        <v>RENAULT MASTER L3H2</v>
      </c>
      <c r="L754" s="462" t="str">
        <f>'90146_2025'!L198</f>
        <v>29.987.662/0001-89
</v>
      </c>
      <c r="M754" s="462" t="str">
        <f>'90146_2025'!M198</f>
        <v>SOCIETE COMERCIO DE VEICULOS LTDA
</v>
      </c>
      <c r="N754" s="462" t="str">
        <f>'90146_2025'!N198</f>
        <v/>
      </c>
      <c r="O754" s="462" t="str">
        <f>'90146_2025'!O198</f>
        <v/>
      </c>
      <c r="P754" s="462" t="str">
        <f>'90146_2025'!P198</f>
        <v/>
      </c>
      <c r="Q754" s="70" t="str">
        <f>'90146_2025'!Q198</f>
        <v/>
      </c>
      <c r="R754" s="463"/>
    </row>
    <row r="755" hidden="1">
      <c r="A755" s="326" t="s">
        <v>1003</v>
      </c>
      <c r="B755" s="33">
        <v>24.0</v>
      </c>
      <c r="C755" s="33" t="s">
        <v>528</v>
      </c>
      <c r="D755" s="33" t="s">
        <v>488</v>
      </c>
      <c r="E755" s="64">
        <v>1.0</v>
      </c>
      <c r="F755" s="43">
        <v>0.0</v>
      </c>
      <c r="G755" s="56">
        <f>'90146_2025'!F199</f>
        <v>0</v>
      </c>
      <c r="H755" s="40">
        <f>'90146_2025'!H199</f>
        <v>345000</v>
      </c>
      <c r="I755" s="40">
        <f>'90146_2025'!I199</f>
        <v>345000</v>
      </c>
      <c r="J755" s="64" t="s">
        <v>201</v>
      </c>
      <c r="K755" s="459" t="str">
        <f>'90146_2025'!K199</f>
        <v>RENAULT MASTER L3H2</v>
      </c>
      <c r="L755" s="459" t="str">
        <f>'90146_2025'!L199</f>
        <v>29.987.662/0001-89
</v>
      </c>
      <c r="M755" s="459" t="str">
        <f>'90146_2025'!M199</f>
        <v>SOCIETE COMERCIO DE VEICULOS LTDA
</v>
      </c>
      <c r="N755" s="459" t="str">
        <f>'90146_2025'!N199</f>
        <v/>
      </c>
      <c r="O755" s="459" t="str">
        <f>'90146_2025'!O199</f>
        <v/>
      </c>
      <c r="P755" s="459" t="str">
        <f>'90146_2025'!P199</f>
        <v/>
      </c>
      <c r="Q755" s="63" t="str">
        <f>'90146_2025'!Q199</f>
        <v/>
      </c>
      <c r="R755" s="460"/>
    </row>
    <row r="756" hidden="1">
      <c r="A756" s="461" t="s">
        <v>1003</v>
      </c>
      <c r="B756" s="49">
        <v>24.0</v>
      </c>
      <c r="C756" s="49" t="s">
        <v>528</v>
      </c>
      <c r="D756" s="49" t="s">
        <v>488</v>
      </c>
      <c r="E756" s="55">
        <v>1.0</v>
      </c>
      <c r="F756" s="58">
        <v>0.0</v>
      </c>
      <c r="G756" s="67">
        <f>'90146_2025'!F200</f>
        <v>0</v>
      </c>
      <c r="H756" s="54">
        <f>'90146_2025'!H200</f>
        <v>345000</v>
      </c>
      <c r="I756" s="54">
        <f>'90146_2025'!I200</f>
        <v>345000</v>
      </c>
      <c r="J756" s="55" t="s">
        <v>192</v>
      </c>
      <c r="K756" s="462" t="str">
        <f>'90146_2025'!K200</f>
        <v>RENAULT MASTER L3H2</v>
      </c>
      <c r="L756" s="462" t="str">
        <f>'90146_2025'!L200</f>
        <v>29.987.662/0001-89
</v>
      </c>
      <c r="M756" s="462" t="str">
        <f>'90146_2025'!M200</f>
        <v>SOCIETE COMERCIO DE VEICULOS LTDA
</v>
      </c>
      <c r="N756" s="462" t="str">
        <f>'90146_2025'!N200</f>
        <v/>
      </c>
      <c r="O756" s="462" t="str">
        <f>'90146_2025'!O200</f>
        <v/>
      </c>
      <c r="P756" s="462" t="str">
        <f>'90146_2025'!P200</f>
        <v/>
      </c>
      <c r="Q756" s="70" t="str">
        <f>'90146_2025'!Q200</f>
        <v/>
      </c>
      <c r="R756" s="463"/>
    </row>
    <row r="757" hidden="1">
      <c r="A757" s="326" t="s">
        <v>1003</v>
      </c>
      <c r="B757" s="33">
        <v>24.0</v>
      </c>
      <c r="C757" s="33" t="s">
        <v>528</v>
      </c>
      <c r="D757" s="33" t="s">
        <v>488</v>
      </c>
      <c r="E757" s="64">
        <v>1.0</v>
      </c>
      <c r="F757" s="43">
        <v>0.0</v>
      </c>
      <c r="G757" s="56">
        <f>'90146_2025'!F201</f>
        <v>0</v>
      </c>
      <c r="H757" s="40">
        <f>'90146_2025'!H201</f>
        <v>345000</v>
      </c>
      <c r="I757" s="40">
        <f>'90146_2025'!I201</f>
        <v>345000</v>
      </c>
      <c r="J757" s="64" t="s">
        <v>214</v>
      </c>
      <c r="K757" s="459" t="str">
        <f>'90146_2025'!K201</f>
        <v>RENAULT MASTER L3H2</v>
      </c>
      <c r="L757" s="459" t="str">
        <f>'90146_2025'!L201</f>
        <v>29.987.662/0001-89
</v>
      </c>
      <c r="M757" s="459" t="str">
        <f>'90146_2025'!M201</f>
        <v>SOCIETE COMERCIO DE VEICULOS LTDA
</v>
      </c>
      <c r="N757" s="459" t="str">
        <f>'90146_2025'!N201</f>
        <v/>
      </c>
      <c r="O757" s="459" t="str">
        <f>'90146_2025'!O201</f>
        <v/>
      </c>
      <c r="P757" s="459" t="str">
        <f>'90146_2025'!P201</f>
        <v/>
      </c>
      <c r="Q757" s="63" t="str">
        <f>'90146_2025'!Q201</f>
        <v/>
      </c>
      <c r="R757" s="460"/>
    </row>
    <row r="758" hidden="1">
      <c r="A758" s="461" t="s">
        <v>1003</v>
      </c>
      <c r="B758" s="49">
        <v>25.0</v>
      </c>
      <c r="C758" s="49" t="s">
        <v>546</v>
      </c>
      <c r="D758" s="49" t="s">
        <v>327</v>
      </c>
      <c r="E758" s="55">
        <v>1.0</v>
      </c>
      <c r="F758" s="58">
        <v>0.0</v>
      </c>
      <c r="G758" s="67">
        <f>'90146_2025'!F202</f>
        <v>0</v>
      </c>
      <c r="H758" s="54">
        <f>'90146_2025'!H202</f>
        <v>74800</v>
      </c>
      <c r="I758" s="54">
        <f>'90146_2025'!I202</f>
        <v>74800</v>
      </c>
      <c r="J758" s="55" t="s">
        <v>58</v>
      </c>
      <c r="K758" s="462" t="str">
        <f>'90146_2025'!K202</f>
        <v>RENAULT KWID ZEN 
</v>
      </c>
      <c r="L758" s="462" t="str">
        <f>'90146_2025'!L202</f>
        <v>22.424.304/0001-19
</v>
      </c>
      <c r="M758" s="462" t="str">
        <f>'90146_2025'!M202</f>
        <v>NASA FRANCE VEICULOS LTDA
</v>
      </c>
      <c r="N758" s="462" t="str">
        <f>'90146_2025'!N202</f>
        <v/>
      </c>
      <c r="O758" s="462" t="str">
        <f>'90146_2025'!O202</f>
        <v/>
      </c>
      <c r="P758" s="462" t="str">
        <f>'90146_2025'!P202</f>
        <v/>
      </c>
      <c r="Q758" s="70" t="str">
        <f>'90146_2025'!Q202</f>
        <v/>
      </c>
      <c r="R758" s="463"/>
    </row>
    <row r="759" hidden="1">
      <c r="A759" s="326" t="s">
        <v>1003</v>
      </c>
      <c r="B759" s="33">
        <v>25.0</v>
      </c>
      <c r="C759" s="33" t="s">
        <v>546</v>
      </c>
      <c r="D759" s="33" t="s">
        <v>327</v>
      </c>
      <c r="E759" s="64">
        <v>1.0</v>
      </c>
      <c r="F759" s="43">
        <v>0.0</v>
      </c>
      <c r="G759" s="56">
        <f>'90146_2025'!F203</f>
        <v>1</v>
      </c>
      <c r="H759" s="40">
        <f>'90146_2025'!H203</f>
        <v>74800</v>
      </c>
      <c r="I759" s="40">
        <f>'90146_2025'!I203</f>
        <v>74800</v>
      </c>
      <c r="J759" s="64" t="s">
        <v>85</v>
      </c>
      <c r="K759" s="459" t="str">
        <f>'90146_2025'!K203</f>
        <v>RENAULT KWID ZEN 
</v>
      </c>
      <c r="L759" s="459" t="str">
        <f>'90146_2025'!L203</f>
        <v>22.424.304/0001-19
</v>
      </c>
      <c r="M759" s="459" t="str">
        <f>'90146_2025'!M203</f>
        <v>NASA FRANCE VEICULOS LTDA
</v>
      </c>
      <c r="N759" s="459" t="str">
        <f>'90146_2025'!N203</f>
        <v/>
      </c>
      <c r="O759" s="459" t="str">
        <f>'90146_2025'!O203</f>
        <v/>
      </c>
      <c r="P759" s="459" t="str">
        <f>'90146_2025'!P203</f>
        <v/>
      </c>
      <c r="Q759" s="63" t="str">
        <f>'90146_2025'!Q203</f>
        <v/>
      </c>
      <c r="R759" s="460"/>
    </row>
    <row r="760" hidden="1">
      <c r="A760" s="461" t="s">
        <v>1003</v>
      </c>
      <c r="B760" s="49">
        <v>25.0</v>
      </c>
      <c r="C760" s="49" t="s">
        <v>546</v>
      </c>
      <c r="D760" s="49" t="s">
        <v>327</v>
      </c>
      <c r="E760" s="55">
        <v>1.0</v>
      </c>
      <c r="F760" s="58">
        <v>0.0</v>
      </c>
      <c r="G760" s="67">
        <f>'90146_2025'!F204</f>
        <v>1</v>
      </c>
      <c r="H760" s="54">
        <f>'90146_2025'!H204</f>
        <v>74800</v>
      </c>
      <c r="I760" s="54">
        <f>'90146_2025'!I204</f>
        <v>74800</v>
      </c>
      <c r="J760" s="55" t="s">
        <v>103</v>
      </c>
      <c r="K760" s="462" t="str">
        <f>'90146_2025'!K204</f>
        <v>RENAULT KWID ZEN 
</v>
      </c>
      <c r="L760" s="462" t="str">
        <f>'90146_2025'!L204</f>
        <v>22.424.304/0001-19
</v>
      </c>
      <c r="M760" s="462" t="str">
        <f>'90146_2025'!M204</f>
        <v>NASA FRANCE VEICULOS LTDA
</v>
      </c>
      <c r="N760" s="462" t="str">
        <f>'90146_2025'!N204</f>
        <v/>
      </c>
      <c r="O760" s="462" t="str">
        <f>'90146_2025'!O204</f>
        <v/>
      </c>
      <c r="P760" s="462" t="str">
        <f>'90146_2025'!P204</f>
        <v/>
      </c>
      <c r="Q760" s="70" t="str">
        <f>'90146_2025'!Q204</f>
        <v/>
      </c>
      <c r="R760" s="463"/>
    </row>
    <row r="761" hidden="1">
      <c r="A761" s="326" t="s">
        <v>1003</v>
      </c>
      <c r="B761" s="33">
        <v>25.0</v>
      </c>
      <c r="C761" s="33" t="s">
        <v>546</v>
      </c>
      <c r="D761" s="33" t="s">
        <v>327</v>
      </c>
      <c r="E761" s="64">
        <v>1.0</v>
      </c>
      <c r="F761" s="43">
        <v>0.0</v>
      </c>
      <c r="G761" s="56">
        <f>'90146_2025'!F205</f>
        <v>1</v>
      </c>
      <c r="H761" s="40">
        <f>'90146_2025'!H205</f>
        <v>74800</v>
      </c>
      <c r="I761" s="40">
        <f>'90146_2025'!I205</f>
        <v>74800</v>
      </c>
      <c r="J761" s="64" t="s">
        <v>113</v>
      </c>
      <c r="K761" s="459" t="str">
        <f>'90146_2025'!K205</f>
        <v>RENAULT KWID ZEN 
</v>
      </c>
      <c r="L761" s="459" t="str">
        <f>'90146_2025'!L205</f>
        <v>22.424.304/0001-19
</v>
      </c>
      <c r="M761" s="459" t="str">
        <f>'90146_2025'!M205</f>
        <v>NASA FRANCE VEICULOS LTDA
</v>
      </c>
      <c r="N761" s="459" t="str">
        <f>'90146_2025'!N205</f>
        <v/>
      </c>
      <c r="O761" s="459" t="str">
        <f>'90146_2025'!O205</f>
        <v/>
      </c>
      <c r="P761" s="459" t="str">
        <f>'90146_2025'!P205</f>
        <v/>
      </c>
      <c r="Q761" s="63" t="str">
        <f>'90146_2025'!Q205</f>
        <v/>
      </c>
      <c r="R761" s="460"/>
    </row>
    <row r="762" hidden="1">
      <c r="A762" s="461" t="s">
        <v>1003</v>
      </c>
      <c r="B762" s="49">
        <v>25.0</v>
      </c>
      <c r="C762" s="49" t="s">
        <v>546</v>
      </c>
      <c r="D762" s="49" t="s">
        <v>327</v>
      </c>
      <c r="E762" s="55">
        <v>1.0</v>
      </c>
      <c r="F762" s="58">
        <v>0.0</v>
      </c>
      <c r="G762" s="67">
        <f>'90146_2025'!F206</f>
        <v>1</v>
      </c>
      <c r="H762" s="54">
        <f>'90146_2025'!H206</f>
        <v>74800</v>
      </c>
      <c r="I762" s="54">
        <f>'90146_2025'!I206</f>
        <v>74800</v>
      </c>
      <c r="J762" s="55" t="s">
        <v>286</v>
      </c>
      <c r="K762" s="462" t="str">
        <f>'90146_2025'!K206</f>
        <v>RENAULT KWID ZEN 
</v>
      </c>
      <c r="L762" s="462" t="str">
        <f>'90146_2025'!L206</f>
        <v>22.424.304/0001-19
</v>
      </c>
      <c r="M762" s="462" t="str">
        <f>'90146_2025'!M206</f>
        <v>NASA FRANCE VEICULOS LTDA
</v>
      </c>
      <c r="N762" s="462" t="str">
        <f>'90146_2025'!N206</f>
        <v/>
      </c>
      <c r="O762" s="462" t="str">
        <f>'90146_2025'!O206</f>
        <v/>
      </c>
      <c r="P762" s="462" t="str">
        <f>'90146_2025'!P206</f>
        <v/>
      </c>
      <c r="Q762" s="70" t="str">
        <f>'90146_2025'!Q206</f>
        <v/>
      </c>
      <c r="R762" s="463"/>
    </row>
    <row r="763" hidden="1">
      <c r="A763" s="326" t="s">
        <v>1003</v>
      </c>
      <c r="B763" s="33">
        <v>25.0</v>
      </c>
      <c r="C763" s="33" t="s">
        <v>546</v>
      </c>
      <c r="D763" s="33" t="s">
        <v>327</v>
      </c>
      <c r="E763" s="64">
        <v>1.0</v>
      </c>
      <c r="F763" s="43">
        <v>0.0</v>
      </c>
      <c r="G763" s="56">
        <f>'90146_2025'!F207</f>
        <v>1</v>
      </c>
      <c r="H763" s="40">
        <f>'90146_2025'!H207</f>
        <v>74800</v>
      </c>
      <c r="I763" s="40">
        <f>'90146_2025'!I207</f>
        <v>74800</v>
      </c>
      <c r="J763" s="64" t="s">
        <v>89</v>
      </c>
      <c r="K763" s="459" t="str">
        <f>'90146_2025'!K207</f>
        <v>RENAULT KWID ZEN 
</v>
      </c>
      <c r="L763" s="459" t="str">
        <f>'90146_2025'!L207</f>
        <v>22.424.304/0001-19
</v>
      </c>
      <c r="M763" s="459" t="str">
        <f>'90146_2025'!M207</f>
        <v>NASA FRANCE VEICULOS LTDA
</v>
      </c>
      <c r="N763" s="459" t="str">
        <f>'90146_2025'!N207</f>
        <v/>
      </c>
      <c r="O763" s="459" t="str">
        <f>'90146_2025'!O207</f>
        <v/>
      </c>
      <c r="P763" s="459" t="str">
        <f>'90146_2025'!P207</f>
        <v/>
      </c>
      <c r="Q763" s="63" t="str">
        <f>'90146_2025'!Q207</f>
        <v/>
      </c>
      <c r="R763" s="460"/>
    </row>
    <row r="764" hidden="1">
      <c r="A764" s="461" t="s">
        <v>1003</v>
      </c>
      <c r="B764" s="49">
        <v>25.0</v>
      </c>
      <c r="C764" s="49" t="s">
        <v>546</v>
      </c>
      <c r="D764" s="49" t="s">
        <v>327</v>
      </c>
      <c r="E764" s="55">
        <v>1.0</v>
      </c>
      <c r="F764" s="58">
        <v>0.0</v>
      </c>
      <c r="G764" s="67">
        <f>'90146_2025'!F208</f>
        <v>1</v>
      </c>
      <c r="H764" s="54">
        <f>'90146_2025'!H208</f>
        <v>74800</v>
      </c>
      <c r="I764" s="54">
        <f>'90146_2025'!I208</f>
        <v>74800</v>
      </c>
      <c r="J764" s="55" t="s">
        <v>228</v>
      </c>
      <c r="K764" s="462" t="str">
        <f>'90146_2025'!K208</f>
        <v>RENAULT KWID ZEN 
</v>
      </c>
      <c r="L764" s="462" t="str">
        <f>'90146_2025'!L208</f>
        <v>22.424.304/0001-19
</v>
      </c>
      <c r="M764" s="462" t="str">
        <f>'90146_2025'!M208</f>
        <v>NASA FRANCE VEICULOS LTDA
</v>
      </c>
      <c r="N764" s="462" t="str">
        <f>'90146_2025'!N208</f>
        <v/>
      </c>
      <c r="O764" s="462" t="str">
        <f>'90146_2025'!O208</f>
        <v/>
      </c>
      <c r="P764" s="462" t="str">
        <f>'90146_2025'!P208</f>
        <v/>
      </c>
      <c r="Q764" s="70" t="str">
        <f>'90146_2025'!Q208</f>
        <v/>
      </c>
      <c r="R764" s="463"/>
    </row>
    <row r="765" hidden="1">
      <c r="A765" s="326" t="s">
        <v>1003</v>
      </c>
      <c r="B765" s="33">
        <v>25.0</v>
      </c>
      <c r="C765" s="33" t="s">
        <v>546</v>
      </c>
      <c r="D765" s="33" t="s">
        <v>327</v>
      </c>
      <c r="E765" s="64">
        <v>1.0</v>
      </c>
      <c r="F765" s="43">
        <v>0.0</v>
      </c>
      <c r="G765" s="56">
        <f>'90146_2025'!F209</f>
        <v>1</v>
      </c>
      <c r="H765" s="40">
        <f>'90146_2025'!H209</f>
        <v>74800</v>
      </c>
      <c r="I765" s="40">
        <f>'90146_2025'!I209</f>
        <v>74800</v>
      </c>
      <c r="J765" s="64" t="s">
        <v>154</v>
      </c>
      <c r="K765" s="459" t="str">
        <f>'90146_2025'!K209</f>
        <v>RENAULT KWID ZEN 
</v>
      </c>
      <c r="L765" s="459" t="str">
        <f>'90146_2025'!L209</f>
        <v>22.424.304/0001-19
</v>
      </c>
      <c r="M765" s="459" t="str">
        <f>'90146_2025'!M209</f>
        <v>NASA FRANCE VEICULOS LTDA
</v>
      </c>
      <c r="N765" s="459" t="str">
        <f>'90146_2025'!N209</f>
        <v/>
      </c>
      <c r="O765" s="459" t="str">
        <f>'90146_2025'!O209</f>
        <v/>
      </c>
      <c r="P765" s="459" t="str">
        <f>'90146_2025'!P209</f>
        <v/>
      </c>
      <c r="Q765" s="63" t="str">
        <f>'90146_2025'!Q209</f>
        <v/>
      </c>
      <c r="R765" s="460"/>
    </row>
    <row r="766" hidden="1">
      <c r="A766" s="461" t="s">
        <v>1003</v>
      </c>
      <c r="B766" s="49">
        <v>25.0</v>
      </c>
      <c r="C766" s="49" t="s">
        <v>546</v>
      </c>
      <c r="D766" s="49" t="s">
        <v>327</v>
      </c>
      <c r="E766" s="55">
        <v>1.0</v>
      </c>
      <c r="F766" s="58">
        <v>0.0</v>
      </c>
      <c r="G766" s="67">
        <f>'90146_2025'!F210</f>
        <v>1</v>
      </c>
      <c r="H766" s="54">
        <f>'90146_2025'!H210</f>
        <v>74800</v>
      </c>
      <c r="I766" s="54">
        <f>'90146_2025'!I210</f>
        <v>74800</v>
      </c>
      <c r="J766" s="55" t="s">
        <v>454</v>
      </c>
      <c r="K766" s="462" t="str">
        <f>'90146_2025'!K210</f>
        <v>RENAULT KWID ZEN 
</v>
      </c>
      <c r="L766" s="462" t="str">
        <f>'90146_2025'!L210</f>
        <v>22.424.304/0001-19
</v>
      </c>
      <c r="M766" s="462" t="str">
        <f>'90146_2025'!M210</f>
        <v>NASA FRANCE VEICULOS LTDA
</v>
      </c>
      <c r="N766" s="462" t="str">
        <f>'90146_2025'!N210</f>
        <v/>
      </c>
      <c r="O766" s="462" t="str">
        <f>'90146_2025'!O210</f>
        <v/>
      </c>
      <c r="P766" s="462" t="str">
        <f>'90146_2025'!P210</f>
        <v/>
      </c>
      <c r="Q766" s="70" t="str">
        <f>'90146_2025'!Q210</f>
        <v/>
      </c>
      <c r="R766" s="463"/>
    </row>
    <row r="767" hidden="1">
      <c r="A767" s="326" t="s">
        <v>1003</v>
      </c>
      <c r="B767" s="33">
        <v>25.0</v>
      </c>
      <c r="C767" s="33" t="s">
        <v>546</v>
      </c>
      <c r="D767" s="33" t="s">
        <v>327</v>
      </c>
      <c r="E767" s="64">
        <v>1.0</v>
      </c>
      <c r="F767" s="43">
        <v>0.0</v>
      </c>
      <c r="G767" s="56">
        <f>'90146_2025'!F211</f>
        <v>1</v>
      </c>
      <c r="H767" s="40">
        <f>'90146_2025'!H211</f>
        <v>74800</v>
      </c>
      <c r="I767" s="40">
        <f>'90146_2025'!I211</f>
        <v>74800</v>
      </c>
      <c r="J767" s="64" t="s">
        <v>197</v>
      </c>
      <c r="K767" s="459" t="str">
        <f>'90146_2025'!K211</f>
        <v>RENAULT KWID ZEN 
</v>
      </c>
      <c r="L767" s="459" t="str">
        <f>'90146_2025'!L211</f>
        <v>22.424.304/0001-19
</v>
      </c>
      <c r="M767" s="459" t="str">
        <f>'90146_2025'!M211</f>
        <v>NASA FRANCE VEICULOS LTDA
</v>
      </c>
      <c r="N767" s="459" t="str">
        <f>'90146_2025'!N211</f>
        <v/>
      </c>
      <c r="O767" s="459" t="str">
        <f>'90146_2025'!O211</f>
        <v/>
      </c>
      <c r="P767" s="459" t="str">
        <f>'90146_2025'!P211</f>
        <v/>
      </c>
      <c r="Q767" s="63" t="str">
        <f>'90146_2025'!Q211</f>
        <v/>
      </c>
      <c r="R767" s="460"/>
    </row>
    <row r="768" hidden="1">
      <c r="A768" s="461" t="s">
        <v>1003</v>
      </c>
      <c r="B768" s="49">
        <v>25.0</v>
      </c>
      <c r="C768" s="49" t="s">
        <v>546</v>
      </c>
      <c r="D768" s="49" t="s">
        <v>327</v>
      </c>
      <c r="E768" s="55">
        <v>1.0</v>
      </c>
      <c r="F768" s="58">
        <v>0.0</v>
      </c>
      <c r="G768" s="67">
        <f>'90146_2025'!F212</f>
        <v>1</v>
      </c>
      <c r="H768" s="54">
        <f>'90146_2025'!H212</f>
        <v>74800</v>
      </c>
      <c r="I768" s="54">
        <f>'90146_2025'!I212</f>
        <v>74800</v>
      </c>
      <c r="J768" s="55" t="s">
        <v>160</v>
      </c>
      <c r="K768" s="462" t="str">
        <f>'90146_2025'!K212</f>
        <v>RENAULT KWID ZEN 
</v>
      </c>
      <c r="L768" s="462" t="str">
        <f>'90146_2025'!L212</f>
        <v>22.424.304/0001-19
</v>
      </c>
      <c r="M768" s="462" t="str">
        <f>'90146_2025'!M212</f>
        <v>NASA FRANCE VEICULOS LTDA
</v>
      </c>
      <c r="N768" s="462" t="str">
        <f>'90146_2025'!N212</f>
        <v/>
      </c>
      <c r="O768" s="462" t="str">
        <f>'90146_2025'!O212</f>
        <v/>
      </c>
      <c r="P768" s="462" t="str">
        <f>'90146_2025'!P212</f>
        <v/>
      </c>
      <c r="Q768" s="70" t="str">
        <f>'90146_2025'!Q212</f>
        <v/>
      </c>
      <c r="R768" s="463"/>
    </row>
    <row r="769" hidden="1">
      <c r="A769" s="326" t="s">
        <v>1003</v>
      </c>
      <c r="B769" s="33">
        <v>25.0</v>
      </c>
      <c r="C769" s="33" t="s">
        <v>546</v>
      </c>
      <c r="D769" s="33" t="s">
        <v>327</v>
      </c>
      <c r="E769" s="64">
        <v>1.0</v>
      </c>
      <c r="F769" s="43">
        <v>0.0</v>
      </c>
      <c r="G769" s="56">
        <f>'90146_2025'!F213</f>
        <v>1</v>
      </c>
      <c r="H769" s="40">
        <f>'90146_2025'!H213</f>
        <v>74800</v>
      </c>
      <c r="I769" s="40">
        <f>'90146_2025'!I213</f>
        <v>74800</v>
      </c>
      <c r="J769" s="64" t="s">
        <v>196</v>
      </c>
      <c r="K769" s="459" t="str">
        <f>'90146_2025'!K213</f>
        <v>RENAULT KWID ZEN 
</v>
      </c>
      <c r="L769" s="459" t="str">
        <f>'90146_2025'!L213</f>
        <v>22.424.304/0001-19
</v>
      </c>
      <c r="M769" s="459" t="str">
        <f>'90146_2025'!M213</f>
        <v>NASA FRANCE VEICULOS LTDA
</v>
      </c>
      <c r="N769" s="459" t="str">
        <f>'90146_2025'!N213</f>
        <v/>
      </c>
      <c r="O769" s="459" t="str">
        <f>'90146_2025'!O213</f>
        <v/>
      </c>
      <c r="P769" s="459" t="str">
        <f>'90146_2025'!P213</f>
        <v/>
      </c>
      <c r="Q769" s="63" t="str">
        <f>'90146_2025'!Q213</f>
        <v/>
      </c>
      <c r="R769" s="460"/>
    </row>
    <row r="770" hidden="1">
      <c r="A770" s="461" t="s">
        <v>1003</v>
      </c>
      <c r="B770" s="49">
        <v>25.0</v>
      </c>
      <c r="C770" s="49" t="s">
        <v>546</v>
      </c>
      <c r="D770" s="49" t="s">
        <v>327</v>
      </c>
      <c r="E770" s="55">
        <v>1.0</v>
      </c>
      <c r="F770" s="58">
        <v>0.0</v>
      </c>
      <c r="G770" s="67">
        <f>'90146_2025'!F214</f>
        <v>1</v>
      </c>
      <c r="H770" s="54">
        <f>'90146_2025'!H214</f>
        <v>74800</v>
      </c>
      <c r="I770" s="54">
        <f>'90146_2025'!I214</f>
        <v>74800</v>
      </c>
      <c r="J770" s="55" t="s">
        <v>201</v>
      </c>
      <c r="K770" s="462" t="str">
        <f>'90146_2025'!K214</f>
        <v>RENAULT KWID ZEN 
</v>
      </c>
      <c r="L770" s="462" t="str">
        <f>'90146_2025'!L214</f>
        <v>22.424.304/0001-19
</v>
      </c>
      <c r="M770" s="462" t="str">
        <f>'90146_2025'!M214</f>
        <v>NASA FRANCE VEICULOS LTDA
</v>
      </c>
      <c r="N770" s="462" t="str">
        <f>'90146_2025'!N214</f>
        <v/>
      </c>
      <c r="O770" s="462" t="str">
        <f>'90146_2025'!O214</f>
        <v/>
      </c>
      <c r="P770" s="462" t="str">
        <f>'90146_2025'!P214</f>
        <v/>
      </c>
      <c r="Q770" s="70" t="str">
        <f>'90146_2025'!Q214</f>
        <v/>
      </c>
      <c r="R770" s="463"/>
    </row>
    <row r="771" hidden="1">
      <c r="A771" s="326" t="s">
        <v>1003</v>
      </c>
      <c r="B771" s="33">
        <v>25.0</v>
      </c>
      <c r="C771" s="33" t="s">
        <v>546</v>
      </c>
      <c r="D771" s="33" t="s">
        <v>327</v>
      </c>
      <c r="E771" s="64">
        <v>1.0</v>
      </c>
      <c r="F771" s="43">
        <v>0.0</v>
      </c>
      <c r="G771" s="56">
        <f>'90146_2025'!F215</f>
        <v>1</v>
      </c>
      <c r="H771" s="40">
        <f>'90146_2025'!H215</f>
        <v>74800</v>
      </c>
      <c r="I771" s="40">
        <f>'90146_2025'!I215</f>
        <v>74800</v>
      </c>
      <c r="J771" s="64" t="s">
        <v>178</v>
      </c>
      <c r="K771" s="459" t="str">
        <f>'90146_2025'!K215</f>
        <v>RENAULT KWID ZEN 
</v>
      </c>
      <c r="L771" s="459" t="str">
        <f>'90146_2025'!L215</f>
        <v>22.424.304/0001-19
</v>
      </c>
      <c r="M771" s="459" t="str">
        <f>'90146_2025'!M215</f>
        <v>NASA FRANCE VEICULOS LTDA
</v>
      </c>
      <c r="N771" s="459" t="str">
        <f>'90146_2025'!N215</f>
        <v/>
      </c>
      <c r="O771" s="459" t="str">
        <f>'90146_2025'!O215</f>
        <v/>
      </c>
      <c r="P771" s="459" t="str">
        <f>'90146_2025'!P215</f>
        <v/>
      </c>
      <c r="Q771" s="63" t="str">
        <f>'90146_2025'!Q215</f>
        <v/>
      </c>
      <c r="R771" s="460"/>
    </row>
    <row r="772" hidden="1">
      <c r="A772" s="461" t="s">
        <v>1003</v>
      </c>
      <c r="B772" s="49">
        <v>25.0</v>
      </c>
      <c r="C772" s="49" t="s">
        <v>546</v>
      </c>
      <c r="D772" s="49" t="s">
        <v>327</v>
      </c>
      <c r="E772" s="55">
        <v>1.0</v>
      </c>
      <c r="F772" s="58">
        <v>0.0</v>
      </c>
      <c r="G772" s="67">
        <f>'90146_2025'!F216</f>
        <v>1</v>
      </c>
      <c r="H772" s="54">
        <f>'90146_2025'!H216</f>
        <v>74800</v>
      </c>
      <c r="I772" s="54">
        <f>'90146_2025'!I216</f>
        <v>74800</v>
      </c>
      <c r="J772" s="55" t="s">
        <v>189</v>
      </c>
      <c r="K772" s="462" t="str">
        <f>'90146_2025'!K216</f>
        <v>RENAULT KWID ZEN 
</v>
      </c>
      <c r="L772" s="462" t="str">
        <f>'90146_2025'!L216</f>
        <v>22.424.304/0001-19
</v>
      </c>
      <c r="M772" s="462" t="str">
        <f>'90146_2025'!M216</f>
        <v>NASA FRANCE VEICULOS LTDA
</v>
      </c>
      <c r="N772" s="462" t="str">
        <f>'90146_2025'!N216</f>
        <v/>
      </c>
      <c r="O772" s="462" t="str">
        <f>'90146_2025'!O216</f>
        <v/>
      </c>
      <c r="P772" s="462" t="str">
        <f>'90146_2025'!P216</f>
        <v/>
      </c>
      <c r="Q772" s="70" t="str">
        <f>'90146_2025'!Q216</f>
        <v/>
      </c>
      <c r="R772" s="463"/>
    </row>
    <row r="773" hidden="1">
      <c r="A773" s="326" t="s">
        <v>1003</v>
      </c>
      <c r="B773" s="33">
        <v>25.0</v>
      </c>
      <c r="C773" s="33" t="s">
        <v>546</v>
      </c>
      <c r="D773" s="33" t="s">
        <v>327</v>
      </c>
      <c r="E773" s="64">
        <v>1.0</v>
      </c>
      <c r="F773" s="43">
        <v>0.0</v>
      </c>
      <c r="G773" s="56">
        <f>'90146_2025'!F217</f>
        <v>1</v>
      </c>
      <c r="H773" s="40">
        <f>'90146_2025'!H217</f>
        <v>74800</v>
      </c>
      <c r="I773" s="40">
        <f>'90146_2025'!I217</f>
        <v>74800</v>
      </c>
      <c r="J773" s="64" t="s">
        <v>192</v>
      </c>
      <c r="K773" s="459" t="str">
        <f>'90146_2025'!K217</f>
        <v>RENAULT KWID ZEN 
</v>
      </c>
      <c r="L773" s="459" t="str">
        <f>'90146_2025'!L217</f>
        <v>22.424.304/0001-19
</v>
      </c>
      <c r="M773" s="459" t="str">
        <f>'90146_2025'!M217</f>
        <v>NASA FRANCE VEICULOS LTDA
</v>
      </c>
      <c r="N773" s="459" t="str">
        <f>'90146_2025'!N217</f>
        <v/>
      </c>
      <c r="O773" s="459" t="str">
        <f>'90146_2025'!O217</f>
        <v/>
      </c>
      <c r="P773" s="459" t="str">
        <f>'90146_2025'!P217</f>
        <v/>
      </c>
      <c r="Q773" s="63" t="str">
        <f>'90146_2025'!Q217</f>
        <v/>
      </c>
      <c r="R773" s="460"/>
    </row>
    <row r="774" hidden="1">
      <c r="A774" s="461" t="s">
        <v>1003</v>
      </c>
      <c r="B774" s="49">
        <v>25.0</v>
      </c>
      <c r="C774" s="49" t="s">
        <v>546</v>
      </c>
      <c r="D774" s="49" t="s">
        <v>327</v>
      </c>
      <c r="E774" s="55">
        <v>1.0</v>
      </c>
      <c r="F774" s="58">
        <v>0.0</v>
      </c>
      <c r="G774" s="67">
        <f>'90146_2025'!F218</f>
        <v>0</v>
      </c>
      <c r="H774" s="54">
        <f>'90146_2025'!H218</f>
        <v>74800</v>
      </c>
      <c r="I774" s="54">
        <f>'90146_2025'!I218</f>
        <v>74800</v>
      </c>
      <c r="J774" s="55" t="s">
        <v>194</v>
      </c>
      <c r="K774" s="462" t="str">
        <f>'90146_2025'!K218</f>
        <v>RENAULT KWID ZEN 
</v>
      </c>
      <c r="L774" s="462" t="str">
        <f>'90146_2025'!L218</f>
        <v>22.424.304/0001-19
</v>
      </c>
      <c r="M774" s="462" t="str">
        <f>'90146_2025'!M218</f>
        <v>NASA FRANCE VEICULOS LTDA
</v>
      </c>
      <c r="N774" s="462" t="str">
        <f>'90146_2025'!N218</f>
        <v/>
      </c>
      <c r="O774" s="462" t="str">
        <f>'90146_2025'!O218</f>
        <v/>
      </c>
      <c r="P774" s="462" t="str">
        <f>'90146_2025'!P218</f>
        <v/>
      </c>
      <c r="Q774" s="70" t="str">
        <f>'90146_2025'!Q218</f>
        <v/>
      </c>
      <c r="R774" s="463"/>
    </row>
    <row r="775" hidden="1">
      <c r="A775" s="326" t="s">
        <v>1003</v>
      </c>
      <c r="B775" s="33">
        <v>25.0</v>
      </c>
      <c r="C775" s="33" t="s">
        <v>546</v>
      </c>
      <c r="D775" s="33" t="s">
        <v>327</v>
      </c>
      <c r="E775" s="64">
        <v>1.0</v>
      </c>
      <c r="F775" s="43">
        <v>0.0</v>
      </c>
      <c r="G775" s="56">
        <f>'90146_2025'!F219</f>
        <v>1</v>
      </c>
      <c r="H775" s="40">
        <f>'90146_2025'!H219</f>
        <v>74800</v>
      </c>
      <c r="I775" s="40">
        <f>'90146_2025'!I219</f>
        <v>74800</v>
      </c>
      <c r="J775" s="64" t="s">
        <v>199</v>
      </c>
      <c r="K775" s="459" t="str">
        <f>'90146_2025'!K219</f>
        <v>RENAULT KWID ZEN 
</v>
      </c>
      <c r="L775" s="459" t="str">
        <f>'90146_2025'!L219</f>
        <v>22.424.304/0001-19
</v>
      </c>
      <c r="M775" s="459" t="str">
        <f>'90146_2025'!M219</f>
        <v>NASA FRANCE VEICULOS LTDA
</v>
      </c>
      <c r="N775" s="459" t="str">
        <f>'90146_2025'!N219</f>
        <v/>
      </c>
      <c r="O775" s="459" t="str">
        <f>'90146_2025'!O219</f>
        <v/>
      </c>
      <c r="P775" s="459" t="str">
        <f>'90146_2025'!P219</f>
        <v/>
      </c>
      <c r="Q775" s="63" t="str">
        <f>'90146_2025'!Q219</f>
        <v/>
      </c>
      <c r="R775" s="460"/>
    </row>
    <row r="776" hidden="1">
      <c r="A776" s="461" t="s">
        <v>1003</v>
      </c>
      <c r="B776" s="49">
        <v>25.0</v>
      </c>
      <c r="C776" s="49" t="s">
        <v>546</v>
      </c>
      <c r="D776" s="49" t="s">
        <v>327</v>
      </c>
      <c r="E776" s="55">
        <v>1.0</v>
      </c>
      <c r="F776" s="58">
        <v>0.0</v>
      </c>
      <c r="G776" s="67">
        <f>'90146_2025'!F220</f>
        <v>1</v>
      </c>
      <c r="H776" s="54">
        <f>'90146_2025'!H220</f>
        <v>74800</v>
      </c>
      <c r="I776" s="54">
        <f>'90146_2025'!I220</f>
        <v>74800</v>
      </c>
      <c r="J776" s="55" t="s">
        <v>210</v>
      </c>
      <c r="K776" s="462" t="str">
        <f>'90146_2025'!K220</f>
        <v>RENAULT KWID ZEN 
</v>
      </c>
      <c r="L776" s="462" t="str">
        <f>'90146_2025'!L220</f>
        <v>22.424.304/0001-19
</v>
      </c>
      <c r="M776" s="462" t="str">
        <f>'90146_2025'!M220</f>
        <v>NASA FRANCE VEICULOS LTDA
</v>
      </c>
      <c r="N776" s="462" t="str">
        <f>'90146_2025'!N220</f>
        <v/>
      </c>
      <c r="O776" s="462" t="str">
        <f>'90146_2025'!O220</f>
        <v/>
      </c>
      <c r="P776" s="462" t="str">
        <f>'90146_2025'!P220</f>
        <v/>
      </c>
      <c r="Q776" s="70" t="str">
        <f>'90146_2025'!Q220</f>
        <v/>
      </c>
      <c r="R776" s="463"/>
    </row>
    <row r="777" hidden="1">
      <c r="A777" s="326" t="s">
        <v>1003</v>
      </c>
      <c r="B777" s="33">
        <v>25.0</v>
      </c>
      <c r="C777" s="33" t="s">
        <v>546</v>
      </c>
      <c r="D777" s="33" t="s">
        <v>327</v>
      </c>
      <c r="E777" s="64">
        <v>1.0</v>
      </c>
      <c r="F777" s="43">
        <v>0.0</v>
      </c>
      <c r="G777" s="56">
        <f>'90146_2025'!F221</f>
        <v>1</v>
      </c>
      <c r="H777" s="40">
        <f>'90146_2025'!H221</f>
        <v>74800</v>
      </c>
      <c r="I777" s="40">
        <f>'90146_2025'!I221</f>
        <v>74800</v>
      </c>
      <c r="J777" s="64" t="s">
        <v>214</v>
      </c>
      <c r="K777" s="459" t="str">
        <f>'90146_2025'!K221</f>
        <v>RENAULT KWID ZEN 
</v>
      </c>
      <c r="L777" s="459" t="str">
        <f>'90146_2025'!L221</f>
        <v>22.424.304/0001-19
</v>
      </c>
      <c r="M777" s="459" t="str">
        <f>'90146_2025'!M221</f>
        <v>NASA FRANCE VEICULOS LTDA
</v>
      </c>
      <c r="N777" s="459" t="str">
        <f>'90146_2025'!N221</f>
        <v/>
      </c>
      <c r="O777" s="459" t="str">
        <f>'90146_2025'!O221</f>
        <v/>
      </c>
      <c r="P777" s="459" t="str">
        <f>'90146_2025'!P221</f>
        <v/>
      </c>
      <c r="Q777" s="63" t="str">
        <f>'90146_2025'!Q221</f>
        <v/>
      </c>
      <c r="R777" s="460"/>
    </row>
    <row r="778" hidden="1">
      <c r="A778" s="461" t="s">
        <v>1003</v>
      </c>
      <c r="B778" s="184">
        <v>26.0</v>
      </c>
      <c r="C778" s="184" t="s">
        <v>591</v>
      </c>
      <c r="D778" s="185" t="s">
        <v>592</v>
      </c>
      <c r="E778" s="55">
        <v>1.0</v>
      </c>
      <c r="F778" s="58">
        <v>0.0</v>
      </c>
      <c r="G778" s="67">
        <f>'90146_2025'!F222</f>
        <v>0</v>
      </c>
      <c r="H778" s="54">
        <f>'90146_2025'!H222</f>
        <v>150818</v>
      </c>
      <c r="I778" s="54">
        <f>'90146_2025'!I222</f>
        <v>150818</v>
      </c>
      <c r="J778" s="55" t="s">
        <v>58</v>
      </c>
      <c r="K778" s="462" t="str">
        <f>'90146_2025'!K222</f>
        <v>C3 AIR CROSS</v>
      </c>
      <c r="L778" s="462" t="str">
        <f>'90146_2025'!L222</f>
        <v>29.127.216/0001-02
</v>
      </c>
      <c r="M778" s="462" t="str">
        <f>'90146_2025'!M222</f>
        <v>AF EMPREENDIMENTOS LTDA
</v>
      </c>
      <c r="N778" s="462" t="str">
        <f>'90146_2025'!N222</f>
        <v/>
      </c>
      <c r="O778" s="462" t="str">
        <f>'90146_2025'!O222</f>
        <v/>
      </c>
      <c r="P778" s="462" t="str">
        <f>'90146_2025'!P222</f>
        <v/>
      </c>
      <c r="Q778" s="70" t="str">
        <f>'90146_2025'!Q222</f>
        <v/>
      </c>
      <c r="R778" s="463"/>
    </row>
    <row r="779" hidden="1">
      <c r="A779" s="326" t="s">
        <v>1003</v>
      </c>
      <c r="B779" s="189">
        <v>26.0</v>
      </c>
      <c r="C779" s="189" t="s">
        <v>591</v>
      </c>
      <c r="D779" s="233" t="s">
        <v>592</v>
      </c>
      <c r="E779" s="64">
        <v>1.0</v>
      </c>
      <c r="F779" s="43">
        <v>0.0</v>
      </c>
      <c r="G779" s="56">
        <f>'90146_2025'!F223</f>
        <v>0</v>
      </c>
      <c r="H779" s="40">
        <f>'90146_2025'!H223</f>
        <v>150818</v>
      </c>
      <c r="I779" s="40">
        <f>'90146_2025'!I223</f>
        <v>150818</v>
      </c>
      <c r="J779" s="64" t="s">
        <v>85</v>
      </c>
      <c r="K779" s="459" t="str">
        <f>'90146_2025'!K223</f>
        <v>C3 AIR CROSS</v>
      </c>
      <c r="L779" s="459" t="str">
        <f>'90146_2025'!L223</f>
        <v>29.127.216/0001-02
</v>
      </c>
      <c r="M779" s="459" t="str">
        <f>'90146_2025'!M223</f>
        <v>AF EMPREENDIMENTOS LTDA
</v>
      </c>
      <c r="N779" s="459" t="str">
        <f>'90146_2025'!N223</f>
        <v/>
      </c>
      <c r="O779" s="459" t="str">
        <f>'90146_2025'!O223</f>
        <v/>
      </c>
      <c r="P779" s="459" t="str">
        <f>'90146_2025'!P223</f>
        <v/>
      </c>
      <c r="Q779" s="63" t="str">
        <f>'90146_2025'!Q223</f>
        <v/>
      </c>
      <c r="R779" s="460"/>
    </row>
    <row r="780" hidden="1">
      <c r="A780" s="461" t="s">
        <v>1003</v>
      </c>
      <c r="B780" s="184">
        <v>26.0</v>
      </c>
      <c r="C780" s="184" t="s">
        <v>591</v>
      </c>
      <c r="D780" s="185" t="s">
        <v>592</v>
      </c>
      <c r="E780" s="55">
        <v>1.0</v>
      </c>
      <c r="F780" s="58">
        <v>0.0</v>
      </c>
      <c r="G780" s="67">
        <f>'90146_2025'!F224</f>
        <v>0</v>
      </c>
      <c r="H780" s="54">
        <f>'90146_2025'!H224</f>
        <v>150818</v>
      </c>
      <c r="I780" s="54">
        <f>'90146_2025'!I224</f>
        <v>150818</v>
      </c>
      <c r="J780" s="55" t="s">
        <v>175</v>
      </c>
      <c r="K780" s="462" t="str">
        <f>'90146_2025'!K224</f>
        <v>C3 AIR CROSS</v>
      </c>
      <c r="L780" s="462" t="str">
        <f>'90146_2025'!L224</f>
        <v>29.127.216/0001-02
</v>
      </c>
      <c r="M780" s="462" t="str">
        <f>'90146_2025'!M224</f>
        <v>AF EMPREENDIMENTOS LTDA
</v>
      </c>
      <c r="N780" s="462" t="str">
        <f>'90146_2025'!N224</f>
        <v/>
      </c>
      <c r="O780" s="462" t="str">
        <f>'90146_2025'!O224</f>
        <v/>
      </c>
      <c r="P780" s="462" t="str">
        <f>'90146_2025'!P224</f>
        <v/>
      </c>
      <c r="Q780" s="70" t="str">
        <f>'90146_2025'!Q224</f>
        <v/>
      </c>
      <c r="R780" s="463"/>
    </row>
    <row r="781" hidden="1">
      <c r="A781" s="326" t="s">
        <v>1003</v>
      </c>
      <c r="B781" s="189">
        <v>26.0</v>
      </c>
      <c r="C781" s="189" t="s">
        <v>591</v>
      </c>
      <c r="D781" s="233" t="s">
        <v>592</v>
      </c>
      <c r="E781" s="64">
        <v>1.0</v>
      </c>
      <c r="F781" s="43">
        <v>0.0</v>
      </c>
      <c r="G781" s="56">
        <f>'90146_2025'!F225</f>
        <v>0</v>
      </c>
      <c r="H781" s="40">
        <f>'90146_2025'!H225</f>
        <v>150818</v>
      </c>
      <c r="I781" s="40">
        <f>'90146_2025'!I225</f>
        <v>150818</v>
      </c>
      <c r="J781" s="64" t="s">
        <v>189</v>
      </c>
      <c r="K781" s="459" t="str">
        <f>'90146_2025'!K225</f>
        <v>C3 AIR CROSS</v>
      </c>
      <c r="L781" s="459" t="str">
        <f>'90146_2025'!L225</f>
        <v>29.127.216/0001-02
</v>
      </c>
      <c r="M781" s="459" t="str">
        <f>'90146_2025'!M225</f>
        <v>AF EMPREENDIMENTOS LTDA
</v>
      </c>
      <c r="N781" s="459" t="str">
        <f>'90146_2025'!N225</f>
        <v/>
      </c>
      <c r="O781" s="459" t="str">
        <f>'90146_2025'!O225</f>
        <v/>
      </c>
      <c r="P781" s="459" t="str">
        <f>'90146_2025'!P225</f>
        <v/>
      </c>
      <c r="Q781" s="63" t="str">
        <f>'90146_2025'!Q225</f>
        <v/>
      </c>
      <c r="R781" s="460"/>
    </row>
    <row r="782" hidden="1">
      <c r="A782" s="461" t="s">
        <v>1003</v>
      </c>
      <c r="B782" s="184">
        <v>26.0</v>
      </c>
      <c r="C782" s="184" t="s">
        <v>591</v>
      </c>
      <c r="D782" s="185" t="s">
        <v>592</v>
      </c>
      <c r="E782" s="55">
        <v>1.0</v>
      </c>
      <c r="F782" s="58">
        <v>0.0</v>
      </c>
      <c r="G782" s="67">
        <f>'90146_2025'!F226</f>
        <v>0</v>
      </c>
      <c r="H782" s="54">
        <f>'90146_2025'!H226</f>
        <v>150818</v>
      </c>
      <c r="I782" s="54">
        <f>'90146_2025'!I226</f>
        <v>150818</v>
      </c>
      <c r="J782" s="55" t="s">
        <v>197</v>
      </c>
      <c r="K782" s="462" t="str">
        <f>'90146_2025'!K226</f>
        <v>C3 AIR CROSS</v>
      </c>
      <c r="L782" s="462" t="str">
        <f>'90146_2025'!L226</f>
        <v>29.127.216/0001-02
</v>
      </c>
      <c r="M782" s="462" t="str">
        <f>'90146_2025'!M226</f>
        <v>AF EMPREENDIMENTOS LTDA
</v>
      </c>
      <c r="N782" s="462" t="str">
        <f>'90146_2025'!N226</f>
        <v/>
      </c>
      <c r="O782" s="462" t="str">
        <f>'90146_2025'!O226</f>
        <v/>
      </c>
      <c r="P782" s="462" t="str">
        <f>'90146_2025'!P226</f>
        <v/>
      </c>
      <c r="Q782" s="70" t="str">
        <f>'90146_2025'!Q226</f>
        <v/>
      </c>
      <c r="R782" s="463"/>
    </row>
    <row r="783" hidden="1">
      <c r="A783" s="326" t="s">
        <v>1003</v>
      </c>
      <c r="B783" s="189">
        <v>26.0</v>
      </c>
      <c r="C783" s="189" t="s">
        <v>591</v>
      </c>
      <c r="D783" s="233" t="s">
        <v>592</v>
      </c>
      <c r="E783" s="64">
        <v>1.0</v>
      </c>
      <c r="F783" s="43">
        <v>0.0</v>
      </c>
      <c r="G783" s="56">
        <f>'90146_2025'!F227</f>
        <v>0</v>
      </c>
      <c r="H783" s="40">
        <f>'90146_2025'!H227</f>
        <v>150818</v>
      </c>
      <c r="I783" s="40">
        <f>'90146_2025'!I227</f>
        <v>150818</v>
      </c>
      <c r="J783" s="64" t="s">
        <v>160</v>
      </c>
      <c r="K783" s="459" t="str">
        <f>'90146_2025'!K227</f>
        <v>C3 AIR CROSS</v>
      </c>
      <c r="L783" s="459" t="str">
        <f>'90146_2025'!L227</f>
        <v>29.127.216/0001-02
</v>
      </c>
      <c r="M783" s="459" t="str">
        <f>'90146_2025'!M227</f>
        <v>AF EMPREENDIMENTOS LTDA
</v>
      </c>
      <c r="N783" s="459" t="str">
        <f>'90146_2025'!N227</f>
        <v/>
      </c>
      <c r="O783" s="459" t="str">
        <f>'90146_2025'!O227</f>
        <v/>
      </c>
      <c r="P783" s="459" t="str">
        <f>'90146_2025'!P227</f>
        <v/>
      </c>
      <c r="Q783" s="63" t="str">
        <f>'90146_2025'!Q227</f>
        <v/>
      </c>
      <c r="R783" s="460"/>
    </row>
    <row r="784" hidden="1">
      <c r="A784" s="461" t="s">
        <v>1003</v>
      </c>
      <c r="B784" s="184">
        <v>26.0</v>
      </c>
      <c r="C784" s="184" t="s">
        <v>591</v>
      </c>
      <c r="D784" s="185" t="s">
        <v>592</v>
      </c>
      <c r="E784" s="55">
        <v>1.0</v>
      </c>
      <c r="F784" s="58">
        <v>0.0</v>
      </c>
      <c r="G784" s="67">
        <f>'90146_2025'!F228</f>
        <v>0</v>
      </c>
      <c r="H784" s="54">
        <f>'90146_2025'!H228</f>
        <v>150818</v>
      </c>
      <c r="I784" s="54">
        <f>'90146_2025'!I228</f>
        <v>150818</v>
      </c>
      <c r="J784" s="55" t="s">
        <v>196</v>
      </c>
      <c r="K784" s="462" t="str">
        <f>'90146_2025'!K228</f>
        <v>C3 AIR CROSS</v>
      </c>
      <c r="L784" s="462" t="str">
        <f>'90146_2025'!L228</f>
        <v>29.127.216/0001-02
</v>
      </c>
      <c r="M784" s="462" t="str">
        <f>'90146_2025'!M228</f>
        <v>AF EMPREENDIMENTOS LTDA
</v>
      </c>
      <c r="N784" s="462" t="str">
        <f>'90146_2025'!N228</f>
        <v/>
      </c>
      <c r="O784" s="462" t="str">
        <f>'90146_2025'!O228</f>
        <v/>
      </c>
      <c r="P784" s="462" t="str">
        <f>'90146_2025'!P228</f>
        <v/>
      </c>
      <c r="Q784" s="70" t="str">
        <f>'90146_2025'!Q228</f>
        <v/>
      </c>
      <c r="R784" s="463"/>
    </row>
    <row r="785" hidden="1">
      <c r="A785" s="326" t="s">
        <v>1003</v>
      </c>
      <c r="B785" s="189">
        <v>26.0</v>
      </c>
      <c r="C785" s="189" t="s">
        <v>591</v>
      </c>
      <c r="D785" s="233" t="s">
        <v>592</v>
      </c>
      <c r="E785" s="64">
        <v>1.0</v>
      </c>
      <c r="F785" s="43">
        <v>0.0</v>
      </c>
      <c r="G785" s="56">
        <f>'90146_2025'!F229</f>
        <v>0</v>
      </c>
      <c r="H785" s="40">
        <f>'90146_2025'!H229</f>
        <v>150818</v>
      </c>
      <c r="I785" s="40">
        <f>'90146_2025'!I229</f>
        <v>150818</v>
      </c>
      <c r="J785" s="64" t="s">
        <v>201</v>
      </c>
      <c r="K785" s="459" t="str">
        <f>'90146_2025'!K229</f>
        <v>C3 AIR CROSS</v>
      </c>
      <c r="L785" s="459" t="str">
        <f>'90146_2025'!L229</f>
        <v>29.127.216/0001-02
</v>
      </c>
      <c r="M785" s="459" t="str">
        <f>'90146_2025'!M229</f>
        <v>AF EMPREENDIMENTOS LTDA
</v>
      </c>
      <c r="N785" s="459" t="str">
        <f>'90146_2025'!N229</f>
        <v/>
      </c>
      <c r="O785" s="459" t="str">
        <f>'90146_2025'!O229</f>
        <v/>
      </c>
      <c r="P785" s="459" t="str">
        <f>'90146_2025'!P229</f>
        <v/>
      </c>
      <c r="Q785" s="63" t="str">
        <f>'90146_2025'!Q229</f>
        <v/>
      </c>
      <c r="R785" s="460"/>
    </row>
    <row r="786" hidden="1">
      <c r="A786" s="461" t="s">
        <v>1003</v>
      </c>
      <c r="B786" s="184">
        <v>26.0</v>
      </c>
      <c r="C786" s="184" t="s">
        <v>591</v>
      </c>
      <c r="D786" s="185" t="s">
        <v>592</v>
      </c>
      <c r="E786" s="55">
        <v>1.0</v>
      </c>
      <c r="F786" s="58">
        <v>0.0</v>
      </c>
      <c r="G786" s="67">
        <f>'90146_2025'!F230</f>
        <v>0</v>
      </c>
      <c r="H786" s="54">
        <f>'90146_2025'!H230</f>
        <v>150818</v>
      </c>
      <c r="I786" s="54">
        <f>'90146_2025'!I230</f>
        <v>150818</v>
      </c>
      <c r="J786" s="55" t="s">
        <v>189</v>
      </c>
      <c r="K786" s="462" t="str">
        <f>'90146_2025'!K230</f>
        <v>C3 AIR CROSS</v>
      </c>
      <c r="L786" s="462" t="str">
        <f>'90146_2025'!L230</f>
        <v>29.127.216/0001-02
</v>
      </c>
      <c r="M786" s="462" t="str">
        <f>'90146_2025'!M230</f>
        <v>AF EMPREENDIMENTOS LTDA
</v>
      </c>
      <c r="N786" s="462" t="str">
        <f>'90146_2025'!N230</f>
        <v/>
      </c>
      <c r="O786" s="462" t="str">
        <f>'90146_2025'!O230</f>
        <v/>
      </c>
      <c r="P786" s="462" t="str">
        <f>'90146_2025'!P230</f>
        <v/>
      </c>
      <c r="Q786" s="70" t="str">
        <f>'90146_2025'!Q230</f>
        <v/>
      </c>
      <c r="R786" s="463"/>
    </row>
    <row r="787" hidden="1">
      <c r="A787" s="326" t="s">
        <v>1003</v>
      </c>
      <c r="B787" s="189">
        <v>26.0</v>
      </c>
      <c r="C787" s="189" t="s">
        <v>591</v>
      </c>
      <c r="D787" s="233" t="s">
        <v>592</v>
      </c>
      <c r="E787" s="64">
        <v>1.0</v>
      </c>
      <c r="F787" s="43">
        <v>0.0</v>
      </c>
      <c r="G787" s="56">
        <f>'90146_2025'!F231</f>
        <v>0</v>
      </c>
      <c r="H787" s="40">
        <f>'90146_2025'!H231</f>
        <v>150818</v>
      </c>
      <c r="I787" s="40">
        <f>'90146_2025'!I231</f>
        <v>150818</v>
      </c>
      <c r="J787" s="64" t="s">
        <v>304</v>
      </c>
      <c r="K787" s="459" t="str">
        <f>'90146_2025'!K231</f>
        <v>C3 AIR CROSS</v>
      </c>
      <c r="L787" s="459" t="str">
        <f>'90146_2025'!L231</f>
        <v>29.127.216/0001-02
</v>
      </c>
      <c r="M787" s="459" t="str">
        <f>'90146_2025'!M231</f>
        <v>AF EMPREENDIMENTOS LTDA
</v>
      </c>
      <c r="N787" s="459" t="str">
        <f>'90146_2025'!N231</f>
        <v/>
      </c>
      <c r="O787" s="459" t="str">
        <f>'90146_2025'!O231</f>
        <v/>
      </c>
      <c r="P787" s="459" t="str">
        <f>'90146_2025'!P231</f>
        <v/>
      </c>
      <c r="Q787" s="63" t="str">
        <f>'90146_2025'!Q231</f>
        <v/>
      </c>
      <c r="R787" s="460"/>
    </row>
    <row r="788" hidden="1">
      <c r="A788" s="461" t="s">
        <v>1003</v>
      </c>
      <c r="B788" s="184">
        <v>26.0</v>
      </c>
      <c r="C788" s="184" t="s">
        <v>591</v>
      </c>
      <c r="D788" s="185" t="s">
        <v>592</v>
      </c>
      <c r="E788" s="55">
        <v>1.0</v>
      </c>
      <c r="F788" s="58">
        <v>0.0</v>
      </c>
      <c r="G788" s="67">
        <f>'90146_2025'!F232</f>
        <v>0</v>
      </c>
      <c r="H788" s="54">
        <f>'90146_2025'!H232</f>
        <v>150818</v>
      </c>
      <c r="I788" s="54">
        <f>'90146_2025'!I232</f>
        <v>150818</v>
      </c>
      <c r="J788" s="55" t="s">
        <v>272</v>
      </c>
      <c r="K788" s="462" t="str">
        <f>'90146_2025'!K232</f>
        <v>C3 AIR CROSS</v>
      </c>
      <c r="L788" s="462" t="str">
        <f>'90146_2025'!L232</f>
        <v>29.127.216/0001-02
</v>
      </c>
      <c r="M788" s="462" t="str">
        <f>'90146_2025'!M232</f>
        <v>AF EMPREENDIMENTOS LTDA
</v>
      </c>
      <c r="N788" s="462" t="str">
        <f>'90146_2025'!N232</f>
        <v/>
      </c>
      <c r="O788" s="462" t="str">
        <f>'90146_2025'!O232</f>
        <v/>
      </c>
      <c r="P788" s="462" t="str">
        <f>'90146_2025'!P232</f>
        <v/>
      </c>
      <c r="Q788" s="70" t="str">
        <f>'90146_2025'!Q232</f>
        <v/>
      </c>
      <c r="R788" s="463"/>
    </row>
    <row r="789" hidden="1">
      <c r="A789" s="326" t="s">
        <v>1003</v>
      </c>
      <c r="B789" s="189">
        <v>26.0</v>
      </c>
      <c r="C789" s="189" t="s">
        <v>591</v>
      </c>
      <c r="D789" s="233" t="s">
        <v>592</v>
      </c>
      <c r="E789" s="64">
        <v>1.0</v>
      </c>
      <c r="F789" s="43">
        <v>0.0</v>
      </c>
      <c r="G789" s="56">
        <f>'90146_2025'!F233</f>
        <v>0</v>
      </c>
      <c r="H789" s="40">
        <f>'90146_2025'!H233</f>
        <v>150818</v>
      </c>
      <c r="I789" s="40">
        <f>'90146_2025'!I233</f>
        <v>150818</v>
      </c>
      <c r="J789" s="64" t="s">
        <v>210</v>
      </c>
      <c r="K789" s="459" t="str">
        <f>'90146_2025'!K233</f>
        <v>C3 AIR CROSS</v>
      </c>
      <c r="L789" s="459" t="str">
        <f>'90146_2025'!L233</f>
        <v>29.127.216/0001-02
</v>
      </c>
      <c r="M789" s="459" t="str">
        <f>'90146_2025'!M233</f>
        <v>AF EMPREENDIMENTOS LTDA
</v>
      </c>
      <c r="N789" s="459" t="str">
        <f>'90146_2025'!N233</f>
        <v/>
      </c>
      <c r="O789" s="459" t="str">
        <f>'90146_2025'!O233</f>
        <v/>
      </c>
      <c r="P789" s="459" t="str">
        <f>'90146_2025'!P233</f>
        <v/>
      </c>
      <c r="Q789" s="63" t="str">
        <f>'90146_2025'!Q233</f>
        <v/>
      </c>
      <c r="R789" s="460"/>
    </row>
    <row r="790" hidden="1">
      <c r="A790" s="461" t="s">
        <v>1003</v>
      </c>
      <c r="B790" s="184">
        <v>26.0</v>
      </c>
      <c r="C790" s="184" t="s">
        <v>591</v>
      </c>
      <c r="D790" s="185" t="s">
        <v>592</v>
      </c>
      <c r="E790" s="55">
        <v>1.0</v>
      </c>
      <c r="F790" s="58">
        <v>0.0</v>
      </c>
      <c r="G790" s="67">
        <f>'90146_2025'!F234</f>
        <v>0</v>
      </c>
      <c r="H790" s="54">
        <f>'90146_2025'!H234</f>
        <v>150818</v>
      </c>
      <c r="I790" s="54">
        <f>'90146_2025'!I234</f>
        <v>150818</v>
      </c>
      <c r="J790" s="55" t="s">
        <v>214</v>
      </c>
      <c r="K790" s="462" t="str">
        <f>'90146_2025'!K234</f>
        <v>C3 AIR CROSS</v>
      </c>
      <c r="L790" s="462" t="str">
        <f>'90146_2025'!L234</f>
        <v>29.127.216/0001-02
</v>
      </c>
      <c r="M790" s="462" t="str">
        <f>'90146_2025'!M234</f>
        <v>AF EMPREENDIMENTOS LTDA
</v>
      </c>
      <c r="N790" s="462" t="str">
        <f>'90146_2025'!N234</f>
        <v/>
      </c>
      <c r="O790" s="462" t="str">
        <f>'90146_2025'!O234</f>
        <v/>
      </c>
      <c r="P790" s="462" t="str">
        <f>'90146_2025'!P234</f>
        <v/>
      </c>
      <c r="Q790" s="70" t="str">
        <f>'90146_2025'!Q234</f>
        <v/>
      </c>
      <c r="R790" s="463"/>
    </row>
    <row r="791" hidden="1">
      <c r="A791" s="326" t="s">
        <v>1003</v>
      </c>
      <c r="B791" s="189">
        <v>27.0</v>
      </c>
      <c r="C791" s="189" t="s">
        <v>605</v>
      </c>
      <c r="D791" s="233" t="s">
        <v>606</v>
      </c>
      <c r="E791" s="64">
        <v>1.0</v>
      </c>
      <c r="F791" s="43">
        <v>0.0</v>
      </c>
      <c r="G791" s="56">
        <f>'90146_2025'!F235</f>
        <v>0</v>
      </c>
      <c r="H791" s="40">
        <f>'90146_2025'!H235</f>
        <v>680000</v>
      </c>
      <c r="I791" s="40">
        <f>'90146_2025'!I235</f>
        <v>680000</v>
      </c>
      <c r="J791" s="64" t="s">
        <v>96</v>
      </c>
      <c r="K791" s="459" t="str">
        <f>'90146_2025'!K235</f>
        <v>Marcopolo Volare/Attack 9 Executivo
</v>
      </c>
      <c r="L791" s="459" t="str">
        <f>'90146_2025'!L235</f>
        <v>88.611.835/0018-77
</v>
      </c>
      <c r="M791" s="459" t="str">
        <f>'90146_2025'!M235</f>
        <v>MARCOPOLO SA
</v>
      </c>
      <c r="N791" s="459" t="str">
        <f>'90146_2025'!N235</f>
        <v/>
      </c>
      <c r="O791" s="459" t="str">
        <f>'90146_2025'!O235</f>
        <v/>
      </c>
      <c r="P791" s="459" t="str">
        <f>'90146_2025'!P235</f>
        <v/>
      </c>
      <c r="Q791" s="63" t="str">
        <f>'90146_2025'!Q235</f>
        <v/>
      </c>
      <c r="R791" s="460"/>
    </row>
    <row r="792" hidden="1">
      <c r="A792" s="461" t="s">
        <v>1003</v>
      </c>
      <c r="B792" s="184">
        <v>27.0</v>
      </c>
      <c r="C792" s="184" t="s">
        <v>605</v>
      </c>
      <c r="D792" s="185" t="s">
        <v>606</v>
      </c>
      <c r="E792" s="55">
        <v>1.0</v>
      </c>
      <c r="F792" s="58">
        <v>0.0</v>
      </c>
      <c r="G792" s="67">
        <f>'90146_2025'!F236</f>
        <v>0</v>
      </c>
      <c r="H792" s="54">
        <f>'90146_2025'!H236</f>
        <v>680000</v>
      </c>
      <c r="I792" s="54">
        <f>'90146_2025'!I236</f>
        <v>680000</v>
      </c>
      <c r="J792" s="55" t="s">
        <v>113</v>
      </c>
      <c r="K792" s="462" t="str">
        <f>'90146_2025'!K236</f>
        <v>Marcopolo Volare/Attack 9 Executivo
</v>
      </c>
      <c r="L792" s="462" t="str">
        <f>'90146_2025'!L236</f>
        <v>88.611.835/0018-77
</v>
      </c>
      <c r="M792" s="462" t="str">
        <f>'90146_2025'!M236</f>
        <v>MARCOPOLO SA
</v>
      </c>
      <c r="N792" s="462" t="str">
        <f>'90146_2025'!N236</f>
        <v/>
      </c>
      <c r="O792" s="462" t="str">
        <f>'90146_2025'!O236</f>
        <v/>
      </c>
      <c r="P792" s="462" t="str">
        <f>'90146_2025'!P236</f>
        <v/>
      </c>
      <c r="Q792" s="70" t="str">
        <f>'90146_2025'!Q236</f>
        <v/>
      </c>
      <c r="R792" s="463"/>
    </row>
    <row r="793" hidden="1">
      <c r="A793" s="326" t="s">
        <v>1003</v>
      </c>
      <c r="B793" s="189">
        <v>27.0</v>
      </c>
      <c r="C793" s="189" t="s">
        <v>605</v>
      </c>
      <c r="D793" s="233" t="s">
        <v>606</v>
      </c>
      <c r="E793" s="64">
        <v>1.0</v>
      </c>
      <c r="F793" s="43">
        <v>0.0</v>
      </c>
      <c r="G793" s="56">
        <f>'90146_2025'!F237</f>
        <v>0</v>
      </c>
      <c r="H793" s="40">
        <f>'90146_2025'!H237</f>
        <v>680000</v>
      </c>
      <c r="I793" s="40">
        <f>'90146_2025'!I237</f>
        <v>680000</v>
      </c>
      <c r="J793" s="64" t="s">
        <v>142</v>
      </c>
      <c r="K793" s="459" t="str">
        <f>'90146_2025'!K237</f>
        <v>Marcopolo Volare/Attack 9 Executivo
</v>
      </c>
      <c r="L793" s="459" t="str">
        <f>'90146_2025'!L237</f>
        <v>88.611.835/0018-77
</v>
      </c>
      <c r="M793" s="459" t="str">
        <f>'90146_2025'!M237</f>
        <v>MARCOPOLO SA
</v>
      </c>
      <c r="N793" s="459" t="str">
        <f>'90146_2025'!N237</f>
        <v/>
      </c>
      <c r="O793" s="459" t="str">
        <f>'90146_2025'!O237</f>
        <v/>
      </c>
      <c r="P793" s="459" t="str">
        <f>'90146_2025'!P237</f>
        <v/>
      </c>
      <c r="Q793" s="63" t="str">
        <f>'90146_2025'!Q237</f>
        <v/>
      </c>
      <c r="R793" s="460"/>
    </row>
    <row r="794" hidden="1">
      <c r="A794" s="461" t="s">
        <v>1003</v>
      </c>
      <c r="B794" s="184">
        <v>27.0</v>
      </c>
      <c r="C794" s="184" t="s">
        <v>605</v>
      </c>
      <c r="D794" s="185" t="s">
        <v>606</v>
      </c>
      <c r="E794" s="55">
        <v>1.0</v>
      </c>
      <c r="F794" s="58">
        <v>0.0</v>
      </c>
      <c r="G794" s="67">
        <f>'90146_2025'!F238</f>
        <v>0</v>
      </c>
      <c r="H794" s="54">
        <f>'90146_2025'!H238</f>
        <v>680000</v>
      </c>
      <c r="I794" s="54">
        <f>'90146_2025'!I238</f>
        <v>680000</v>
      </c>
      <c r="J794" s="55" t="s">
        <v>161</v>
      </c>
      <c r="K794" s="462" t="str">
        <f>'90146_2025'!K238</f>
        <v>Marcopolo Volare/Attack 9 Executivo
</v>
      </c>
      <c r="L794" s="462" t="str">
        <f>'90146_2025'!L238</f>
        <v>88.611.835/0018-77
</v>
      </c>
      <c r="M794" s="462" t="str">
        <f>'90146_2025'!M238</f>
        <v>MARCOPOLO SA
</v>
      </c>
      <c r="N794" s="462" t="str">
        <f>'90146_2025'!N238</f>
        <v/>
      </c>
      <c r="O794" s="462" t="str">
        <f>'90146_2025'!O238</f>
        <v/>
      </c>
      <c r="P794" s="462" t="str">
        <f>'90146_2025'!P238</f>
        <v/>
      </c>
      <c r="Q794" s="70" t="str">
        <f>'90146_2025'!Q238</f>
        <v/>
      </c>
      <c r="R794" s="463"/>
    </row>
    <row r="795" hidden="1">
      <c r="A795" s="326" t="s">
        <v>1003</v>
      </c>
      <c r="B795" s="189">
        <v>27.0</v>
      </c>
      <c r="C795" s="189" t="s">
        <v>605</v>
      </c>
      <c r="D795" s="233" t="s">
        <v>606</v>
      </c>
      <c r="E795" s="64">
        <v>1.0</v>
      </c>
      <c r="F795" s="43">
        <v>0.0</v>
      </c>
      <c r="G795" s="56">
        <f>'90146_2025'!F239</f>
        <v>0</v>
      </c>
      <c r="H795" s="40">
        <f>'90146_2025'!H239</f>
        <v>680000</v>
      </c>
      <c r="I795" s="40">
        <f>'90146_2025'!I239</f>
        <v>680000</v>
      </c>
      <c r="J795" s="64" t="s">
        <v>154</v>
      </c>
      <c r="K795" s="459" t="str">
        <f>'90146_2025'!K239</f>
        <v>Marcopolo Volare/Attack 9 Executivo
</v>
      </c>
      <c r="L795" s="459" t="str">
        <f>'90146_2025'!L239</f>
        <v>88.611.835/0018-77
</v>
      </c>
      <c r="M795" s="459" t="str">
        <f>'90146_2025'!M239</f>
        <v>MARCOPOLO SA
</v>
      </c>
      <c r="N795" s="459" t="str">
        <f>'90146_2025'!N239</f>
        <v/>
      </c>
      <c r="O795" s="459" t="str">
        <f>'90146_2025'!O239</f>
        <v/>
      </c>
      <c r="P795" s="459" t="str">
        <f>'90146_2025'!P239</f>
        <v/>
      </c>
      <c r="Q795" s="63" t="str">
        <f>'90146_2025'!Q239</f>
        <v/>
      </c>
      <c r="R795" s="460"/>
    </row>
    <row r="796" hidden="1">
      <c r="A796" s="461" t="s">
        <v>1003</v>
      </c>
      <c r="B796" s="184">
        <v>27.0</v>
      </c>
      <c r="C796" s="184" t="s">
        <v>605</v>
      </c>
      <c r="D796" s="185" t="s">
        <v>606</v>
      </c>
      <c r="E796" s="55">
        <v>1.0</v>
      </c>
      <c r="F796" s="58">
        <v>0.0</v>
      </c>
      <c r="G796" s="67">
        <f>'90146_2025'!F240</f>
        <v>0</v>
      </c>
      <c r="H796" s="54">
        <f>'90146_2025'!H240</f>
        <v>680000</v>
      </c>
      <c r="I796" s="54">
        <f>'90146_2025'!I240</f>
        <v>680000</v>
      </c>
      <c r="J796" s="55" t="s">
        <v>196</v>
      </c>
      <c r="K796" s="462" t="str">
        <f>'90146_2025'!K240</f>
        <v>Marcopolo Volare/Attack 9 Executivo
</v>
      </c>
      <c r="L796" s="462" t="str">
        <f>'90146_2025'!L240</f>
        <v>88.611.835/0018-77
</v>
      </c>
      <c r="M796" s="462" t="str">
        <f>'90146_2025'!M240</f>
        <v>MARCOPOLO SA
</v>
      </c>
      <c r="N796" s="462" t="str">
        <f>'90146_2025'!N240</f>
        <v/>
      </c>
      <c r="O796" s="462" t="str">
        <f>'90146_2025'!O240</f>
        <v/>
      </c>
      <c r="P796" s="462" t="str">
        <f>'90146_2025'!P240</f>
        <v/>
      </c>
      <c r="Q796" s="70" t="str">
        <f>'90146_2025'!Q240</f>
        <v/>
      </c>
      <c r="R796" s="463"/>
    </row>
    <row r="797" hidden="1">
      <c r="A797" s="326" t="s">
        <v>1003</v>
      </c>
      <c r="B797" s="189">
        <v>27.0</v>
      </c>
      <c r="C797" s="189" t="s">
        <v>605</v>
      </c>
      <c r="D797" s="233" t="s">
        <v>606</v>
      </c>
      <c r="E797" s="64">
        <v>1.0</v>
      </c>
      <c r="F797" s="43">
        <v>0.0</v>
      </c>
      <c r="G797" s="56">
        <f>'90146_2025'!F241</f>
        <v>0</v>
      </c>
      <c r="H797" s="40">
        <f>'90146_2025'!H241</f>
        <v>680000</v>
      </c>
      <c r="I797" s="40">
        <f>'90146_2025'!I241</f>
        <v>680000</v>
      </c>
      <c r="J797" s="64" t="s">
        <v>201</v>
      </c>
      <c r="K797" s="459" t="str">
        <f>'90146_2025'!K241</f>
        <v>Marcopolo Volare/Attack 9 Executivo
</v>
      </c>
      <c r="L797" s="459" t="str">
        <f>'90146_2025'!L241</f>
        <v>88.611.835/0018-77
</v>
      </c>
      <c r="M797" s="459" t="str">
        <f>'90146_2025'!M241</f>
        <v>MARCOPOLO SA
</v>
      </c>
      <c r="N797" s="459" t="str">
        <f>'90146_2025'!N241</f>
        <v/>
      </c>
      <c r="O797" s="459" t="str">
        <f>'90146_2025'!O241</f>
        <v/>
      </c>
      <c r="P797" s="459" t="str">
        <f>'90146_2025'!P241</f>
        <v/>
      </c>
      <c r="Q797" s="63" t="str">
        <f>'90146_2025'!Q241</f>
        <v/>
      </c>
      <c r="R797" s="460"/>
    </row>
    <row r="798" hidden="1">
      <c r="A798" s="461" t="s">
        <v>1003</v>
      </c>
      <c r="B798" s="184">
        <v>27.0</v>
      </c>
      <c r="C798" s="184" t="s">
        <v>605</v>
      </c>
      <c r="D798" s="185" t="s">
        <v>606</v>
      </c>
      <c r="E798" s="55">
        <v>1.0</v>
      </c>
      <c r="F798" s="58">
        <v>0.0</v>
      </c>
      <c r="G798" s="67">
        <f>'90146_2025'!F242</f>
        <v>0</v>
      </c>
      <c r="H798" s="54">
        <f>'90146_2025'!H242</f>
        <v>680000</v>
      </c>
      <c r="I798" s="54">
        <f>'90146_2025'!I242</f>
        <v>680000</v>
      </c>
      <c r="J798" s="55" t="s">
        <v>178</v>
      </c>
      <c r="K798" s="462" t="str">
        <f>'90146_2025'!K242</f>
        <v>Marcopolo Volare/Attack 9 Executivo
</v>
      </c>
      <c r="L798" s="462" t="str">
        <f>'90146_2025'!L242</f>
        <v>88.611.835/0018-77
</v>
      </c>
      <c r="M798" s="462" t="str">
        <f>'90146_2025'!M242</f>
        <v>MARCOPOLO SA
</v>
      </c>
      <c r="N798" s="462" t="str">
        <f>'90146_2025'!N242</f>
        <v/>
      </c>
      <c r="O798" s="462" t="str">
        <f>'90146_2025'!O242</f>
        <v/>
      </c>
      <c r="P798" s="462" t="str">
        <f>'90146_2025'!P242</f>
        <v/>
      </c>
      <c r="Q798" s="70" t="str">
        <f>'90146_2025'!Q242</f>
        <v/>
      </c>
      <c r="R798" s="463"/>
    </row>
    <row r="799" hidden="1">
      <c r="A799" s="326" t="s">
        <v>1003</v>
      </c>
      <c r="B799" s="189">
        <v>27.0</v>
      </c>
      <c r="C799" s="189" t="s">
        <v>605</v>
      </c>
      <c r="D799" s="233" t="s">
        <v>606</v>
      </c>
      <c r="E799" s="64">
        <v>1.0</v>
      </c>
      <c r="F799" s="43">
        <v>0.0</v>
      </c>
      <c r="G799" s="56">
        <f>'90146_2025'!F243</f>
        <v>0</v>
      </c>
      <c r="H799" s="40">
        <f>'90146_2025'!H243</f>
        <v>680000</v>
      </c>
      <c r="I799" s="40">
        <f>'90146_2025'!I243</f>
        <v>680000</v>
      </c>
      <c r="J799" s="64" t="s">
        <v>189</v>
      </c>
      <c r="K799" s="459" t="str">
        <f>'90146_2025'!K243</f>
        <v>Marcopolo Volare/Attack 9 Executivo
</v>
      </c>
      <c r="L799" s="459" t="str">
        <f>'90146_2025'!L243</f>
        <v>88.611.835/0018-77
</v>
      </c>
      <c r="M799" s="459" t="str">
        <f>'90146_2025'!M243</f>
        <v>MARCOPOLO SA
</v>
      </c>
      <c r="N799" s="459" t="str">
        <f>'90146_2025'!N243</f>
        <v/>
      </c>
      <c r="O799" s="459" t="str">
        <f>'90146_2025'!O243</f>
        <v/>
      </c>
      <c r="P799" s="459" t="str">
        <f>'90146_2025'!P243</f>
        <v/>
      </c>
      <c r="Q799" s="63" t="str">
        <f>'90146_2025'!Q243</f>
        <v/>
      </c>
      <c r="R799" s="460"/>
    </row>
    <row r="800" hidden="1">
      <c r="A800" s="461" t="s">
        <v>1003</v>
      </c>
      <c r="B800" s="184">
        <v>27.0</v>
      </c>
      <c r="C800" s="184" t="s">
        <v>605</v>
      </c>
      <c r="D800" s="185" t="s">
        <v>606</v>
      </c>
      <c r="E800" s="55">
        <v>1.0</v>
      </c>
      <c r="F800" s="58">
        <v>0.0</v>
      </c>
      <c r="G800" s="67">
        <f>'90146_2025'!F244</f>
        <v>0</v>
      </c>
      <c r="H800" s="54">
        <f>'90146_2025'!H244</f>
        <v>680000</v>
      </c>
      <c r="I800" s="54">
        <f>'90146_2025'!I244</f>
        <v>680000</v>
      </c>
      <c r="J800" s="55" t="s">
        <v>272</v>
      </c>
      <c r="K800" s="462" t="str">
        <f>'90146_2025'!K244</f>
        <v>Marcopolo Volare/Attack 9 Executivo
</v>
      </c>
      <c r="L800" s="462" t="str">
        <f>'90146_2025'!L244</f>
        <v>88.611.835/0018-77
</v>
      </c>
      <c r="M800" s="462" t="str">
        <f>'90146_2025'!M244</f>
        <v>MARCOPOLO SA
</v>
      </c>
      <c r="N800" s="462" t="str">
        <f>'90146_2025'!N244</f>
        <v/>
      </c>
      <c r="O800" s="462" t="str">
        <f>'90146_2025'!O244</f>
        <v/>
      </c>
      <c r="P800" s="462" t="str">
        <f>'90146_2025'!P244</f>
        <v/>
      </c>
      <c r="Q800" s="70" t="str">
        <f>'90146_2025'!Q244</f>
        <v/>
      </c>
      <c r="R800" s="463"/>
    </row>
    <row r="801" hidden="1">
      <c r="A801" s="326" t="s">
        <v>1003</v>
      </c>
      <c r="B801" s="189">
        <v>28.0</v>
      </c>
      <c r="C801" s="189" t="s">
        <v>627</v>
      </c>
      <c r="D801" s="177" t="s">
        <v>399</v>
      </c>
      <c r="E801" s="64">
        <v>1.0</v>
      </c>
      <c r="F801" s="43">
        <v>0.0</v>
      </c>
      <c r="G801" s="56">
        <f>'90146_2025'!F245</f>
        <v>0</v>
      </c>
      <c r="H801" s="40">
        <f>'90146_2025'!H245</f>
        <v>920000</v>
      </c>
      <c r="I801" s="40">
        <f>'90146_2025'!I245</f>
        <v>920000</v>
      </c>
      <c r="J801" s="64" t="s">
        <v>58</v>
      </c>
      <c r="K801" s="459" t="str">
        <f>'90146_2025'!K245</f>
        <v>Volkswagen Volksbus 
</v>
      </c>
      <c r="L801" s="459" t="str">
        <f>'90146_2025'!L245</f>
        <v>31.306.830/0001-75
</v>
      </c>
      <c r="M801" s="459" t="str">
        <f>'90146_2025'!M245</f>
        <v>ABOLICAO CAMINHOES E ONIBUS LTDA
</v>
      </c>
      <c r="N801" s="459" t="str">
        <f>'90146_2025'!N245</f>
        <v/>
      </c>
      <c r="O801" s="459" t="str">
        <f>'90146_2025'!O245</f>
        <v/>
      </c>
      <c r="P801" s="459" t="str">
        <f>'90146_2025'!P245</f>
        <v/>
      </c>
      <c r="Q801" s="63" t="str">
        <f>'90146_2025'!Q245</f>
        <v/>
      </c>
      <c r="R801" s="460"/>
    </row>
    <row r="802" hidden="1">
      <c r="A802" s="461" t="s">
        <v>1003</v>
      </c>
      <c r="B802" s="184">
        <v>28.0</v>
      </c>
      <c r="C802" s="184" t="s">
        <v>627</v>
      </c>
      <c r="D802" s="181" t="s">
        <v>399</v>
      </c>
      <c r="E802" s="55">
        <v>1.0</v>
      </c>
      <c r="F802" s="58">
        <v>0.0</v>
      </c>
      <c r="G802" s="67">
        <f>'90146_2025'!F246</f>
        <v>0</v>
      </c>
      <c r="H802" s="54">
        <f>'90146_2025'!H246</f>
        <v>920000</v>
      </c>
      <c r="I802" s="54">
        <f>'90146_2025'!I246</f>
        <v>920000</v>
      </c>
      <c r="J802" s="55" t="s">
        <v>85</v>
      </c>
      <c r="K802" s="462" t="str">
        <f>'90146_2025'!K246</f>
        <v>Volkswagen Volksbus 
</v>
      </c>
      <c r="L802" s="462" t="str">
        <f>'90146_2025'!L246</f>
        <v>31.306.830/0001-75
</v>
      </c>
      <c r="M802" s="462" t="str">
        <f>'90146_2025'!M246</f>
        <v>ABOLICAO CAMINHOES E ONIBUS LTDA
</v>
      </c>
      <c r="N802" s="462" t="str">
        <f>'90146_2025'!N246</f>
        <v/>
      </c>
      <c r="O802" s="462" t="str">
        <f>'90146_2025'!O246</f>
        <v/>
      </c>
      <c r="P802" s="462" t="str">
        <f>'90146_2025'!P246</f>
        <v/>
      </c>
      <c r="Q802" s="70" t="str">
        <f>'90146_2025'!Q246</f>
        <v/>
      </c>
      <c r="R802" s="463"/>
    </row>
    <row r="803" hidden="1">
      <c r="A803" s="326" t="s">
        <v>1003</v>
      </c>
      <c r="B803" s="189">
        <v>28.0</v>
      </c>
      <c r="C803" s="189" t="s">
        <v>627</v>
      </c>
      <c r="D803" s="177" t="s">
        <v>399</v>
      </c>
      <c r="E803" s="64">
        <v>1.0</v>
      </c>
      <c r="F803" s="43">
        <v>0.0</v>
      </c>
      <c r="G803" s="56">
        <f>'90146_2025'!F247</f>
        <v>1</v>
      </c>
      <c r="H803" s="40">
        <f>'90146_2025'!H247</f>
        <v>920000</v>
      </c>
      <c r="I803" s="40">
        <f>'90146_2025'!I247</f>
        <v>920000</v>
      </c>
      <c r="J803" s="64" t="s">
        <v>117</v>
      </c>
      <c r="K803" s="459" t="str">
        <f>'90146_2025'!K247</f>
        <v>Volkswagen Volksbus 
</v>
      </c>
      <c r="L803" s="459" t="str">
        <f>'90146_2025'!L247</f>
        <v>31.306.830/0001-75
</v>
      </c>
      <c r="M803" s="459" t="str">
        <f>'90146_2025'!M247</f>
        <v>ABOLICAO CAMINHOES E ONIBUS LTDA
</v>
      </c>
      <c r="N803" s="459" t="str">
        <f>'90146_2025'!N247</f>
        <v/>
      </c>
      <c r="O803" s="459" t="str">
        <f>'90146_2025'!O247</f>
        <v/>
      </c>
      <c r="P803" s="459" t="str">
        <f>'90146_2025'!P247</f>
        <v/>
      </c>
      <c r="Q803" s="63" t="str">
        <f>'90146_2025'!Q247</f>
        <v/>
      </c>
      <c r="R803" s="460"/>
    </row>
    <row r="804" hidden="1">
      <c r="A804" s="461" t="s">
        <v>1003</v>
      </c>
      <c r="B804" s="184">
        <v>28.0</v>
      </c>
      <c r="C804" s="184" t="s">
        <v>627</v>
      </c>
      <c r="D804" s="181" t="s">
        <v>399</v>
      </c>
      <c r="E804" s="55">
        <v>1.0</v>
      </c>
      <c r="F804" s="58">
        <v>0.0</v>
      </c>
      <c r="G804" s="67">
        <f>'90146_2025'!F248</f>
        <v>1</v>
      </c>
      <c r="H804" s="54">
        <f>'90146_2025'!H248</f>
        <v>920000</v>
      </c>
      <c r="I804" s="54">
        <f>'90146_2025'!I248</f>
        <v>920000</v>
      </c>
      <c r="J804" s="55" t="s">
        <v>286</v>
      </c>
      <c r="K804" s="462" t="str">
        <f>'90146_2025'!K248</f>
        <v>Volkswagen Volksbus 
</v>
      </c>
      <c r="L804" s="462" t="str">
        <f>'90146_2025'!L248</f>
        <v>31.306.830/0001-75
</v>
      </c>
      <c r="M804" s="462" t="str">
        <f>'90146_2025'!M248</f>
        <v>ABOLICAO CAMINHOES E ONIBUS LTDA
</v>
      </c>
      <c r="N804" s="462" t="str">
        <f>'90146_2025'!N248</f>
        <v/>
      </c>
      <c r="O804" s="462" t="str">
        <f>'90146_2025'!O248</f>
        <v/>
      </c>
      <c r="P804" s="462" t="str">
        <f>'90146_2025'!P248</f>
        <v/>
      </c>
      <c r="Q804" s="70" t="str">
        <f>'90146_2025'!Q248</f>
        <v/>
      </c>
      <c r="R804" s="463"/>
    </row>
    <row r="805" hidden="1">
      <c r="A805" s="326" t="s">
        <v>1003</v>
      </c>
      <c r="B805" s="189">
        <v>28.0</v>
      </c>
      <c r="C805" s="189" t="s">
        <v>627</v>
      </c>
      <c r="D805" s="177" t="s">
        <v>399</v>
      </c>
      <c r="E805" s="64">
        <v>1.0</v>
      </c>
      <c r="F805" s="43">
        <v>0.0</v>
      </c>
      <c r="G805" s="56">
        <f>'90146_2025'!F249</f>
        <v>1</v>
      </c>
      <c r="H805" s="40">
        <f>'90146_2025'!H249</f>
        <v>920000</v>
      </c>
      <c r="I805" s="40">
        <f>'90146_2025'!I249</f>
        <v>920000</v>
      </c>
      <c r="J805" s="64" t="s">
        <v>161</v>
      </c>
      <c r="K805" s="459" t="str">
        <f>'90146_2025'!K249</f>
        <v>Volkswagen Volksbus 
</v>
      </c>
      <c r="L805" s="459" t="str">
        <f>'90146_2025'!L249</f>
        <v>31.306.830/0001-75
</v>
      </c>
      <c r="M805" s="459" t="str">
        <f>'90146_2025'!M249</f>
        <v>ABOLICAO CAMINHOES E ONIBUS LTDA
</v>
      </c>
      <c r="N805" s="459" t="str">
        <f>'90146_2025'!N249</f>
        <v/>
      </c>
      <c r="O805" s="459" t="str">
        <f>'90146_2025'!O249</f>
        <v/>
      </c>
      <c r="P805" s="459" t="str">
        <f>'90146_2025'!P249</f>
        <v/>
      </c>
      <c r="Q805" s="63" t="str">
        <f>'90146_2025'!Q249</f>
        <v/>
      </c>
      <c r="R805" s="460"/>
    </row>
    <row r="806" hidden="1">
      <c r="A806" s="461" t="s">
        <v>1003</v>
      </c>
      <c r="B806" s="184">
        <v>28.0</v>
      </c>
      <c r="C806" s="184" t="s">
        <v>627</v>
      </c>
      <c r="D806" s="181" t="s">
        <v>399</v>
      </c>
      <c r="E806" s="55">
        <v>1.0</v>
      </c>
      <c r="F806" s="58">
        <v>0.0</v>
      </c>
      <c r="G806" s="67">
        <f>'90146_2025'!F250</f>
        <v>1</v>
      </c>
      <c r="H806" s="54">
        <f>'90146_2025'!H250</f>
        <v>920000</v>
      </c>
      <c r="I806" s="54">
        <f>'90146_2025'!I250</f>
        <v>920000</v>
      </c>
      <c r="J806" s="55" t="s">
        <v>154</v>
      </c>
      <c r="K806" s="462" t="str">
        <f>'90146_2025'!K250</f>
        <v>Volkswagen Volksbus 
</v>
      </c>
      <c r="L806" s="462" t="str">
        <f>'90146_2025'!L250</f>
        <v>31.306.830/0001-75
</v>
      </c>
      <c r="M806" s="462" t="str">
        <f>'90146_2025'!M250</f>
        <v>ABOLICAO CAMINHOES E ONIBUS LTDA
</v>
      </c>
      <c r="N806" s="462" t="str">
        <f>'90146_2025'!N250</f>
        <v/>
      </c>
      <c r="O806" s="462" t="str">
        <f>'90146_2025'!O250</f>
        <v/>
      </c>
      <c r="P806" s="462" t="str">
        <f>'90146_2025'!P250</f>
        <v/>
      </c>
      <c r="Q806" s="70" t="str">
        <f>'90146_2025'!Q250</f>
        <v/>
      </c>
      <c r="R806" s="463"/>
    </row>
    <row r="807" hidden="1">
      <c r="A807" s="326" t="s">
        <v>1003</v>
      </c>
      <c r="B807" s="189">
        <v>28.0</v>
      </c>
      <c r="C807" s="189" t="s">
        <v>627</v>
      </c>
      <c r="D807" s="177" t="s">
        <v>399</v>
      </c>
      <c r="E807" s="64">
        <v>1.0</v>
      </c>
      <c r="F807" s="43">
        <v>0.0</v>
      </c>
      <c r="G807" s="56">
        <f>'90146_2025'!F251</f>
        <v>1</v>
      </c>
      <c r="H807" s="40">
        <f>'90146_2025'!H251</f>
        <v>920000</v>
      </c>
      <c r="I807" s="40">
        <f>'90146_2025'!I251</f>
        <v>920000</v>
      </c>
      <c r="J807" s="64" t="s">
        <v>231</v>
      </c>
      <c r="K807" s="459" t="str">
        <f>'90146_2025'!K251</f>
        <v>Volkswagen Volksbus 
</v>
      </c>
      <c r="L807" s="459" t="str">
        <f>'90146_2025'!L251</f>
        <v>31.306.830/0001-75
</v>
      </c>
      <c r="M807" s="459" t="str">
        <f>'90146_2025'!M251</f>
        <v>ABOLICAO CAMINHOES E ONIBUS LTDA
</v>
      </c>
      <c r="N807" s="459" t="str">
        <f>'90146_2025'!N251</f>
        <v/>
      </c>
      <c r="O807" s="459" t="str">
        <f>'90146_2025'!O251</f>
        <v/>
      </c>
      <c r="P807" s="459" t="str">
        <f>'90146_2025'!P251</f>
        <v/>
      </c>
      <c r="Q807" s="63" t="str">
        <f>'90146_2025'!Q251</f>
        <v/>
      </c>
      <c r="R807" s="460"/>
    </row>
    <row r="808" hidden="1">
      <c r="A808" s="461" t="s">
        <v>1003</v>
      </c>
      <c r="B808" s="184">
        <v>28.0</v>
      </c>
      <c r="C808" s="184" t="s">
        <v>627</v>
      </c>
      <c r="D808" s="181" t="s">
        <v>399</v>
      </c>
      <c r="E808" s="55">
        <v>1.0</v>
      </c>
      <c r="F808" s="58">
        <v>0.0</v>
      </c>
      <c r="G808" s="67">
        <f>'90146_2025'!F252</f>
        <v>0</v>
      </c>
      <c r="H808" s="54">
        <f>'90146_2025'!H252</f>
        <v>920000</v>
      </c>
      <c r="I808" s="54">
        <f>'90146_2025'!I252</f>
        <v>920000</v>
      </c>
      <c r="J808" s="55" t="s">
        <v>175</v>
      </c>
      <c r="K808" s="462" t="str">
        <f>'90146_2025'!K252</f>
        <v>Volkswagen Volksbus 
</v>
      </c>
      <c r="L808" s="462" t="str">
        <f>'90146_2025'!L252</f>
        <v>31.306.830/0001-75
</v>
      </c>
      <c r="M808" s="462" t="str">
        <f>'90146_2025'!M252</f>
        <v>ABOLICAO CAMINHOES E ONIBUS LTDA
</v>
      </c>
      <c r="N808" s="462" t="str">
        <f>'90146_2025'!N252</f>
        <v/>
      </c>
      <c r="O808" s="462" t="str">
        <f>'90146_2025'!O252</f>
        <v/>
      </c>
      <c r="P808" s="462" t="str">
        <f>'90146_2025'!P252</f>
        <v/>
      </c>
      <c r="Q808" s="70" t="str">
        <f>'90146_2025'!Q252</f>
        <v/>
      </c>
      <c r="R808" s="463"/>
    </row>
    <row r="809" hidden="1">
      <c r="A809" s="326" t="s">
        <v>1003</v>
      </c>
      <c r="B809" s="189">
        <v>28.0</v>
      </c>
      <c r="C809" s="189" t="s">
        <v>627</v>
      </c>
      <c r="D809" s="177" t="s">
        <v>399</v>
      </c>
      <c r="E809" s="64">
        <v>1.0</v>
      </c>
      <c r="F809" s="43">
        <v>0.0</v>
      </c>
      <c r="G809" s="56">
        <f>'90146_2025'!F253</f>
        <v>1</v>
      </c>
      <c r="H809" s="40">
        <f>'90146_2025'!H253</f>
        <v>920000</v>
      </c>
      <c r="I809" s="40">
        <f>'90146_2025'!I253</f>
        <v>920000</v>
      </c>
      <c r="J809" s="64" t="s">
        <v>160</v>
      </c>
      <c r="K809" s="459" t="str">
        <f>'90146_2025'!K253</f>
        <v>Volkswagen Volksbus 
</v>
      </c>
      <c r="L809" s="459" t="str">
        <f>'90146_2025'!L253</f>
        <v>31.306.830/0001-75
</v>
      </c>
      <c r="M809" s="459" t="str">
        <f>'90146_2025'!M253</f>
        <v>ABOLICAO CAMINHOES E ONIBUS LTDA
</v>
      </c>
      <c r="N809" s="459" t="str">
        <f>'90146_2025'!N253</f>
        <v/>
      </c>
      <c r="O809" s="459" t="str">
        <f>'90146_2025'!O253</f>
        <v/>
      </c>
      <c r="P809" s="459" t="str">
        <f>'90146_2025'!P253</f>
        <v/>
      </c>
      <c r="Q809" s="63" t="str">
        <f>'90146_2025'!Q253</f>
        <v/>
      </c>
      <c r="R809" s="460"/>
    </row>
    <row r="810" hidden="1">
      <c r="A810" s="461" t="s">
        <v>1003</v>
      </c>
      <c r="B810" s="184">
        <v>28.0</v>
      </c>
      <c r="C810" s="184" t="s">
        <v>627</v>
      </c>
      <c r="D810" s="181" t="s">
        <v>399</v>
      </c>
      <c r="E810" s="55">
        <v>1.0</v>
      </c>
      <c r="F810" s="58">
        <v>0.0</v>
      </c>
      <c r="G810" s="67">
        <f>'90146_2025'!F254</f>
        <v>1</v>
      </c>
      <c r="H810" s="54">
        <f>'90146_2025'!H254</f>
        <v>920000</v>
      </c>
      <c r="I810" s="54">
        <f>'90146_2025'!I254</f>
        <v>920000</v>
      </c>
      <c r="J810" s="55" t="s">
        <v>196</v>
      </c>
      <c r="K810" s="462" t="str">
        <f>'90146_2025'!K254</f>
        <v>Volkswagen Volksbus 
</v>
      </c>
      <c r="L810" s="462" t="str">
        <f>'90146_2025'!L254</f>
        <v>31.306.830/0001-75
</v>
      </c>
      <c r="M810" s="462" t="str">
        <f>'90146_2025'!M254</f>
        <v>ABOLICAO CAMINHOES E ONIBUS LTDA
</v>
      </c>
      <c r="N810" s="462" t="str">
        <f>'90146_2025'!N254</f>
        <v/>
      </c>
      <c r="O810" s="462" t="str">
        <f>'90146_2025'!O254</f>
        <v/>
      </c>
      <c r="P810" s="462" t="str">
        <f>'90146_2025'!P254</f>
        <v/>
      </c>
      <c r="Q810" s="70" t="str">
        <f>'90146_2025'!Q254</f>
        <v/>
      </c>
      <c r="R810" s="463"/>
    </row>
    <row r="811" hidden="1">
      <c r="A811" s="326" t="s">
        <v>1003</v>
      </c>
      <c r="B811" s="189">
        <v>28.0</v>
      </c>
      <c r="C811" s="189" t="s">
        <v>627</v>
      </c>
      <c r="D811" s="177" t="s">
        <v>399</v>
      </c>
      <c r="E811" s="64">
        <v>1.0</v>
      </c>
      <c r="F811" s="43">
        <v>0.0</v>
      </c>
      <c r="G811" s="56">
        <f>'90146_2025'!F255</f>
        <v>1</v>
      </c>
      <c r="H811" s="40">
        <f>'90146_2025'!H255</f>
        <v>920000</v>
      </c>
      <c r="I811" s="40">
        <f>'90146_2025'!I255</f>
        <v>920000</v>
      </c>
      <c r="J811" s="64" t="s">
        <v>178</v>
      </c>
      <c r="K811" s="459" t="str">
        <f>'90146_2025'!K255</f>
        <v>Volkswagen Volksbus 
</v>
      </c>
      <c r="L811" s="459" t="str">
        <f>'90146_2025'!L255</f>
        <v>31.306.830/0001-75
</v>
      </c>
      <c r="M811" s="459" t="str">
        <f>'90146_2025'!M255</f>
        <v>ABOLICAO CAMINHOES E ONIBUS LTDA
</v>
      </c>
      <c r="N811" s="459" t="str">
        <f>'90146_2025'!N255</f>
        <v/>
      </c>
      <c r="O811" s="459" t="str">
        <f>'90146_2025'!O255</f>
        <v/>
      </c>
      <c r="P811" s="459" t="str">
        <f>'90146_2025'!P255</f>
        <v/>
      </c>
      <c r="Q811" s="63" t="str">
        <f>'90146_2025'!Q255</f>
        <v/>
      </c>
      <c r="R811" s="460"/>
    </row>
    <row r="812" hidden="1">
      <c r="A812" s="461" t="s">
        <v>1003</v>
      </c>
      <c r="B812" s="184">
        <v>28.0</v>
      </c>
      <c r="C812" s="184" t="s">
        <v>627</v>
      </c>
      <c r="D812" s="181" t="s">
        <v>399</v>
      </c>
      <c r="E812" s="55">
        <v>1.0</v>
      </c>
      <c r="F812" s="58">
        <v>0.0</v>
      </c>
      <c r="G812" s="67">
        <f>'90146_2025'!F256</f>
        <v>0</v>
      </c>
      <c r="H812" s="54">
        <f>'90146_2025'!H256</f>
        <v>920000</v>
      </c>
      <c r="I812" s="54">
        <f>'90146_2025'!I256</f>
        <v>920000</v>
      </c>
      <c r="J812" s="55" t="s">
        <v>189</v>
      </c>
      <c r="K812" s="462" t="str">
        <f>'90146_2025'!K256</f>
        <v>Volkswagen Volksbus 
</v>
      </c>
      <c r="L812" s="462" t="str">
        <f>'90146_2025'!L256</f>
        <v>31.306.830/0001-75
</v>
      </c>
      <c r="M812" s="462" t="str">
        <f>'90146_2025'!M256</f>
        <v>ABOLICAO CAMINHOES E ONIBUS LTDA
</v>
      </c>
      <c r="N812" s="462" t="str">
        <f>'90146_2025'!N256</f>
        <v/>
      </c>
      <c r="O812" s="462" t="str">
        <f>'90146_2025'!O256</f>
        <v/>
      </c>
      <c r="P812" s="462" t="str">
        <f>'90146_2025'!P256</f>
        <v/>
      </c>
      <c r="Q812" s="70" t="str">
        <f>'90146_2025'!Q256</f>
        <v/>
      </c>
      <c r="R812" s="463"/>
    </row>
    <row r="813" hidden="1">
      <c r="A813" s="326" t="s">
        <v>1003</v>
      </c>
      <c r="B813" s="189">
        <v>28.0</v>
      </c>
      <c r="C813" s="189" t="s">
        <v>627</v>
      </c>
      <c r="D813" s="177" t="s">
        <v>399</v>
      </c>
      <c r="E813" s="64">
        <v>1.0</v>
      </c>
      <c r="F813" s="43">
        <v>0.0</v>
      </c>
      <c r="G813" s="56">
        <f>'90146_2025'!F257</f>
        <v>1</v>
      </c>
      <c r="H813" s="40">
        <f>'90146_2025'!H257</f>
        <v>920000</v>
      </c>
      <c r="I813" s="40">
        <f>'90146_2025'!I257</f>
        <v>920000</v>
      </c>
      <c r="J813" s="64" t="s">
        <v>194</v>
      </c>
      <c r="K813" s="459" t="str">
        <f>'90146_2025'!K257</f>
        <v>Volkswagen Volksbus 
</v>
      </c>
      <c r="L813" s="459" t="str">
        <f>'90146_2025'!L257</f>
        <v>31.306.830/0001-75
</v>
      </c>
      <c r="M813" s="459" t="str">
        <f>'90146_2025'!M257</f>
        <v>ABOLICAO CAMINHOES E ONIBUS LTDA
</v>
      </c>
      <c r="N813" s="459" t="str">
        <f>'90146_2025'!N257</f>
        <v/>
      </c>
      <c r="O813" s="459" t="str">
        <f>'90146_2025'!O257</f>
        <v/>
      </c>
      <c r="P813" s="459" t="str">
        <f>'90146_2025'!P257</f>
        <v/>
      </c>
      <c r="Q813" s="63" t="str">
        <f>'90146_2025'!Q257</f>
        <v/>
      </c>
      <c r="R813" s="460"/>
    </row>
    <row r="814" hidden="1">
      <c r="A814" s="461" t="s">
        <v>1003</v>
      </c>
      <c r="B814" s="184">
        <v>28.0</v>
      </c>
      <c r="C814" s="184" t="s">
        <v>627</v>
      </c>
      <c r="D814" s="181" t="s">
        <v>399</v>
      </c>
      <c r="E814" s="55">
        <v>1.0</v>
      </c>
      <c r="F814" s="58">
        <v>0.0</v>
      </c>
      <c r="G814" s="67">
        <f>'90146_2025'!F258</f>
        <v>0</v>
      </c>
      <c r="H814" s="54">
        <f>'90146_2025'!H258</f>
        <v>920000</v>
      </c>
      <c r="I814" s="54">
        <f>'90146_2025'!I258</f>
        <v>920000</v>
      </c>
      <c r="J814" s="55" t="s">
        <v>199</v>
      </c>
      <c r="K814" s="462" t="str">
        <f>'90146_2025'!K258</f>
        <v>Volkswagen Volksbus 
</v>
      </c>
      <c r="L814" s="462" t="str">
        <f>'90146_2025'!L258</f>
        <v>31.306.830/0001-75
</v>
      </c>
      <c r="M814" s="462" t="str">
        <f>'90146_2025'!M258</f>
        <v>ABOLICAO CAMINHOES E ONIBUS LTDA
</v>
      </c>
      <c r="N814" s="462" t="str">
        <f>'90146_2025'!N258</f>
        <v/>
      </c>
      <c r="O814" s="462" t="str">
        <f>'90146_2025'!O258</f>
        <v/>
      </c>
      <c r="P814" s="462" t="str">
        <f>'90146_2025'!P258</f>
        <v/>
      </c>
      <c r="Q814" s="70" t="str">
        <f>'90146_2025'!Q258</f>
        <v/>
      </c>
      <c r="R814" s="463"/>
    </row>
    <row r="815" hidden="1">
      <c r="A815" s="326" t="s">
        <v>1003</v>
      </c>
      <c r="B815" s="189">
        <v>28.0</v>
      </c>
      <c r="C815" s="189" t="s">
        <v>627</v>
      </c>
      <c r="D815" s="177" t="s">
        <v>399</v>
      </c>
      <c r="E815" s="64">
        <v>1.0</v>
      </c>
      <c r="F815" s="43">
        <v>0.0</v>
      </c>
      <c r="G815" s="56">
        <f>'90146_2025'!F259</f>
        <v>0</v>
      </c>
      <c r="H815" s="40">
        <f>'90146_2025'!H259</f>
        <v>920000</v>
      </c>
      <c r="I815" s="40">
        <f>'90146_2025'!I259</f>
        <v>920000</v>
      </c>
      <c r="J815" s="64" t="s">
        <v>210</v>
      </c>
      <c r="K815" s="459" t="str">
        <f>'90146_2025'!K259</f>
        <v>Volkswagen Volksbus 
</v>
      </c>
      <c r="L815" s="459" t="str">
        <f>'90146_2025'!L259</f>
        <v>31.306.830/0001-75
</v>
      </c>
      <c r="M815" s="459" t="str">
        <f>'90146_2025'!M259</f>
        <v>ABOLICAO CAMINHOES E ONIBUS LTDA
</v>
      </c>
      <c r="N815" s="459" t="str">
        <f>'90146_2025'!N259</f>
        <v/>
      </c>
      <c r="O815" s="459" t="str">
        <f>'90146_2025'!O259</f>
        <v/>
      </c>
      <c r="P815" s="459" t="str">
        <f>'90146_2025'!P259</f>
        <v/>
      </c>
      <c r="Q815" s="63" t="str">
        <f>'90146_2025'!Q259</f>
        <v/>
      </c>
      <c r="R815" s="460"/>
    </row>
    <row r="816" hidden="1">
      <c r="A816" s="461" t="s">
        <v>1003</v>
      </c>
      <c r="B816" s="184">
        <v>29.0</v>
      </c>
      <c r="C816" s="184" t="s">
        <v>271</v>
      </c>
      <c r="D816" s="185" t="s">
        <v>273</v>
      </c>
      <c r="E816" s="55">
        <v>1.0</v>
      </c>
      <c r="F816" s="58">
        <v>0.0</v>
      </c>
      <c r="G816" s="67">
        <f>'90146_2025'!F260</f>
        <v>1</v>
      </c>
      <c r="H816" s="54">
        <f>'90146_2025'!H260</f>
        <v>23000</v>
      </c>
      <c r="I816" s="54">
        <f>'90146_2025'!I260</f>
        <v>23000</v>
      </c>
      <c r="J816" s="55" t="s">
        <v>142</v>
      </c>
      <c r="K816" s="462" t="str">
        <f>'90146_2025'!K260</f>
        <v>SHINERAY</v>
      </c>
      <c r="L816" s="462" t="str">
        <f>'90146_2025'!L260</f>
        <v>29.127.216/0001-02
</v>
      </c>
      <c r="M816" s="462" t="str">
        <f>'90146_2025'!M260</f>
        <v>AF EMPREENDIMENTOS LTDA
</v>
      </c>
      <c r="N816" s="462" t="str">
        <f>'90146_2025'!N260</f>
        <v/>
      </c>
      <c r="O816" s="462" t="str">
        <f>'90146_2025'!O260</f>
        <v/>
      </c>
      <c r="P816" s="462" t="str">
        <f>'90146_2025'!P260</f>
        <v/>
      </c>
      <c r="Q816" s="70" t="str">
        <f>'90146_2025'!Q260</f>
        <v/>
      </c>
      <c r="R816" s="463"/>
    </row>
    <row r="817" hidden="1">
      <c r="A817" s="326" t="s">
        <v>1003</v>
      </c>
      <c r="B817" s="189">
        <v>29.0</v>
      </c>
      <c r="C817" s="189" t="s">
        <v>271</v>
      </c>
      <c r="D817" s="233" t="s">
        <v>273</v>
      </c>
      <c r="E817" s="64">
        <v>2.0</v>
      </c>
      <c r="F817" s="43">
        <v>0.0</v>
      </c>
      <c r="G817" s="56">
        <f>'90146_2025'!F261</f>
        <v>2</v>
      </c>
      <c r="H817" s="40">
        <f>'90146_2025'!H261</f>
        <v>23000</v>
      </c>
      <c r="I817" s="40">
        <f>'90146_2025'!I261</f>
        <v>46000</v>
      </c>
      <c r="J817" s="64" t="s">
        <v>175</v>
      </c>
      <c r="K817" s="459" t="str">
        <f>'90146_2025'!K261</f>
        <v>SHINERAY</v>
      </c>
      <c r="L817" s="459" t="str">
        <f>'90146_2025'!L261</f>
        <v>29.127.216/0001-02
</v>
      </c>
      <c r="M817" s="459" t="str">
        <f>'90146_2025'!M261</f>
        <v>AF EMPREENDIMENTOS LTDA
</v>
      </c>
      <c r="N817" s="459" t="str">
        <f>'90146_2025'!N261</f>
        <v/>
      </c>
      <c r="O817" s="459" t="str">
        <f>'90146_2025'!O261</f>
        <v/>
      </c>
      <c r="P817" s="459" t="str">
        <f>'90146_2025'!P261</f>
        <v/>
      </c>
      <c r="Q817" s="63" t="str">
        <f>'90146_2025'!Q261</f>
        <v/>
      </c>
      <c r="R817" s="460"/>
    </row>
    <row r="818" hidden="1">
      <c r="A818" s="461" t="s">
        <v>1003</v>
      </c>
      <c r="B818" s="184">
        <v>29.0</v>
      </c>
      <c r="C818" s="184" t="s">
        <v>271</v>
      </c>
      <c r="D818" s="185" t="s">
        <v>273</v>
      </c>
      <c r="E818" s="55">
        <v>2.0</v>
      </c>
      <c r="F818" s="58">
        <v>0.0</v>
      </c>
      <c r="G818" s="67">
        <f>'90146_2025'!F262</f>
        <v>2</v>
      </c>
      <c r="H818" s="54">
        <f>'90146_2025'!H262</f>
        <v>23000</v>
      </c>
      <c r="I818" s="54">
        <f>'90146_2025'!I262</f>
        <v>46000</v>
      </c>
      <c r="J818" s="62" t="s">
        <v>210</v>
      </c>
      <c r="K818" s="462" t="str">
        <f>'90146_2025'!K262</f>
        <v>SHINERAY</v>
      </c>
      <c r="L818" s="462" t="str">
        <f>'90146_2025'!L262</f>
        <v>29.127.216/0001-02
</v>
      </c>
      <c r="M818" s="462" t="str">
        <f>'90146_2025'!M262</f>
        <v>AF EMPREENDIMENTOS LTDA
</v>
      </c>
      <c r="N818" s="462" t="str">
        <f>'90146_2025'!N262</f>
        <v/>
      </c>
      <c r="O818" s="462" t="str">
        <f>'90146_2025'!O262</f>
        <v/>
      </c>
      <c r="P818" s="462" t="str">
        <f>'90146_2025'!P262</f>
        <v/>
      </c>
      <c r="Q818" s="70" t="str">
        <f>'90146_2025'!Q262</f>
        <v/>
      </c>
      <c r="R818" s="463"/>
    </row>
    <row r="819" hidden="1">
      <c r="A819" s="326" t="s">
        <v>1003</v>
      </c>
      <c r="B819" s="189">
        <v>30.0</v>
      </c>
      <c r="C819" s="176" t="s">
        <v>653</v>
      </c>
      <c r="D819" s="177" t="s">
        <v>500</v>
      </c>
      <c r="E819" s="64">
        <v>1.0</v>
      </c>
      <c r="F819" s="43">
        <v>0.0</v>
      </c>
      <c r="G819" s="56">
        <f>'90146_2025'!F263</f>
        <v>1</v>
      </c>
      <c r="H819" s="40">
        <f>'90146_2025'!H263</f>
        <v>257000</v>
      </c>
      <c r="I819" s="40">
        <f>'90146_2025'!I263</f>
        <v>257000</v>
      </c>
      <c r="J819" s="64" t="s">
        <v>142</v>
      </c>
      <c r="K819" s="459" t="str">
        <f>'90146_2025'!K263</f>
        <v>JAC HUNTER 4X4
</v>
      </c>
      <c r="L819" s="459" t="str">
        <f>'90146_2025'!L263</f>
        <v>03.093.776/0018-30
</v>
      </c>
      <c r="M819" s="459" t="str">
        <f>'90146_2025'!M263</f>
        <v>MANUPA COMERCIO EXPORTACAO IMPORTACAO DE EQUIPAMENTOS E VEICULOS ADAPTADOS LTDA
</v>
      </c>
      <c r="N819" s="459" t="str">
        <f>'90146_2025'!N263</f>
        <v/>
      </c>
      <c r="O819" s="459" t="str">
        <f>'90146_2025'!O263</f>
        <v/>
      </c>
      <c r="P819" s="459" t="str">
        <f>'90146_2025'!P263</f>
        <v/>
      </c>
      <c r="Q819" s="63">
        <f>'90146_2025'!Q263</f>
        <v>46365</v>
      </c>
      <c r="R819" s="460"/>
    </row>
    <row r="820" hidden="1">
      <c r="A820" s="461" t="s">
        <v>1003</v>
      </c>
      <c r="B820" s="184">
        <v>30.0</v>
      </c>
      <c r="C820" s="180" t="s">
        <v>653</v>
      </c>
      <c r="D820" s="181" t="s">
        <v>500</v>
      </c>
      <c r="E820" s="55">
        <v>1.0</v>
      </c>
      <c r="F820" s="58">
        <v>0.0</v>
      </c>
      <c r="G820" s="67">
        <f>'90146_2025'!F264</f>
        <v>1</v>
      </c>
      <c r="H820" s="54">
        <f>'90146_2025'!H264</f>
        <v>257000</v>
      </c>
      <c r="I820" s="54">
        <f>'90146_2025'!I264</f>
        <v>257000</v>
      </c>
      <c r="J820" s="55" t="s">
        <v>175</v>
      </c>
      <c r="K820" s="462" t="str">
        <f>'90146_2025'!K264</f>
        <v>JAC HUNTER 4X4
</v>
      </c>
      <c r="L820" s="462" t="str">
        <f>'90146_2025'!L264</f>
        <v>03.093.776/0018-30
</v>
      </c>
      <c r="M820" s="462" t="str">
        <f>'90146_2025'!M264</f>
        <v>MANUPA COMERCIO EXPORTACAO IMPORTACAO DE EQUIPAMENTOS E VEICULOS ADAPTADOS LTDA
</v>
      </c>
      <c r="N820" s="462" t="str">
        <f>'90146_2025'!N264</f>
        <v/>
      </c>
      <c r="O820" s="462" t="str">
        <f>'90146_2025'!O264</f>
        <v/>
      </c>
      <c r="P820" s="462" t="str">
        <f>'90146_2025'!P264</f>
        <v/>
      </c>
      <c r="Q820" s="70">
        <f>'90146_2025'!Q264</f>
        <v>46365</v>
      </c>
      <c r="R820" s="463"/>
    </row>
    <row r="821" hidden="1">
      <c r="A821" s="326" t="s">
        <v>1003</v>
      </c>
      <c r="B821" s="189">
        <v>30.0</v>
      </c>
      <c r="C821" s="176" t="s">
        <v>653</v>
      </c>
      <c r="D821" s="177" t="s">
        <v>500</v>
      </c>
      <c r="E821" s="64">
        <v>1.0</v>
      </c>
      <c r="F821" s="43">
        <v>0.0</v>
      </c>
      <c r="G821" s="56">
        <f>'90146_2025'!F265</f>
        <v>1</v>
      </c>
      <c r="H821" s="40">
        <f>'90146_2025'!H265</f>
        <v>257000</v>
      </c>
      <c r="I821" s="40">
        <f>'90146_2025'!I265</f>
        <v>257000</v>
      </c>
      <c r="J821" s="64" t="s">
        <v>188</v>
      </c>
      <c r="K821" s="459" t="str">
        <f>'90146_2025'!K265</f>
        <v>JAC HUNTER 4X4
</v>
      </c>
      <c r="L821" s="459" t="str">
        <f>'90146_2025'!L265</f>
        <v>03.093.776/0018-30
</v>
      </c>
      <c r="M821" s="459" t="str">
        <f>'90146_2025'!M265</f>
        <v>MANUPA COMERCIO EXPORTACAO IMPORTACAO DE EQUIPAMENTOS E VEICULOS ADAPTADOS LTDA
</v>
      </c>
      <c r="N821" s="459" t="str">
        <f>'90146_2025'!N265</f>
        <v/>
      </c>
      <c r="O821" s="459" t="str">
        <f>'90146_2025'!O265</f>
        <v/>
      </c>
      <c r="P821" s="459" t="str">
        <f>'90146_2025'!P265</f>
        <v/>
      </c>
      <c r="Q821" s="63">
        <f>'90146_2025'!Q265</f>
        <v>46365</v>
      </c>
      <c r="R821" s="460"/>
    </row>
    <row r="822" hidden="1">
      <c r="A822" s="461" t="s">
        <v>1003</v>
      </c>
      <c r="B822" s="184">
        <v>30.0</v>
      </c>
      <c r="C822" s="180" t="s">
        <v>653</v>
      </c>
      <c r="D822" s="181" t="s">
        <v>500</v>
      </c>
      <c r="E822" s="55">
        <v>1.0</v>
      </c>
      <c r="F822" s="58">
        <v>0.0</v>
      </c>
      <c r="G822" s="67">
        <f>'90146_2025'!F266</f>
        <v>1</v>
      </c>
      <c r="H822" s="54">
        <f>'90146_2025'!H266</f>
        <v>257000</v>
      </c>
      <c r="I822" s="54">
        <f>'90146_2025'!I266</f>
        <v>257000</v>
      </c>
      <c r="J822" s="55" t="s">
        <v>178</v>
      </c>
      <c r="K822" s="462" t="str">
        <f>'90146_2025'!K266</f>
        <v>JAC HUNTER 4X4
</v>
      </c>
      <c r="L822" s="462" t="str">
        <f>'90146_2025'!L266</f>
        <v>03.093.776/0018-30
</v>
      </c>
      <c r="M822" s="462" t="str">
        <f>'90146_2025'!M266</f>
        <v>MANUPA COMERCIO EXPORTACAO IMPORTACAO DE EQUIPAMENTOS E VEICULOS ADAPTADOS LTDA
</v>
      </c>
      <c r="N822" s="462" t="str">
        <f>'90146_2025'!N266</f>
        <v/>
      </c>
      <c r="O822" s="462" t="str">
        <f>'90146_2025'!O266</f>
        <v/>
      </c>
      <c r="P822" s="462" t="str">
        <f>'90146_2025'!P266</f>
        <v/>
      </c>
      <c r="Q822" s="70">
        <f>'90146_2025'!Q266</f>
        <v>46365</v>
      </c>
      <c r="R822" s="463"/>
    </row>
    <row r="823" hidden="1">
      <c r="A823" s="326" t="s">
        <v>1003</v>
      </c>
      <c r="B823" s="189">
        <v>30.0</v>
      </c>
      <c r="C823" s="176" t="s">
        <v>653</v>
      </c>
      <c r="D823" s="177" t="s">
        <v>500</v>
      </c>
      <c r="E823" s="64">
        <v>1.0</v>
      </c>
      <c r="F823" s="43">
        <v>0.0</v>
      </c>
      <c r="G823" s="56">
        <f>'90146_2025'!F267</f>
        <v>0</v>
      </c>
      <c r="H823" s="40">
        <f>'90146_2025'!H267</f>
        <v>257000</v>
      </c>
      <c r="I823" s="40">
        <f>'90146_2025'!I267</f>
        <v>257000</v>
      </c>
      <c r="J823" s="143" t="s">
        <v>192</v>
      </c>
      <c r="K823" s="459" t="str">
        <f>'90146_2025'!K267</f>
        <v>JAC HUNTER 4X4
</v>
      </c>
      <c r="L823" s="459" t="str">
        <f>'90146_2025'!L267</f>
        <v>03.093.776/0018-30
</v>
      </c>
      <c r="M823" s="459" t="str">
        <f>'90146_2025'!M267</f>
        <v>MANUPA COMERCIO EXPORTACAO IMPORTACAO DE EQUIPAMENTOS E VEICULOS ADAPTADOS LTDA
</v>
      </c>
      <c r="N823" s="459" t="str">
        <f>'90146_2025'!N267</f>
        <v/>
      </c>
      <c r="O823" s="459" t="str">
        <f>'90146_2025'!O267</f>
        <v/>
      </c>
      <c r="P823" s="459" t="str">
        <f>'90146_2025'!P267</f>
        <v/>
      </c>
      <c r="Q823" s="63">
        <f>'90146_2025'!Q267</f>
        <v>46365</v>
      </c>
      <c r="R823" s="460"/>
    </row>
    <row r="824" hidden="1">
      <c r="A824" s="461" t="s">
        <v>1003</v>
      </c>
      <c r="B824" s="184">
        <v>30.0</v>
      </c>
      <c r="C824" s="180" t="s">
        <v>653</v>
      </c>
      <c r="D824" s="181" t="s">
        <v>500</v>
      </c>
      <c r="E824" s="55">
        <v>1.0</v>
      </c>
      <c r="F824" s="58">
        <v>0.0</v>
      </c>
      <c r="G824" s="67">
        <f>'90146_2025'!F268</f>
        <v>0</v>
      </c>
      <c r="H824" s="54">
        <f>'90146_2025'!H268</f>
        <v>257000</v>
      </c>
      <c r="I824" s="54">
        <f>'90146_2025'!I268</f>
        <v>257000</v>
      </c>
      <c r="J824" s="141" t="s">
        <v>160</v>
      </c>
      <c r="K824" s="462" t="str">
        <f>'90146_2025'!K268</f>
        <v>JAC HUNTER 4X4
</v>
      </c>
      <c r="L824" s="462" t="str">
        <f>'90146_2025'!L268</f>
        <v>03.093.776/0018-30
</v>
      </c>
      <c r="M824" s="462" t="str">
        <f>'90146_2025'!M268</f>
        <v>MANUPA COMERCIO EXPORTACAO IMPORTACAO DE EQUIPAMENTOS E VEICULOS ADAPTADOS LTDA
</v>
      </c>
      <c r="N824" s="462" t="str">
        <f>'90146_2025'!N268</f>
        <v/>
      </c>
      <c r="O824" s="462" t="str">
        <f>'90146_2025'!O268</f>
        <v/>
      </c>
      <c r="P824" s="462" t="str">
        <f>'90146_2025'!P268</f>
        <v/>
      </c>
      <c r="Q824" s="70">
        <f>'90146_2025'!Q268</f>
        <v>46365</v>
      </c>
      <c r="R824" s="463"/>
    </row>
    <row r="825" hidden="1">
      <c r="A825" s="326" t="s">
        <v>1003</v>
      </c>
      <c r="B825" s="189">
        <v>30.0</v>
      </c>
      <c r="C825" s="176" t="s">
        <v>653</v>
      </c>
      <c r="D825" s="177" t="s">
        <v>500</v>
      </c>
      <c r="E825" s="64">
        <v>1.0</v>
      </c>
      <c r="F825" s="43">
        <v>0.0</v>
      </c>
      <c r="G825" s="56">
        <f>'90146_2025'!F269</f>
        <v>0</v>
      </c>
      <c r="H825" s="40">
        <f>'90146_2025'!H269</f>
        <v>257000</v>
      </c>
      <c r="I825" s="40">
        <f>'90146_2025'!I269</f>
        <v>257000</v>
      </c>
      <c r="J825" s="143" t="s">
        <v>199</v>
      </c>
      <c r="K825" s="459" t="str">
        <f>'90146_2025'!K269</f>
        <v>JAC HUNTER 4X4
</v>
      </c>
      <c r="L825" s="459" t="str">
        <f>'90146_2025'!L269</f>
        <v>03.093.776/0018-30
</v>
      </c>
      <c r="M825" s="459" t="str">
        <f>'90146_2025'!M269</f>
        <v>MANUPA COMERCIO EXPORTACAO IMPORTACAO DE EQUIPAMENTOS E VEICULOS ADAPTADOS LTDA
</v>
      </c>
      <c r="N825" s="459" t="str">
        <f>'90146_2025'!N269</f>
        <v/>
      </c>
      <c r="O825" s="459" t="str">
        <f>'90146_2025'!O269</f>
        <v/>
      </c>
      <c r="P825" s="459" t="str">
        <f>'90146_2025'!P269</f>
        <v/>
      </c>
      <c r="Q825" s="63">
        <f>'90146_2025'!Q269</f>
        <v>46365</v>
      </c>
      <c r="R825" s="460"/>
    </row>
    <row r="826" hidden="1">
      <c r="A826" s="461" t="s">
        <v>1003</v>
      </c>
      <c r="B826" s="184">
        <v>30.0</v>
      </c>
      <c r="C826" s="180" t="s">
        <v>653</v>
      </c>
      <c r="D826" s="181" t="s">
        <v>500</v>
      </c>
      <c r="E826" s="55">
        <v>1.0</v>
      </c>
      <c r="F826" s="58">
        <v>0.0</v>
      </c>
      <c r="G826" s="67">
        <f>'90146_2025'!F270</f>
        <v>1</v>
      </c>
      <c r="H826" s="54">
        <f>'90146_2025'!H270</f>
        <v>257000</v>
      </c>
      <c r="I826" s="54">
        <f>'90146_2025'!I270</f>
        <v>257000</v>
      </c>
      <c r="J826" s="141" t="s">
        <v>196</v>
      </c>
      <c r="K826" s="462" t="str">
        <f>'90146_2025'!K270</f>
        <v>JAC HUNTER 4X4
</v>
      </c>
      <c r="L826" s="462" t="str">
        <f>'90146_2025'!L270</f>
        <v>03.093.776/0018-30
</v>
      </c>
      <c r="M826" s="462" t="str">
        <f>'90146_2025'!M270</f>
        <v>MANUPA COMERCIO EXPORTACAO IMPORTACAO DE EQUIPAMENTOS E VEICULOS ADAPTADOS LTDA
</v>
      </c>
      <c r="N826" s="462" t="str">
        <f>'90146_2025'!N270</f>
        <v/>
      </c>
      <c r="O826" s="462" t="str">
        <f>'90146_2025'!O270</f>
        <v/>
      </c>
      <c r="P826" s="462" t="str">
        <f>'90146_2025'!P270</f>
        <v/>
      </c>
      <c r="Q826" s="70">
        <f>'90146_2025'!Q270</f>
        <v>46365</v>
      </c>
      <c r="R826" s="463"/>
    </row>
    <row r="827" hidden="1">
      <c r="A827" s="326" t="s">
        <v>1003</v>
      </c>
      <c r="B827" s="189">
        <v>30.0</v>
      </c>
      <c r="C827" s="176" t="s">
        <v>653</v>
      </c>
      <c r="D827" s="177" t="s">
        <v>500</v>
      </c>
      <c r="E827" s="64">
        <v>1.0</v>
      </c>
      <c r="F827" s="43">
        <v>0.0</v>
      </c>
      <c r="G827" s="56">
        <f>'90146_2025'!F271</f>
        <v>1</v>
      </c>
      <c r="H827" s="40">
        <f>'90146_2025'!H271</f>
        <v>257000</v>
      </c>
      <c r="I827" s="40">
        <f>'90146_2025'!I271</f>
        <v>257000</v>
      </c>
      <c r="J827" s="143" t="s">
        <v>201</v>
      </c>
      <c r="K827" s="459" t="str">
        <f>'90146_2025'!K271</f>
        <v>JAC HUNTER 4X4
</v>
      </c>
      <c r="L827" s="459" t="str">
        <f>'90146_2025'!L271</f>
        <v>03.093.776/0018-30
</v>
      </c>
      <c r="M827" s="459" t="str">
        <f>'90146_2025'!M271</f>
        <v>MANUPA COMERCIO EXPORTACAO IMPORTACAO DE EQUIPAMENTOS E VEICULOS ADAPTADOS LTDA
</v>
      </c>
      <c r="N827" s="459" t="str">
        <f>'90146_2025'!N271</f>
        <v/>
      </c>
      <c r="O827" s="459" t="str">
        <f>'90146_2025'!O271</f>
        <v/>
      </c>
      <c r="P827" s="459" t="str">
        <f>'90146_2025'!P271</f>
        <v/>
      </c>
      <c r="Q827" s="63">
        <f>'90146_2025'!Q271</f>
        <v>46365</v>
      </c>
      <c r="R827" s="460"/>
    </row>
    <row r="828" hidden="1">
      <c r="A828" s="461" t="s">
        <v>1003</v>
      </c>
      <c r="B828" s="184">
        <v>30.0</v>
      </c>
      <c r="C828" s="180" t="s">
        <v>653</v>
      </c>
      <c r="D828" s="181" t="s">
        <v>500</v>
      </c>
      <c r="E828" s="55">
        <v>1.0</v>
      </c>
      <c r="F828" s="58">
        <v>0.0</v>
      </c>
      <c r="G828" s="67">
        <f>'90146_2025'!F272</f>
        <v>1</v>
      </c>
      <c r="H828" s="54">
        <f>'90146_2025'!H272</f>
        <v>257000</v>
      </c>
      <c r="I828" s="54">
        <f>'90146_2025'!I272</f>
        <v>257000</v>
      </c>
      <c r="J828" s="141" t="s">
        <v>272</v>
      </c>
      <c r="K828" s="462" t="str">
        <f>'90146_2025'!K272</f>
        <v>JAC HUNTER 4X4
</v>
      </c>
      <c r="L828" s="462" t="str">
        <f>'90146_2025'!L272</f>
        <v>03.093.776/0018-30
</v>
      </c>
      <c r="M828" s="462" t="str">
        <f>'90146_2025'!M272</f>
        <v>MANUPA COMERCIO EXPORTACAO IMPORTACAO DE EQUIPAMENTOS E VEICULOS ADAPTADOS LTDA
</v>
      </c>
      <c r="N828" s="462" t="str">
        <f>'90146_2025'!N272</f>
        <v/>
      </c>
      <c r="O828" s="462" t="str">
        <f>'90146_2025'!O272</f>
        <v/>
      </c>
      <c r="P828" s="462" t="str">
        <f>'90146_2025'!P272</f>
        <v/>
      </c>
      <c r="Q828" s="70">
        <f>'90146_2025'!Q272</f>
        <v>46365</v>
      </c>
      <c r="R828" s="463"/>
    </row>
    <row r="829" hidden="1">
      <c r="A829" s="326" t="s">
        <v>1003</v>
      </c>
      <c r="B829" s="189">
        <v>30.0</v>
      </c>
      <c r="C829" s="176" t="s">
        <v>653</v>
      </c>
      <c r="D829" s="177" t="s">
        <v>500</v>
      </c>
      <c r="E829" s="64">
        <v>1.0</v>
      </c>
      <c r="F829" s="43">
        <v>0.0</v>
      </c>
      <c r="G829" s="56">
        <f>'90146_2025'!F273</f>
        <v>1</v>
      </c>
      <c r="H829" s="40">
        <f>'90146_2025'!H273</f>
        <v>257000</v>
      </c>
      <c r="I829" s="40">
        <f>'90146_2025'!I273</f>
        <v>257000</v>
      </c>
      <c r="J829" s="143" t="s">
        <v>134</v>
      </c>
      <c r="K829" s="459" t="str">
        <f>'90146_2025'!K273</f>
        <v>JAC HUNTER 4X4
</v>
      </c>
      <c r="L829" s="459" t="str">
        <f>'90146_2025'!L273</f>
        <v>03.093.776/0018-30
</v>
      </c>
      <c r="M829" s="459" t="str">
        <f>'90146_2025'!M273</f>
        <v>MANUPA COMERCIO EXPORTACAO IMPORTACAO DE EQUIPAMENTOS E VEICULOS ADAPTADOS LTDA
</v>
      </c>
      <c r="N829" s="459" t="str">
        <f>'90146_2025'!N273</f>
        <v/>
      </c>
      <c r="O829" s="459" t="str">
        <f>'90146_2025'!O273</f>
        <v/>
      </c>
      <c r="P829" s="459" t="str">
        <f>'90146_2025'!P273</f>
        <v/>
      </c>
      <c r="Q829" s="63">
        <f>'90146_2025'!Q273</f>
        <v>46365</v>
      </c>
      <c r="R829" s="460"/>
    </row>
    <row r="830" hidden="1">
      <c r="A830" s="461" t="s">
        <v>1003</v>
      </c>
      <c r="B830" s="184">
        <v>30.0</v>
      </c>
      <c r="C830" s="180" t="s">
        <v>653</v>
      </c>
      <c r="D830" s="181" t="s">
        <v>500</v>
      </c>
      <c r="E830" s="55">
        <v>1.0</v>
      </c>
      <c r="F830" s="58">
        <v>0.0</v>
      </c>
      <c r="G830" s="67">
        <f>'90146_2025'!F274</f>
        <v>0</v>
      </c>
      <c r="H830" s="54">
        <f>'90146_2025'!H274</f>
        <v>257000</v>
      </c>
      <c r="I830" s="54">
        <f>'90146_2025'!I274</f>
        <v>257000</v>
      </c>
      <c r="J830" s="141" t="s">
        <v>304</v>
      </c>
      <c r="K830" s="462" t="str">
        <f>'90146_2025'!K274</f>
        <v>JAC HUNTER 4X4
</v>
      </c>
      <c r="L830" s="462" t="str">
        <f>'90146_2025'!L274</f>
        <v>03.093.776/0018-30
</v>
      </c>
      <c r="M830" s="462" t="str">
        <f>'90146_2025'!M274</f>
        <v>MANUPA COMERCIO EXPORTACAO IMPORTACAO DE EQUIPAMENTOS E VEICULOS ADAPTADOS LTDA
</v>
      </c>
      <c r="N830" s="462" t="str">
        <f>'90146_2025'!N274</f>
        <v/>
      </c>
      <c r="O830" s="462" t="str">
        <f>'90146_2025'!O274</f>
        <v/>
      </c>
      <c r="P830" s="462" t="str">
        <f>'90146_2025'!P274</f>
        <v/>
      </c>
      <c r="Q830" s="70">
        <f>'90146_2025'!Q274</f>
        <v>46365</v>
      </c>
      <c r="R830" s="463"/>
    </row>
    <row r="831" hidden="1">
      <c r="A831" s="326" t="s">
        <v>1003</v>
      </c>
      <c r="B831" s="189">
        <v>30.0</v>
      </c>
      <c r="C831" s="176" t="s">
        <v>653</v>
      </c>
      <c r="D831" s="177" t="s">
        <v>500</v>
      </c>
      <c r="E831" s="64">
        <v>1.0</v>
      </c>
      <c r="F831" s="43">
        <v>0.0</v>
      </c>
      <c r="G831" s="56">
        <f>'90146_2025'!F275</f>
        <v>1</v>
      </c>
      <c r="H831" s="40">
        <f>'90146_2025'!H275</f>
        <v>257000</v>
      </c>
      <c r="I831" s="40">
        <f>'90146_2025'!I275</f>
        <v>257000</v>
      </c>
      <c r="J831" s="64" t="s">
        <v>210</v>
      </c>
      <c r="K831" s="459" t="str">
        <f>'90146_2025'!K275</f>
        <v>JAC HUNTER 4X4
</v>
      </c>
      <c r="L831" s="459" t="str">
        <f>'90146_2025'!L275</f>
        <v>03.093.776/0018-30
</v>
      </c>
      <c r="M831" s="459" t="str">
        <f>'90146_2025'!M275</f>
        <v>MANUPA COMERCIO EXPORTACAO IMPORTACAO DE EQUIPAMENTOS E VEICULOS ADAPTADOS LTDA
</v>
      </c>
      <c r="N831" s="459" t="str">
        <f>'90146_2025'!N275</f>
        <v/>
      </c>
      <c r="O831" s="459" t="str">
        <f>'90146_2025'!O275</f>
        <v/>
      </c>
      <c r="P831" s="459" t="str">
        <f>'90146_2025'!P275</f>
        <v/>
      </c>
      <c r="Q831" s="63">
        <f>'90146_2025'!Q275</f>
        <v>46365</v>
      </c>
      <c r="R831" s="460"/>
    </row>
    <row r="832" hidden="1">
      <c r="A832" s="461" t="s">
        <v>1003</v>
      </c>
      <c r="B832" s="184">
        <v>30.0</v>
      </c>
      <c r="C832" s="180" t="s">
        <v>653</v>
      </c>
      <c r="D832" s="181" t="s">
        <v>500</v>
      </c>
      <c r="E832" s="55">
        <v>1.0</v>
      </c>
      <c r="F832" s="58">
        <v>0.0</v>
      </c>
      <c r="G832" s="67">
        <f>'90146_2025'!F276</f>
        <v>1</v>
      </c>
      <c r="H832" s="54">
        <f>'90146_2025'!H276</f>
        <v>257000</v>
      </c>
      <c r="I832" s="54">
        <f>'90146_2025'!I276</f>
        <v>257000</v>
      </c>
      <c r="J832" s="55" t="s">
        <v>214</v>
      </c>
      <c r="K832" s="462" t="str">
        <f>'90146_2025'!K276</f>
        <v>JAC HUNTER 4X4
</v>
      </c>
      <c r="L832" s="462" t="str">
        <f>'90146_2025'!L276</f>
        <v>03.093.776/0018-30
</v>
      </c>
      <c r="M832" s="462" t="str">
        <f>'90146_2025'!M276</f>
        <v>MANUPA COMERCIO EXPORTACAO IMPORTACAO DE EQUIPAMENTOS E VEICULOS ADAPTADOS LTDA
</v>
      </c>
      <c r="N832" s="462" t="str">
        <f>'90146_2025'!N276</f>
        <v/>
      </c>
      <c r="O832" s="462" t="str">
        <f>'90146_2025'!O276</f>
        <v/>
      </c>
      <c r="P832" s="462" t="str">
        <f>'90146_2025'!P276</f>
        <v/>
      </c>
      <c r="Q832" s="70">
        <f>'90146_2025'!Q276</f>
        <v>46365</v>
      </c>
      <c r="R832" s="463"/>
    </row>
    <row r="833" hidden="1">
      <c r="A833" s="326" t="s">
        <v>1003</v>
      </c>
      <c r="B833" s="189">
        <v>31.0</v>
      </c>
      <c r="C833" s="176" t="s">
        <v>660</v>
      </c>
      <c r="D833" s="233" t="s">
        <v>495</v>
      </c>
      <c r="E833" s="64">
        <v>1.0</v>
      </c>
      <c r="F833" s="43">
        <v>0.0</v>
      </c>
      <c r="G833" s="56">
        <f>'90146_2025'!F277</f>
        <v>1</v>
      </c>
      <c r="H833" s="40" t="str">
        <f>'90146_2025'!H277</f>
        <v/>
      </c>
      <c r="I833" s="40">
        <f>'90146_2025'!I277</f>
        <v>0</v>
      </c>
      <c r="J833" s="143" t="s">
        <v>134</v>
      </c>
      <c r="K833" s="459" t="str">
        <f>'90146_2025'!K277</f>
        <v/>
      </c>
      <c r="L833" s="459" t="str">
        <f>'90146_2025'!L277</f>
        <v/>
      </c>
      <c r="M833" s="459" t="str">
        <f>'90146_2025'!M277</f>
        <v/>
      </c>
      <c r="N833" s="459" t="str">
        <f>'90146_2025'!N277</f>
        <v/>
      </c>
      <c r="O833" s="459" t="str">
        <f>'90146_2025'!O277</f>
        <v/>
      </c>
      <c r="P833" s="459" t="str">
        <f>'90146_2025'!P277</f>
        <v/>
      </c>
      <c r="Q833" s="63" t="str">
        <f>'90146_2025'!Q277</f>
        <v/>
      </c>
      <c r="R833" s="460"/>
    </row>
    <row r="834" hidden="1">
      <c r="A834" s="461" t="s">
        <v>1003</v>
      </c>
      <c r="B834" s="184">
        <v>31.0</v>
      </c>
      <c r="C834" s="180" t="s">
        <v>660</v>
      </c>
      <c r="D834" s="185" t="s">
        <v>495</v>
      </c>
      <c r="E834" s="55">
        <v>1.0</v>
      </c>
      <c r="F834" s="58">
        <v>0.0</v>
      </c>
      <c r="G834" s="67">
        <f>'90146_2025'!F278</f>
        <v>1</v>
      </c>
      <c r="H834" s="54" t="str">
        <f>'90146_2025'!H278</f>
        <v/>
      </c>
      <c r="I834" s="54">
        <f>'90146_2025'!I278</f>
        <v>0</v>
      </c>
      <c r="J834" s="141" t="s">
        <v>160</v>
      </c>
      <c r="K834" s="462" t="str">
        <f>'90146_2025'!K278</f>
        <v/>
      </c>
      <c r="L834" s="462" t="str">
        <f>'90146_2025'!L278</f>
        <v/>
      </c>
      <c r="M834" s="462" t="str">
        <f>'90146_2025'!M278</f>
        <v/>
      </c>
      <c r="N834" s="462" t="str">
        <f>'90146_2025'!N278</f>
        <v/>
      </c>
      <c r="O834" s="462" t="str">
        <f>'90146_2025'!O278</f>
        <v/>
      </c>
      <c r="P834" s="462" t="str">
        <f>'90146_2025'!P278</f>
        <v/>
      </c>
      <c r="Q834" s="70" t="str">
        <f>'90146_2025'!Q278</f>
        <v/>
      </c>
      <c r="R834" s="463"/>
    </row>
    <row r="835" hidden="1">
      <c r="A835" s="326" t="s">
        <v>1003</v>
      </c>
      <c r="B835" s="189">
        <v>31.0</v>
      </c>
      <c r="C835" s="176" t="s">
        <v>660</v>
      </c>
      <c r="D835" s="233" t="s">
        <v>495</v>
      </c>
      <c r="E835" s="64">
        <v>1.0</v>
      </c>
      <c r="F835" s="43">
        <v>0.0</v>
      </c>
      <c r="G835" s="56">
        <f>'90146_2025'!F279</f>
        <v>1</v>
      </c>
      <c r="H835" s="40" t="str">
        <f>'90146_2025'!H279</f>
        <v/>
      </c>
      <c r="I835" s="40">
        <f>'90146_2025'!I279</f>
        <v>0</v>
      </c>
      <c r="J835" s="143" t="s">
        <v>196</v>
      </c>
      <c r="K835" s="459" t="str">
        <f>'90146_2025'!K279</f>
        <v/>
      </c>
      <c r="L835" s="459" t="str">
        <f>'90146_2025'!L279</f>
        <v/>
      </c>
      <c r="M835" s="459" t="str">
        <f>'90146_2025'!M279</f>
        <v/>
      </c>
      <c r="N835" s="459" t="str">
        <f>'90146_2025'!N279</f>
        <v/>
      </c>
      <c r="O835" s="459" t="str">
        <f>'90146_2025'!O279</f>
        <v/>
      </c>
      <c r="P835" s="459" t="str">
        <f>'90146_2025'!P279</f>
        <v/>
      </c>
      <c r="Q835" s="63" t="str">
        <f>'90146_2025'!Q279</f>
        <v/>
      </c>
      <c r="R835" s="460"/>
    </row>
    <row r="836" hidden="1">
      <c r="A836" s="461" t="s">
        <v>1003</v>
      </c>
      <c r="B836" s="184">
        <v>31.0</v>
      </c>
      <c r="C836" s="180" t="s">
        <v>660</v>
      </c>
      <c r="D836" s="185" t="s">
        <v>495</v>
      </c>
      <c r="E836" s="55">
        <v>1.0</v>
      </c>
      <c r="F836" s="58">
        <v>0.0</v>
      </c>
      <c r="G836" s="67">
        <f>'90146_2025'!F280</f>
        <v>1</v>
      </c>
      <c r="H836" s="54" t="str">
        <f>'90146_2025'!H280</f>
        <v/>
      </c>
      <c r="I836" s="54">
        <f>'90146_2025'!I280</f>
        <v>0</v>
      </c>
      <c r="J836" s="141" t="s">
        <v>189</v>
      </c>
      <c r="K836" s="462" t="str">
        <f>'90146_2025'!K280</f>
        <v/>
      </c>
      <c r="L836" s="462" t="str">
        <f>'90146_2025'!L280</f>
        <v/>
      </c>
      <c r="M836" s="462" t="str">
        <f>'90146_2025'!M280</f>
        <v/>
      </c>
      <c r="N836" s="462" t="str">
        <f>'90146_2025'!N280</f>
        <v/>
      </c>
      <c r="O836" s="462" t="str">
        <f>'90146_2025'!O280</f>
        <v/>
      </c>
      <c r="P836" s="462" t="str">
        <f>'90146_2025'!P280</f>
        <v/>
      </c>
      <c r="Q836" s="70" t="str">
        <f>'90146_2025'!Q280</f>
        <v/>
      </c>
      <c r="R836" s="463"/>
    </row>
    <row r="837" hidden="1">
      <c r="A837" s="326" t="s">
        <v>1003</v>
      </c>
      <c r="B837" s="189">
        <v>31.0</v>
      </c>
      <c r="C837" s="176" t="s">
        <v>660</v>
      </c>
      <c r="D837" s="233" t="s">
        <v>495</v>
      </c>
      <c r="E837" s="64">
        <v>1.0</v>
      </c>
      <c r="F837" s="43">
        <v>0.0</v>
      </c>
      <c r="G837" s="56">
        <f>'90146_2025'!F281</f>
        <v>1</v>
      </c>
      <c r="H837" s="40" t="str">
        <f>'90146_2025'!H281</f>
        <v/>
      </c>
      <c r="I837" s="40">
        <f>'90146_2025'!I281</f>
        <v>0</v>
      </c>
      <c r="J837" s="143" t="s">
        <v>210</v>
      </c>
      <c r="K837" s="459" t="str">
        <f>'90146_2025'!K281</f>
        <v/>
      </c>
      <c r="L837" s="459" t="str">
        <f>'90146_2025'!L281</f>
        <v/>
      </c>
      <c r="M837" s="459" t="str">
        <f>'90146_2025'!M281</f>
        <v/>
      </c>
      <c r="N837" s="459" t="str">
        <f>'90146_2025'!N281</f>
        <v/>
      </c>
      <c r="O837" s="459" t="str">
        <f>'90146_2025'!O281</f>
        <v/>
      </c>
      <c r="P837" s="459" t="str">
        <f>'90146_2025'!P281</f>
        <v/>
      </c>
      <c r="Q837" s="63" t="str">
        <f>'90146_2025'!Q281</f>
        <v/>
      </c>
      <c r="R837" s="460"/>
    </row>
    <row r="838" hidden="1">
      <c r="A838" s="461" t="s">
        <v>1003</v>
      </c>
      <c r="B838" s="184">
        <v>31.0</v>
      </c>
      <c r="C838" s="180" t="s">
        <v>660</v>
      </c>
      <c r="D838" s="185" t="s">
        <v>495</v>
      </c>
      <c r="E838" s="55">
        <v>1.0</v>
      </c>
      <c r="F838" s="58">
        <v>0.0</v>
      </c>
      <c r="G838" s="67">
        <f>'90146_2025'!F282</f>
        <v>1</v>
      </c>
      <c r="H838" s="54" t="str">
        <f>'90146_2025'!H282</f>
        <v/>
      </c>
      <c r="I838" s="54">
        <f>'90146_2025'!I282</f>
        <v>0</v>
      </c>
      <c r="J838" s="141" t="s">
        <v>214</v>
      </c>
      <c r="K838" s="462" t="str">
        <f>'90146_2025'!K282</f>
        <v/>
      </c>
      <c r="L838" s="462" t="str">
        <f>'90146_2025'!L282</f>
        <v/>
      </c>
      <c r="M838" s="462" t="str">
        <f>'90146_2025'!M282</f>
        <v/>
      </c>
      <c r="N838" s="462" t="str">
        <f>'90146_2025'!N282</f>
        <v/>
      </c>
      <c r="O838" s="462" t="str">
        <f>'90146_2025'!O282</f>
        <v/>
      </c>
      <c r="P838" s="462" t="str">
        <f>'90146_2025'!P282</f>
        <v/>
      </c>
      <c r="Q838" s="70" t="str">
        <f>'90146_2025'!Q282</f>
        <v/>
      </c>
      <c r="R838" s="463"/>
    </row>
    <row r="839" hidden="1">
      <c r="A839" s="326" t="s">
        <v>1003</v>
      </c>
      <c r="B839" s="189">
        <v>31.0</v>
      </c>
      <c r="C839" s="176" t="s">
        <v>660</v>
      </c>
      <c r="D839" s="233" t="s">
        <v>495</v>
      </c>
      <c r="E839" s="64">
        <v>1.0</v>
      </c>
      <c r="F839" s="43">
        <v>0.0</v>
      </c>
      <c r="G839" s="56">
        <f>'90146_2025'!F283</f>
        <v>1</v>
      </c>
      <c r="H839" s="40" t="str">
        <f>'90146_2025'!H283</f>
        <v/>
      </c>
      <c r="I839" s="40">
        <f>'90146_2025'!I283</f>
        <v>0</v>
      </c>
      <c r="J839" s="143" t="s">
        <v>179</v>
      </c>
      <c r="K839" s="459" t="str">
        <f>'90146_2025'!K283</f>
        <v/>
      </c>
      <c r="L839" s="459" t="str">
        <f>'90146_2025'!L283</f>
        <v/>
      </c>
      <c r="M839" s="459" t="str">
        <f>'90146_2025'!M283</f>
        <v/>
      </c>
      <c r="N839" s="459" t="str">
        <f>'90146_2025'!N283</f>
        <v/>
      </c>
      <c r="O839" s="459" t="str">
        <f>'90146_2025'!O283</f>
        <v/>
      </c>
      <c r="P839" s="459" t="str">
        <f>'90146_2025'!P283</f>
        <v/>
      </c>
      <c r="Q839" s="63" t="str">
        <f>'90146_2025'!Q283</f>
        <v/>
      </c>
      <c r="R839" s="460"/>
    </row>
    <row r="840" hidden="1">
      <c r="A840" s="461" t="s">
        <v>1003</v>
      </c>
      <c r="B840" s="184">
        <v>31.0</v>
      </c>
      <c r="C840" s="180" t="s">
        <v>660</v>
      </c>
      <c r="D840" s="185" t="s">
        <v>495</v>
      </c>
      <c r="E840" s="55">
        <v>1.0</v>
      </c>
      <c r="F840" s="58">
        <v>0.0</v>
      </c>
      <c r="G840" s="67">
        <f>'90146_2025'!F284</f>
        <v>1</v>
      </c>
      <c r="H840" s="54" t="str">
        <f>'90146_2025'!H284</f>
        <v/>
      </c>
      <c r="I840" s="54">
        <f>'90146_2025'!I284</f>
        <v>0</v>
      </c>
      <c r="J840" s="141" t="s">
        <v>221</v>
      </c>
      <c r="K840" s="462" t="str">
        <f>'90146_2025'!K284</f>
        <v/>
      </c>
      <c r="L840" s="462" t="str">
        <f>'90146_2025'!L284</f>
        <v/>
      </c>
      <c r="M840" s="462" t="str">
        <f>'90146_2025'!M284</f>
        <v/>
      </c>
      <c r="N840" s="462" t="str">
        <f>'90146_2025'!N284</f>
        <v/>
      </c>
      <c r="O840" s="462" t="str">
        <f>'90146_2025'!O284</f>
        <v/>
      </c>
      <c r="P840" s="462" t="str">
        <f>'90146_2025'!P284</f>
        <v/>
      </c>
      <c r="Q840" s="70" t="str">
        <f>'90146_2025'!Q284</f>
        <v/>
      </c>
      <c r="R840" s="463"/>
    </row>
    <row r="841" hidden="1">
      <c r="A841" s="326" t="s">
        <v>1003</v>
      </c>
      <c r="B841" s="189">
        <v>31.0</v>
      </c>
      <c r="C841" s="176" t="s">
        <v>660</v>
      </c>
      <c r="D841" s="233" t="s">
        <v>495</v>
      </c>
      <c r="E841" s="64">
        <v>1.0</v>
      </c>
      <c r="F841" s="43">
        <v>0.0</v>
      </c>
      <c r="G841" s="56">
        <f>'90146_2025'!F285</f>
        <v>1</v>
      </c>
      <c r="H841" s="40" t="str">
        <f>'90146_2025'!H285</f>
        <v/>
      </c>
      <c r="I841" s="40">
        <f>'90146_2025'!I285</f>
        <v>0</v>
      </c>
      <c r="J841" s="64" t="s">
        <v>85</v>
      </c>
      <c r="K841" s="459" t="str">
        <f>'90146_2025'!K285</f>
        <v/>
      </c>
      <c r="L841" s="459" t="str">
        <f>'90146_2025'!L285</f>
        <v/>
      </c>
      <c r="M841" s="459" t="str">
        <f>'90146_2025'!M285</f>
        <v/>
      </c>
      <c r="N841" s="459" t="str">
        <f>'90146_2025'!N285</f>
        <v/>
      </c>
      <c r="O841" s="459" t="str">
        <f>'90146_2025'!O285</f>
        <v/>
      </c>
      <c r="P841" s="459" t="str">
        <f>'90146_2025'!P285</f>
        <v/>
      </c>
      <c r="Q841" s="63" t="str">
        <f>'90146_2025'!Q285</f>
        <v/>
      </c>
      <c r="R841" s="460"/>
    </row>
    <row r="842" hidden="1">
      <c r="A842" s="461" t="s">
        <v>1003</v>
      </c>
      <c r="B842" s="184">
        <v>31.0</v>
      </c>
      <c r="C842" s="180" t="s">
        <v>660</v>
      </c>
      <c r="D842" s="185" t="s">
        <v>495</v>
      </c>
      <c r="E842" s="55">
        <v>1.0</v>
      </c>
      <c r="F842" s="58">
        <v>0.0</v>
      </c>
      <c r="G842" s="67">
        <f>'90146_2025'!F286</f>
        <v>1</v>
      </c>
      <c r="H842" s="54" t="str">
        <f>'90146_2025'!H286</f>
        <v/>
      </c>
      <c r="I842" s="54">
        <f>'90146_2025'!I286</f>
        <v>0</v>
      </c>
      <c r="J842" s="55" t="s">
        <v>232</v>
      </c>
      <c r="K842" s="462" t="str">
        <f>'90146_2025'!K286</f>
        <v/>
      </c>
      <c r="L842" s="462" t="str">
        <f>'90146_2025'!L286</f>
        <v/>
      </c>
      <c r="M842" s="462" t="str">
        <f>'90146_2025'!M286</f>
        <v/>
      </c>
      <c r="N842" s="462" t="str">
        <f>'90146_2025'!N286</f>
        <v/>
      </c>
      <c r="O842" s="462" t="str">
        <f>'90146_2025'!O286</f>
        <v/>
      </c>
      <c r="P842" s="462" t="str">
        <f>'90146_2025'!P286</f>
        <v/>
      </c>
      <c r="Q842" s="70" t="str">
        <f>'90146_2025'!Q286</f>
        <v/>
      </c>
      <c r="R842" s="463"/>
    </row>
    <row r="843" hidden="1">
      <c r="A843" s="326" t="s">
        <v>1003</v>
      </c>
      <c r="B843" s="189">
        <v>31.0</v>
      </c>
      <c r="C843" s="176" t="s">
        <v>660</v>
      </c>
      <c r="D843" s="233" t="s">
        <v>495</v>
      </c>
      <c r="E843" s="64">
        <v>1.0</v>
      </c>
      <c r="F843" s="43">
        <v>0.0</v>
      </c>
      <c r="G843" s="56">
        <f>'90146_2025'!F287</f>
        <v>1</v>
      </c>
      <c r="H843" s="40" t="str">
        <f>'90146_2025'!H287</f>
        <v/>
      </c>
      <c r="I843" s="40">
        <f>'90146_2025'!I287</f>
        <v>0</v>
      </c>
      <c r="J843" s="143" t="s">
        <v>192</v>
      </c>
      <c r="K843" s="459" t="str">
        <f>'90146_2025'!K287</f>
        <v/>
      </c>
      <c r="L843" s="459" t="str">
        <f>'90146_2025'!L287</f>
        <v/>
      </c>
      <c r="M843" s="459" t="str">
        <f>'90146_2025'!M287</f>
        <v/>
      </c>
      <c r="N843" s="459" t="str">
        <f>'90146_2025'!N287</f>
        <v/>
      </c>
      <c r="O843" s="459" t="str">
        <f>'90146_2025'!O287</f>
        <v/>
      </c>
      <c r="P843" s="459" t="str">
        <f>'90146_2025'!P287</f>
        <v/>
      </c>
      <c r="Q843" s="63" t="str">
        <f>'90146_2025'!Q287</f>
        <v/>
      </c>
      <c r="R843" s="460"/>
    </row>
    <row r="844" hidden="1">
      <c r="A844" s="461" t="s">
        <v>1003</v>
      </c>
      <c r="B844" s="184">
        <v>32.0</v>
      </c>
      <c r="C844" s="184" t="s">
        <v>670</v>
      </c>
      <c r="D844" s="181" t="s">
        <v>671</v>
      </c>
      <c r="E844" s="55">
        <v>4.0</v>
      </c>
      <c r="F844" s="58">
        <v>0.0</v>
      </c>
      <c r="G844" s="67">
        <f>'90146_2025'!F288</f>
        <v>4</v>
      </c>
      <c r="H844" s="54" t="str">
        <f>'90146_2025'!H288</f>
        <v/>
      </c>
      <c r="I844" s="54">
        <f>'90146_2025'!I288</f>
        <v>0</v>
      </c>
      <c r="J844" s="55" t="s">
        <v>134</v>
      </c>
      <c r="K844" s="462" t="str">
        <f>'90146_2025'!K288</f>
        <v/>
      </c>
      <c r="L844" s="462" t="str">
        <f>'90146_2025'!L288</f>
        <v/>
      </c>
      <c r="M844" s="462" t="str">
        <f>'90146_2025'!M288</f>
        <v/>
      </c>
      <c r="N844" s="462" t="str">
        <f>'90146_2025'!N288</f>
        <v/>
      </c>
      <c r="O844" s="462" t="str">
        <f>'90146_2025'!O288</f>
        <v/>
      </c>
      <c r="P844" s="462" t="str">
        <f>'90146_2025'!P288</f>
        <v/>
      </c>
      <c r="Q844" s="70" t="str">
        <f>'90146_2025'!Q288</f>
        <v/>
      </c>
      <c r="R844" s="463"/>
    </row>
    <row r="845" hidden="1">
      <c r="A845" s="326" t="s">
        <v>1003</v>
      </c>
      <c r="B845" s="189">
        <v>32.0</v>
      </c>
      <c r="C845" s="189" t="s">
        <v>670</v>
      </c>
      <c r="D845" s="177" t="s">
        <v>671</v>
      </c>
      <c r="E845" s="64">
        <v>4.0</v>
      </c>
      <c r="F845" s="43">
        <v>0.0</v>
      </c>
      <c r="G845" s="56">
        <f>'90146_2025'!F289</f>
        <v>4</v>
      </c>
      <c r="H845" s="40" t="str">
        <f>'90146_2025'!H289</f>
        <v/>
      </c>
      <c r="I845" s="40">
        <f>'90146_2025'!I289</f>
        <v>0</v>
      </c>
      <c r="J845" s="64" t="s">
        <v>214</v>
      </c>
      <c r="K845" s="459" t="str">
        <f>'90146_2025'!K289</f>
        <v/>
      </c>
      <c r="L845" s="459" t="str">
        <f>'90146_2025'!L289</f>
        <v/>
      </c>
      <c r="M845" s="459" t="str">
        <f>'90146_2025'!M289</f>
        <v/>
      </c>
      <c r="N845" s="459" t="str">
        <f>'90146_2025'!N289</f>
        <v/>
      </c>
      <c r="O845" s="459" t="str">
        <f>'90146_2025'!O289</f>
        <v/>
      </c>
      <c r="P845" s="459" t="str">
        <f>'90146_2025'!P289</f>
        <v/>
      </c>
      <c r="Q845" s="63" t="str">
        <f>'90146_2025'!Q289</f>
        <v/>
      </c>
      <c r="R845" s="460"/>
    </row>
    <row r="846" hidden="1">
      <c r="A846" s="461" t="s">
        <v>1003</v>
      </c>
      <c r="B846" s="93">
        <v>33.0</v>
      </c>
      <c r="C846" s="93" t="s">
        <v>673</v>
      </c>
      <c r="D846" s="144" t="s">
        <v>459</v>
      </c>
      <c r="E846" s="55">
        <v>2.0</v>
      </c>
      <c r="F846" s="58">
        <v>0.0</v>
      </c>
      <c r="G846" s="67">
        <f>'90146_2025'!F290</f>
        <v>1</v>
      </c>
      <c r="H846" s="54">
        <f>'90146_2025'!H290</f>
        <v>349900</v>
      </c>
      <c r="I846" s="54">
        <f>'90146_2025'!I290</f>
        <v>699800</v>
      </c>
      <c r="J846" s="55" t="s">
        <v>160</v>
      </c>
      <c r="K846" s="462" t="str">
        <f>'90146_2025'!K290</f>
        <v>Volkswagen Truck &amp; bus
</v>
      </c>
      <c r="L846" s="462" t="str">
        <f>'90146_2025'!L290</f>
        <v>11.726.521/0001-47
</v>
      </c>
      <c r="M846" s="462" t="str">
        <f>'90146_2025'!M290</f>
        <v>TRANSRIO CAMINHOES, ONIBUS, MAQUINAS E MOTORES LTDA
</v>
      </c>
      <c r="N846" s="462" t="str">
        <f>'90146_2025'!N290</f>
        <v>(11) 2377-7000</v>
      </c>
      <c r="O846" s="462" t="str">
        <f>'90146_2025'!O290</f>
        <v>marcus.turner@hotmail.com / marcus.turner@transrio.com.br</v>
      </c>
      <c r="P846" s="462" t="str">
        <f>'90146_2025'!P290</f>
        <v/>
      </c>
      <c r="Q846" s="70">
        <f>'90146_2025'!Q290</f>
        <v>46318</v>
      </c>
      <c r="R846" s="463"/>
    </row>
    <row r="847" hidden="1">
      <c r="A847" s="326" t="s">
        <v>1003</v>
      </c>
      <c r="B847" s="80">
        <v>34.0</v>
      </c>
      <c r="C847" s="464" t="s">
        <v>680</v>
      </c>
      <c r="D847" s="254" t="s">
        <v>681</v>
      </c>
      <c r="E847" s="64">
        <v>1.0</v>
      </c>
      <c r="F847" s="43">
        <v>0.0</v>
      </c>
      <c r="G847" s="56">
        <f>'90146_2025'!F291</f>
        <v>0</v>
      </c>
      <c r="H847" s="40">
        <f>'90146_2025'!H291</f>
        <v>309700</v>
      </c>
      <c r="I847" s="40">
        <f>'90146_2025'!I291</f>
        <v>309700</v>
      </c>
      <c r="J847" s="64" t="s">
        <v>683</v>
      </c>
      <c r="K847" s="459" t="str">
        <f>'90146_2025'!K291</f>
        <v>Reboque Especial </v>
      </c>
      <c r="L847" s="459" t="str">
        <f>'90146_2025'!L291</f>
        <v>10.284.459/0002-07
</v>
      </c>
      <c r="M847" s="459" t="str">
        <f>'90146_2025'!M291</f>
        <v>MORUMBI INDUSTRIAL LTDA
</v>
      </c>
      <c r="N847" s="459" t="str">
        <f>'90146_2025'!N291</f>
        <v/>
      </c>
      <c r="O847" s="459" t="str">
        <f>'90146_2025'!O291</f>
        <v/>
      </c>
      <c r="P847" s="459" t="str">
        <f>'90146_2025'!P291</f>
        <v/>
      </c>
      <c r="Q847" s="63">
        <f>'90146_2025'!Q291</f>
        <v>46336</v>
      </c>
      <c r="R847" s="460"/>
    </row>
    <row r="848" hidden="1">
      <c r="A848" s="461" t="s">
        <v>1004</v>
      </c>
      <c r="B848" s="93">
        <v>1.0</v>
      </c>
      <c r="C848" s="49" t="s">
        <v>47</v>
      </c>
      <c r="D848" s="49" t="s">
        <v>49</v>
      </c>
      <c r="E848" s="55">
        <f>'90057_2026'!D3</f>
        <v>1</v>
      </c>
      <c r="F848" s="49">
        <f>'90057_2026'!E3</f>
        <v>0</v>
      </c>
      <c r="G848" s="67">
        <f>'90057_2026'!F3</f>
        <v>1</v>
      </c>
      <c r="H848" s="54"/>
      <c r="I848" s="54"/>
      <c r="J848" s="95" t="s">
        <v>58</v>
      </c>
      <c r="K848" s="52" t="str">
        <f>'90057_2026'!J3</f>
        <v>TOYOTA COROLLA XEI 2.0 FLEX AT (2062/2026)
</v>
      </c>
      <c r="L848" s="462" t="str">
        <f>'90057_2026'!L3</f>
        <v>38.428.119/0001-32
</v>
      </c>
      <c r="M848" s="462" t="str">
        <f>'90057_2026'!K3</f>
        <v>VCS IMPLEMENTOS E VEICULOS LTDA
</v>
      </c>
      <c r="N848" s="462" t="str">
        <f>'90057_2026'!M3</f>
        <v>(27) 3191-0855 / (27) 3191-0875</v>
      </c>
      <c r="O848" s="462" t="str">
        <f>'90057_2026'!N3</f>
        <v>licitacao@vcsimplementos.com</v>
      </c>
      <c r="P848" s="462" t="str">
        <f>'90057_2026'!O3</f>
        <v>755/2026</v>
      </c>
      <c r="Q848" s="70">
        <f>'90057_2026'!P3</f>
        <v>46591</v>
      </c>
      <c r="R848" s="463"/>
    </row>
    <row r="849" hidden="1">
      <c r="A849" s="326" t="s">
        <v>1004</v>
      </c>
      <c r="B849" s="80">
        <v>1.0</v>
      </c>
      <c r="C849" s="33" t="s">
        <v>47</v>
      </c>
      <c r="D849" s="33" t="s">
        <v>49</v>
      </c>
      <c r="E849" s="64">
        <f>'90057_2026'!D4</f>
        <v>1</v>
      </c>
      <c r="F849" s="33">
        <f>'90057_2026'!E4</f>
        <v>0</v>
      </c>
      <c r="G849" s="56">
        <f>'90057_2026'!F4</f>
        <v>1</v>
      </c>
      <c r="H849" s="40"/>
      <c r="I849" s="40"/>
      <c r="J849" s="68" t="s">
        <v>96</v>
      </c>
      <c r="K849" s="35" t="str">
        <f>'90057_2026'!J4</f>
        <v>TOYOTA COROLLA XEI 2.0 FLEX AT (2062/2026)
</v>
      </c>
      <c r="L849" s="459" t="str">
        <f>'90057_2026'!L4</f>
        <v>38.428.119/0001-32
</v>
      </c>
      <c r="M849" s="459" t="str">
        <f>'90057_2026'!K4</f>
        <v>VCS IMPLEMENTOS E VEICULOS LTDA
</v>
      </c>
      <c r="N849" s="459" t="str">
        <f>'90057_2026'!M4</f>
        <v>(27) 3191-0855 / (27) 3191-0875</v>
      </c>
      <c r="O849" s="459" t="str">
        <f>'90057_2026'!N4</f>
        <v>licitacao@vcsimplementos.com</v>
      </c>
      <c r="P849" s="459" t="str">
        <f>'90057_2026'!O4</f>
        <v>755/2026</v>
      </c>
      <c r="Q849" s="63">
        <f>'90057_2026'!P4</f>
        <v>46591</v>
      </c>
      <c r="R849" s="460"/>
    </row>
    <row r="850" hidden="1">
      <c r="A850" s="461" t="s">
        <v>1004</v>
      </c>
      <c r="B850" s="93">
        <v>1.0</v>
      </c>
      <c r="C850" s="49" t="s">
        <v>47</v>
      </c>
      <c r="D850" s="49" t="s">
        <v>49</v>
      </c>
      <c r="E850" s="55">
        <f>'90057_2026'!D5</f>
        <v>1</v>
      </c>
      <c r="F850" s="58">
        <f>'90057_2026'!E5</f>
        <v>0</v>
      </c>
      <c r="G850" s="67">
        <f>'90057_2026'!F5</f>
        <v>1</v>
      </c>
      <c r="H850" s="54"/>
      <c r="I850" s="54"/>
      <c r="J850" s="62" t="s">
        <v>113</v>
      </c>
      <c r="K850" s="52" t="str">
        <f>'90057_2026'!J5</f>
        <v>TOYOTA COROLLA XEI 2.0 FLEX AT (2062/2026)
</v>
      </c>
      <c r="L850" s="462" t="str">
        <f>'90057_2026'!L5</f>
        <v>38.428.119/0001-32
</v>
      </c>
      <c r="M850" s="462" t="str">
        <f>'90057_2026'!K5</f>
        <v>VCS IMPLEMENTOS E VEICULOS LTDA
</v>
      </c>
      <c r="N850" s="462" t="str">
        <f>'90057_2026'!M5</f>
        <v>(27) 3191-0855 / (27) 3191-0875</v>
      </c>
      <c r="O850" s="462" t="str">
        <f>'90057_2026'!N5</f>
        <v>licitacao@vcsimplementos.com</v>
      </c>
      <c r="P850" s="462" t="str">
        <f>'90057_2026'!O5</f>
        <v>755/2026</v>
      </c>
      <c r="Q850" s="70">
        <f>'90057_2026'!P5</f>
        <v>46591</v>
      </c>
      <c r="R850" s="463"/>
    </row>
    <row r="851" hidden="1">
      <c r="A851" s="326" t="s">
        <v>1004</v>
      </c>
      <c r="B851" s="80">
        <v>1.0</v>
      </c>
      <c r="C851" s="33" t="s">
        <v>47</v>
      </c>
      <c r="D851" s="33" t="s">
        <v>49</v>
      </c>
      <c r="E851" s="64">
        <f>'90057_2026'!D6</f>
        <v>1</v>
      </c>
      <c r="F851" s="43">
        <f>'90057_2026'!E6</f>
        <v>0</v>
      </c>
      <c r="G851" s="56">
        <f>'90057_2026'!F6</f>
        <v>1</v>
      </c>
      <c r="H851" s="40"/>
      <c r="I851" s="40"/>
      <c r="J851" s="68" t="s">
        <v>134</v>
      </c>
      <c r="K851" s="35" t="str">
        <f>'90057_2026'!J6</f>
        <v>TOYOTA COROLLA XEI 2.0 FLEX AT (2062/2026)
</v>
      </c>
      <c r="L851" s="459" t="str">
        <f>'90057_2026'!L6</f>
        <v>38.428.119/0001-32
</v>
      </c>
      <c r="M851" s="459" t="str">
        <f>'90057_2026'!K6</f>
        <v>VCS IMPLEMENTOS E VEICULOS LTDA
</v>
      </c>
      <c r="N851" s="459" t="str">
        <f>'90057_2026'!M6</f>
        <v>(27) 3191-0855 / (27) 3191-0875</v>
      </c>
      <c r="O851" s="459" t="str">
        <f>'90057_2026'!N6</f>
        <v>licitacao@vcsimplementos.com</v>
      </c>
      <c r="P851" s="459" t="str">
        <f>'90057_2026'!O6</f>
        <v>755/2026</v>
      </c>
      <c r="Q851" s="63">
        <f>'90057_2026'!P6</f>
        <v>46591</v>
      </c>
      <c r="R851" s="460"/>
    </row>
    <row r="852" hidden="1">
      <c r="A852" s="461" t="s">
        <v>1004</v>
      </c>
      <c r="B852" s="93">
        <v>1.0</v>
      </c>
      <c r="C852" s="49" t="s">
        <v>47</v>
      </c>
      <c r="D852" s="49" t="s">
        <v>49</v>
      </c>
      <c r="E852" s="55">
        <f>'90057_2026'!D7</f>
        <v>1</v>
      </c>
      <c r="F852" s="49">
        <f>'90057_2026'!E7</f>
        <v>0</v>
      </c>
      <c r="G852" s="67">
        <f>'90057_2026'!F7</f>
        <v>1</v>
      </c>
      <c r="H852" s="54"/>
      <c r="I852" s="54"/>
      <c r="J852" s="62" t="s">
        <v>142</v>
      </c>
      <c r="K852" s="52" t="str">
        <f>'90057_2026'!J7</f>
        <v>TOYOTA COROLLA XEI 2.0 FLEX AT (2062/2026)
</v>
      </c>
      <c r="L852" s="462" t="str">
        <f>'90057_2026'!L7</f>
        <v>38.428.119/0001-32
</v>
      </c>
      <c r="M852" s="462" t="str">
        <f>'90057_2026'!K7</f>
        <v>VCS IMPLEMENTOS E VEICULOS LTDA
</v>
      </c>
      <c r="N852" s="462" t="str">
        <f>'90057_2026'!M7</f>
        <v>(27) 3191-0855 / (27) 3191-0875</v>
      </c>
      <c r="O852" s="462" t="str">
        <f>'90057_2026'!N7</f>
        <v>licitacao@vcsimplementos.com</v>
      </c>
      <c r="P852" s="462" t="str">
        <f>'90057_2026'!O7</f>
        <v>755/2026</v>
      </c>
      <c r="Q852" s="70">
        <f>'90057_2026'!P7</f>
        <v>46591</v>
      </c>
      <c r="R852" s="463"/>
    </row>
    <row r="853" hidden="1">
      <c r="A853" s="326" t="s">
        <v>1004</v>
      </c>
      <c r="B853" s="80">
        <v>1.0</v>
      </c>
      <c r="C853" s="33" t="s">
        <v>47</v>
      </c>
      <c r="D853" s="33" t="s">
        <v>49</v>
      </c>
      <c r="E853" s="64">
        <f>'90057_2026'!D8</f>
        <v>1</v>
      </c>
      <c r="F853" s="43">
        <f>'90057_2026'!E8</f>
        <v>0</v>
      </c>
      <c r="G853" s="56">
        <f>'90057_2026'!F8</f>
        <v>1</v>
      </c>
      <c r="H853" s="40"/>
      <c r="I853" s="40"/>
      <c r="J853" s="68" t="s">
        <v>161</v>
      </c>
      <c r="K853" s="35" t="str">
        <f>'90057_2026'!J8</f>
        <v>TOYOTA COROLLA XEI 2.0 FLEX AT (2062/2026)
</v>
      </c>
      <c r="L853" s="459" t="str">
        <f>'90057_2026'!L8</f>
        <v>38.428.119/0001-32
</v>
      </c>
      <c r="M853" s="459" t="str">
        <f>'90057_2026'!K8</f>
        <v>VCS IMPLEMENTOS E VEICULOS LTDA
</v>
      </c>
      <c r="N853" s="459" t="str">
        <f>'90057_2026'!M8</f>
        <v>(27) 3191-0855 / (27) 3191-0875</v>
      </c>
      <c r="O853" s="459" t="str">
        <f>'90057_2026'!N8</f>
        <v>licitacao@vcsimplementos.com</v>
      </c>
      <c r="P853" s="459" t="str">
        <f>'90057_2026'!O8</f>
        <v>755/2026</v>
      </c>
      <c r="Q853" s="63">
        <f>'90057_2026'!P8</f>
        <v>46591</v>
      </c>
      <c r="R853" s="460"/>
    </row>
    <row r="854" hidden="1">
      <c r="A854" s="461" t="s">
        <v>1004</v>
      </c>
      <c r="B854" s="93">
        <v>1.0</v>
      </c>
      <c r="C854" s="49" t="s">
        <v>47</v>
      </c>
      <c r="D854" s="49" t="s">
        <v>49</v>
      </c>
      <c r="E854" s="55">
        <f>'90057_2026'!D9</f>
        <v>1</v>
      </c>
      <c r="F854" s="58">
        <f>'90057_2026'!E9</f>
        <v>0</v>
      </c>
      <c r="G854" s="67">
        <f>'90057_2026'!F9</f>
        <v>1</v>
      </c>
      <c r="H854" s="54"/>
      <c r="I854" s="54"/>
      <c r="J854" s="62" t="s">
        <v>175</v>
      </c>
      <c r="K854" s="52" t="str">
        <f>'90057_2026'!J9</f>
        <v>TOYOTA COROLLA XEI 2.0 FLEX AT (2062/2026)
</v>
      </c>
      <c r="L854" s="462" t="str">
        <f>'90057_2026'!L9</f>
        <v>38.428.119/0001-32
</v>
      </c>
      <c r="M854" s="462" t="str">
        <f>'90057_2026'!K9</f>
        <v>VCS IMPLEMENTOS E VEICULOS LTDA
</v>
      </c>
      <c r="N854" s="462" t="str">
        <f>'90057_2026'!M9</f>
        <v>(27) 3191-0855 / (27) 3191-0875</v>
      </c>
      <c r="O854" s="462" t="str">
        <f>'90057_2026'!N9</f>
        <v>licitacao@vcsimplementos.com</v>
      </c>
      <c r="P854" s="462" t="str">
        <f>'90057_2026'!O9</f>
        <v>755/2026</v>
      </c>
      <c r="Q854" s="70">
        <f>'90057_2026'!P9</f>
        <v>46591</v>
      </c>
      <c r="R854" s="463"/>
    </row>
    <row r="855" hidden="1">
      <c r="A855" s="326" t="s">
        <v>1004</v>
      </c>
      <c r="B855" s="80">
        <v>1.0</v>
      </c>
      <c r="C855" s="33" t="s">
        <v>47</v>
      </c>
      <c r="D855" s="33" t="s">
        <v>49</v>
      </c>
      <c r="E855" s="64">
        <f>'90057_2026'!D10</f>
        <v>1</v>
      </c>
      <c r="F855" s="33">
        <f>'90057_2026'!E10</f>
        <v>0</v>
      </c>
      <c r="G855" s="56">
        <f>'90057_2026'!F10</f>
        <v>1</v>
      </c>
      <c r="H855" s="40"/>
      <c r="I855" s="40"/>
      <c r="J855" s="68" t="s">
        <v>188</v>
      </c>
      <c r="K855" s="35" t="str">
        <f>'90057_2026'!J10</f>
        <v>TOYOTA COROLLA XEI 2.0 FLEX AT (2062/2026)
</v>
      </c>
      <c r="L855" s="459" t="str">
        <f>'90057_2026'!L10</f>
        <v>38.428.119/0001-32
</v>
      </c>
      <c r="M855" s="459" t="str">
        <f>'90057_2026'!K10</f>
        <v>VCS IMPLEMENTOS E VEICULOS LTDA
</v>
      </c>
      <c r="N855" s="459" t="str">
        <f>'90057_2026'!M10</f>
        <v>(27) 3191-0855 / (27) 3191-0875</v>
      </c>
      <c r="O855" s="459" t="str">
        <f>'90057_2026'!N10</f>
        <v>licitacao@vcsimplementos.com</v>
      </c>
      <c r="P855" s="459" t="str">
        <f>'90057_2026'!O10</f>
        <v>755/2026</v>
      </c>
      <c r="Q855" s="63">
        <f>'90057_2026'!P10</f>
        <v>46591</v>
      </c>
      <c r="R855" s="460"/>
    </row>
    <row r="856" hidden="1">
      <c r="A856" s="461" t="s">
        <v>1004</v>
      </c>
      <c r="B856" s="93">
        <v>1.0</v>
      </c>
      <c r="C856" s="49" t="s">
        <v>47</v>
      </c>
      <c r="D856" s="49" t="s">
        <v>49</v>
      </c>
      <c r="E856" s="55">
        <f>'90057_2026'!D11</f>
        <v>1</v>
      </c>
      <c r="F856" s="58">
        <f>'90057_2026'!E11</f>
        <v>0</v>
      </c>
      <c r="G856" s="67">
        <f>'90057_2026'!F11</f>
        <v>1</v>
      </c>
      <c r="H856" s="54"/>
      <c r="I856" s="54"/>
      <c r="J856" s="62" t="s">
        <v>160</v>
      </c>
      <c r="K856" s="52" t="str">
        <f>'90057_2026'!J11</f>
        <v>TOYOTA COROLLA XEI 2.0 FLEX AT (2062/2026)
</v>
      </c>
      <c r="L856" s="462" t="str">
        <f>'90057_2026'!L11</f>
        <v>38.428.119/0001-32
</v>
      </c>
      <c r="M856" s="462" t="str">
        <f>'90057_2026'!K11</f>
        <v>VCS IMPLEMENTOS E VEICULOS LTDA
</v>
      </c>
      <c r="N856" s="462" t="str">
        <f>'90057_2026'!M11</f>
        <v>(27) 3191-0855 / (27) 3191-0875</v>
      </c>
      <c r="O856" s="462" t="str">
        <f>'90057_2026'!N11</f>
        <v>licitacao@vcsimplementos.com</v>
      </c>
      <c r="P856" s="462" t="str">
        <f>'90057_2026'!O11</f>
        <v>755/2026</v>
      </c>
      <c r="Q856" s="70">
        <f>'90057_2026'!P11</f>
        <v>46591</v>
      </c>
      <c r="R856" s="463"/>
    </row>
    <row r="857" hidden="1">
      <c r="A857" s="326" t="s">
        <v>1004</v>
      </c>
      <c r="B857" s="80">
        <v>1.0</v>
      </c>
      <c r="C857" s="33" t="s">
        <v>47</v>
      </c>
      <c r="D857" s="33" t="s">
        <v>49</v>
      </c>
      <c r="E857" s="64">
        <f>'90057_2026'!D12</f>
        <v>1</v>
      </c>
      <c r="F857" s="43">
        <f>'90057_2026'!E12</f>
        <v>0</v>
      </c>
      <c r="G857" s="56">
        <f>'90057_2026'!F12</f>
        <v>1</v>
      </c>
      <c r="H857" s="40"/>
      <c r="I857" s="40"/>
      <c r="J857" s="68" t="s">
        <v>196</v>
      </c>
      <c r="K857" s="35" t="str">
        <f>'90057_2026'!J12</f>
        <v>TOYOTA COROLLA XEI 2.0 FLEX AT (2062/2026)
</v>
      </c>
      <c r="L857" s="459" t="str">
        <f>'90057_2026'!L12</f>
        <v>38.428.119/0001-32
</v>
      </c>
      <c r="M857" s="459" t="str">
        <f>'90057_2026'!K12</f>
        <v>VCS IMPLEMENTOS E VEICULOS LTDA
</v>
      </c>
      <c r="N857" s="459" t="str">
        <f>'90057_2026'!M12</f>
        <v>(27) 3191-0855 / (27) 3191-0875</v>
      </c>
      <c r="O857" s="459" t="str">
        <f>'90057_2026'!N12</f>
        <v>licitacao@vcsimplementos.com</v>
      </c>
      <c r="P857" s="459" t="str">
        <f>'90057_2026'!O12</f>
        <v>755/2026</v>
      </c>
      <c r="Q857" s="63">
        <f>'90057_2026'!P12</f>
        <v>46591</v>
      </c>
      <c r="R857" s="460"/>
    </row>
    <row r="858" hidden="1">
      <c r="A858" s="461" t="s">
        <v>1004</v>
      </c>
      <c r="B858" s="93">
        <v>1.0</v>
      </c>
      <c r="C858" s="49" t="s">
        <v>47</v>
      </c>
      <c r="D858" s="49" t="s">
        <v>49</v>
      </c>
      <c r="E858" s="55">
        <f>'90057_2026'!D13</f>
        <v>10</v>
      </c>
      <c r="F858" s="58">
        <f>'90057_2026'!E13</f>
        <v>0</v>
      </c>
      <c r="G858" s="67">
        <f>'90057_2026'!F13</f>
        <v>10</v>
      </c>
      <c r="H858" s="54"/>
      <c r="I858" s="54"/>
      <c r="J858" s="62" t="s">
        <v>201</v>
      </c>
      <c r="K858" s="52" t="str">
        <f>'90057_2026'!J13</f>
        <v>TOYOTA COROLLA XEI 2.0 FLEX AT (2062/2026)
</v>
      </c>
      <c r="L858" s="462" t="str">
        <f>'90057_2026'!L13</f>
        <v>38.428.119/0001-32
</v>
      </c>
      <c r="M858" s="462" t="str">
        <f>'90057_2026'!K13</f>
        <v>VCS IMPLEMENTOS E VEICULOS LTDA
</v>
      </c>
      <c r="N858" s="462" t="str">
        <f>'90057_2026'!M13</f>
        <v>(27) 3191-0855 / (27) 3191-0875</v>
      </c>
      <c r="O858" s="462" t="str">
        <f>'90057_2026'!N13</f>
        <v>licitacao@vcsimplementos.com</v>
      </c>
      <c r="P858" s="462" t="str">
        <f>'90057_2026'!O13</f>
        <v>755/2026</v>
      </c>
      <c r="Q858" s="70">
        <f>'90057_2026'!P13</f>
        <v>46591</v>
      </c>
      <c r="R858" s="463"/>
    </row>
    <row r="859" hidden="1">
      <c r="A859" s="326" t="s">
        <v>1004</v>
      </c>
      <c r="B859" s="80">
        <v>1.0</v>
      </c>
      <c r="C859" s="33" t="s">
        <v>47</v>
      </c>
      <c r="D859" s="33" t="s">
        <v>49</v>
      </c>
      <c r="E859" s="64">
        <f>'90057_2026'!D14</f>
        <v>3</v>
      </c>
      <c r="F859" s="43">
        <f>'90057_2026'!E14</f>
        <v>0</v>
      </c>
      <c r="G859" s="56">
        <f>'90057_2026'!F14</f>
        <v>3</v>
      </c>
      <c r="H859" s="40"/>
      <c r="I859" s="40"/>
      <c r="J859" s="68" t="s">
        <v>199</v>
      </c>
      <c r="K859" s="35" t="str">
        <f>'90057_2026'!J14</f>
        <v>TOYOTA COROLLA XEI 2.0 FLEX AT (2062/2026)
</v>
      </c>
      <c r="L859" s="459" t="str">
        <f>'90057_2026'!L14</f>
        <v>38.428.119/0001-32
</v>
      </c>
      <c r="M859" s="459" t="str">
        <f>'90057_2026'!K14</f>
        <v>VCS IMPLEMENTOS E VEICULOS LTDA
</v>
      </c>
      <c r="N859" s="459" t="str">
        <f>'90057_2026'!M14</f>
        <v>(27) 3191-0855 / (27) 3191-0875</v>
      </c>
      <c r="O859" s="459" t="str">
        <f>'90057_2026'!N14</f>
        <v>licitacao@vcsimplementos.com</v>
      </c>
      <c r="P859" s="459" t="str">
        <f>'90057_2026'!O14</f>
        <v>755/2026</v>
      </c>
      <c r="Q859" s="63">
        <f>'90057_2026'!P14</f>
        <v>46591</v>
      </c>
      <c r="R859" s="460"/>
    </row>
    <row r="860" hidden="1">
      <c r="A860" s="461" t="s">
        <v>1004</v>
      </c>
      <c r="B860" s="93">
        <v>1.0</v>
      </c>
      <c r="C860" s="49" t="s">
        <v>47</v>
      </c>
      <c r="D860" s="49" t="s">
        <v>49</v>
      </c>
      <c r="E860" s="55">
        <f>'90057_2026'!D15</f>
        <v>7</v>
      </c>
      <c r="F860" s="49">
        <f>'90057_2026'!E15</f>
        <v>0</v>
      </c>
      <c r="G860" s="67">
        <f>'90057_2026'!F15</f>
        <v>7</v>
      </c>
      <c r="H860" s="54"/>
      <c r="I860" s="54"/>
      <c r="J860" s="62" t="s">
        <v>214</v>
      </c>
      <c r="K860" s="52" t="str">
        <f>'90057_2026'!J15</f>
        <v>TOYOTA COROLLA XEI 2.0 FLEX AT (2062/2026)
</v>
      </c>
      <c r="L860" s="462" t="str">
        <f>'90057_2026'!L15</f>
        <v>38.428.119/0001-32
</v>
      </c>
      <c r="M860" s="462" t="str">
        <f>'90057_2026'!K15</f>
        <v>VCS IMPLEMENTOS E VEICULOS LTDA
</v>
      </c>
      <c r="N860" s="462" t="str">
        <f>'90057_2026'!M15</f>
        <v>(27) 3191-0855 / (27) 3191-0875</v>
      </c>
      <c r="O860" s="462" t="str">
        <f>'90057_2026'!N15</f>
        <v>licitacao@vcsimplementos.com</v>
      </c>
      <c r="P860" s="462" t="str">
        <f>'90057_2026'!O15</f>
        <v>755/2026</v>
      </c>
      <c r="Q860" s="70">
        <f>'90057_2026'!P15</f>
        <v>46591</v>
      </c>
      <c r="R860" s="463"/>
    </row>
    <row r="861" hidden="1">
      <c r="G861" s="465"/>
      <c r="H861" s="466"/>
      <c r="I861" s="466"/>
      <c r="Q861" s="467"/>
    </row>
    <row r="862" hidden="1">
      <c r="G862" s="465"/>
      <c r="H862" s="466"/>
      <c r="I862" s="466"/>
      <c r="Q862" s="467"/>
    </row>
    <row r="863" hidden="1">
      <c r="G863" s="465"/>
      <c r="H863" s="466"/>
      <c r="I863" s="466"/>
      <c r="Q863" s="467"/>
    </row>
    <row r="864" hidden="1">
      <c r="G864" s="465"/>
      <c r="H864" s="466"/>
      <c r="I864" s="466"/>
      <c r="Q864" s="467"/>
    </row>
    <row r="865" hidden="1">
      <c r="G865" s="465"/>
      <c r="H865" s="466"/>
      <c r="I865" s="466"/>
      <c r="Q865" s="467"/>
    </row>
    <row r="866" hidden="1">
      <c r="G866" s="465"/>
      <c r="H866" s="466"/>
      <c r="I866" s="466"/>
      <c r="Q866" s="467"/>
    </row>
    <row r="867" hidden="1">
      <c r="G867" s="465"/>
      <c r="H867" s="466"/>
      <c r="I867" s="466"/>
      <c r="Q867" s="467"/>
    </row>
    <row r="868" hidden="1">
      <c r="G868" s="465"/>
      <c r="H868" s="466"/>
      <c r="I868" s="466"/>
      <c r="Q868" s="467"/>
    </row>
    <row r="869" hidden="1">
      <c r="G869" s="465"/>
      <c r="H869" s="466"/>
      <c r="I869" s="466"/>
      <c r="Q869" s="467"/>
    </row>
    <row r="870" hidden="1">
      <c r="G870" s="465"/>
      <c r="H870" s="466"/>
      <c r="I870" s="466"/>
      <c r="Q870" s="467"/>
    </row>
    <row r="871" hidden="1">
      <c r="G871" s="465"/>
      <c r="H871" s="466"/>
      <c r="I871" s="466"/>
      <c r="Q871" s="467"/>
    </row>
    <row r="872" hidden="1">
      <c r="G872" s="465"/>
      <c r="H872" s="466"/>
      <c r="I872" s="466"/>
      <c r="Q872" s="467"/>
    </row>
    <row r="873" hidden="1">
      <c r="G873" s="465"/>
      <c r="H873" s="466"/>
      <c r="I873" s="466"/>
      <c r="Q873" s="467"/>
    </row>
    <row r="874" hidden="1">
      <c r="G874" s="465"/>
      <c r="H874" s="466"/>
      <c r="I874" s="466"/>
      <c r="Q874" s="467"/>
    </row>
    <row r="875" hidden="1">
      <c r="G875" s="465"/>
      <c r="H875" s="466"/>
      <c r="I875" s="466"/>
      <c r="Q875" s="467"/>
    </row>
    <row r="876" hidden="1">
      <c r="G876" s="465"/>
      <c r="H876" s="466"/>
      <c r="I876" s="466"/>
      <c r="Q876" s="467"/>
    </row>
    <row r="877" hidden="1">
      <c r="G877" s="465"/>
      <c r="H877" s="466"/>
      <c r="I877" s="466"/>
      <c r="Q877" s="467"/>
    </row>
    <row r="878" hidden="1">
      <c r="G878" s="465"/>
      <c r="H878" s="466"/>
      <c r="I878" s="466"/>
      <c r="Q878" s="467"/>
    </row>
    <row r="879" hidden="1">
      <c r="G879" s="465"/>
      <c r="H879" s="466"/>
      <c r="I879" s="466"/>
      <c r="Q879" s="467"/>
    </row>
    <row r="880" hidden="1">
      <c r="G880" s="465"/>
      <c r="H880" s="466"/>
      <c r="I880" s="466"/>
      <c r="Q880" s="467"/>
    </row>
    <row r="881" hidden="1">
      <c r="G881" s="465"/>
      <c r="H881" s="466"/>
      <c r="I881" s="466"/>
      <c r="Q881" s="467"/>
    </row>
    <row r="882" hidden="1">
      <c r="G882" s="465"/>
      <c r="H882" s="466"/>
      <c r="I882" s="466"/>
      <c r="Q882" s="467"/>
    </row>
    <row r="883" hidden="1">
      <c r="G883" s="465"/>
      <c r="H883" s="466"/>
      <c r="I883" s="466"/>
      <c r="Q883" s="467"/>
    </row>
    <row r="884" hidden="1">
      <c r="G884" s="465"/>
      <c r="H884" s="466"/>
      <c r="I884" s="466"/>
      <c r="Q884" s="467"/>
    </row>
    <row r="885" hidden="1">
      <c r="G885" s="465"/>
      <c r="H885" s="466"/>
      <c r="I885" s="466"/>
      <c r="Q885" s="467"/>
    </row>
    <row r="886" hidden="1">
      <c r="G886" s="465"/>
      <c r="H886" s="466"/>
      <c r="I886" s="466"/>
      <c r="Q886" s="467"/>
    </row>
    <row r="887" hidden="1">
      <c r="G887" s="465"/>
      <c r="H887" s="466"/>
      <c r="I887" s="466"/>
      <c r="Q887" s="467"/>
    </row>
    <row r="888" hidden="1">
      <c r="G888" s="465"/>
      <c r="H888" s="466"/>
      <c r="I888" s="466"/>
      <c r="Q888" s="467"/>
    </row>
    <row r="889" hidden="1">
      <c r="G889" s="465"/>
      <c r="H889" s="466"/>
      <c r="I889" s="466"/>
      <c r="Q889" s="467"/>
    </row>
    <row r="890" hidden="1">
      <c r="G890" s="465"/>
      <c r="H890" s="466"/>
      <c r="I890" s="466"/>
      <c r="Q890" s="467"/>
    </row>
    <row r="891" hidden="1">
      <c r="G891" s="465"/>
      <c r="H891" s="466"/>
      <c r="I891" s="466"/>
      <c r="Q891" s="467"/>
    </row>
    <row r="892" hidden="1">
      <c r="G892" s="465"/>
      <c r="H892" s="466"/>
      <c r="I892" s="466"/>
      <c r="Q892" s="467"/>
    </row>
    <row r="893" hidden="1">
      <c r="G893" s="465"/>
      <c r="H893" s="466"/>
      <c r="I893" s="466"/>
      <c r="Q893" s="467"/>
    </row>
    <row r="894" hidden="1">
      <c r="G894" s="465"/>
      <c r="H894" s="466"/>
      <c r="I894" s="466"/>
      <c r="Q894" s="467"/>
    </row>
    <row r="895" hidden="1">
      <c r="G895" s="465"/>
      <c r="H895" s="466"/>
      <c r="I895" s="466"/>
      <c r="Q895" s="467"/>
    </row>
    <row r="896" hidden="1">
      <c r="G896" s="465"/>
      <c r="H896" s="466"/>
      <c r="I896" s="466"/>
      <c r="Q896" s="467"/>
    </row>
    <row r="897" hidden="1">
      <c r="G897" s="465"/>
      <c r="H897" s="466"/>
      <c r="I897" s="466"/>
      <c r="Q897" s="467"/>
    </row>
    <row r="898" hidden="1">
      <c r="G898" s="465"/>
      <c r="H898" s="466"/>
      <c r="I898" s="466"/>
      <c r="Q898" s="467"/>
    </row>
    <row r="899" hidden="1">
      <c r="G899" s="465"/>
      <c r="H899" s="466"/>
      <c r="I899" s="466"/>
      <c r="Q899" s="467"/>
    </row>
    <row r="900" hidden="1">
      <c r="G900" s="465"/>
      <c r="H900" s="466"/>
      <c r="I900" s="466"/>
      <c r="Q900" s="467"/>
    </row>
    <row r="901" hidden="1">
      <c r="G901" s="465"/>
      <c r="H901" s="466"/>
      <c r="I901" s="466"/>
      <c r="Q901" s="467"/>
    </row>
    <row r="902" hidden="1">
      <c r="G902" s="465"/>
      <c r="H902" s="466"/>
      <c r="I902" s="466"/>
      <c r="Q902" s="467"/>
    </row>
    <row r="903" hidden="1">
      <c r="G903" s="465"/>
      <c r="H903" s="466"/>
      <c r="I903" s="466"/>
      <c r="Q903" s="467"/>
    </row>
    <row r="904" hidden="1">
      <c r="G904" s="465"/>
      <c r="H904" s="466"/>
      <c r="I904" s="466"/>
      <c r="Q904" s="467"/>
    </row>
    <row r="905" hidden="1">
      <c r="G905" s="465"/>
      <c r="H905" s="466"/>
      <c r="I905" s="466"/>
      <c r="Q905" s="467"/>
    </row>
    <row r="906" hidden="1">
      <c r="G906" s="465"/>
      <c r="H906" s="466"/>
      <c r="I906" s="466"/>
      <c r="Q906" s="467"/>
    </row>
    <row r="907" hidden="1">
      <c r="G907" s="465"/>
      <c r="H907" s="466"/>
      <c r="I907" s="466"/>
      <c r="Q907" s="467"/>
    </row>
    <row r="908" hidden="1">
      <c r="G908" s="465"/>
      <c r="H908" s="466"/>
      <c r="I908" s="466"/>
      <c r="Q908" s="467"/>
    </row>
    <row r="909" hidden="1">
      <c r="G909" s="465"/>
      <c r="H909" s="466"/>
      <c r="I909" s="466"/>
      <c r="Q909" s="467"/>
    </row>
    <row r="910" hidden="1">
      <c r="G910" s="465"/>
      <c r="H910" s="466"/>
      <c r="I910" s="466"/>
      <c r="Q910" s="467"/>
    </row>
    <row r="911" hidden="1">
      <c r="G911" s="465"/>
      <c r="H911" s="466"/>
      <c r="I911" s="466"/>
      <c r="Q911" s="467"/>
    </row>
    <row r="912" hidden="1">
      <c r="G912" s="465"/>
      <c r="H912" s="466"/>
      <c r="I912" s="466"/>
      <c r="Q912" s="467"/>
    </row>
    <row r="913" hidden="1">
      <c r="G913" s="465"/>
      <c r="H913" s="466"/>
      <c r="I913" s="466"/>
      <c r="Q913" s="467"/>
    </row>
    <row r="914" hidden="1">
      <c r="G914" s="465"/>
      <c r="H914" s="466"/>
      <c r="I914" s="466"/>
      <c r="Q914" s="467"/>
    </row>
    <row r="915" hidden="1">
      <c r="G915" s="465"/>
      <c r="H915" s="466"/>
      <c r="I915" s="466"/>
      <c r="Q915" s="467"/>
    </row>
    <row r="916" hidden="1">
      <c r="G916" s="465"/>
      <c r="H916" s="466"/>
      <c r="I916" s="466"/>
      <c r="Q916" s="467"/>
    </row>
    <row r="917" hidden="1">
      <c r="G917" s="465"/>
      <c r="H917" s="466"/>
      <c r="I917" s="466"/>
      <c r="Q917" s="467"/>
    </row>
    <row r="918" hidden="1">
      <c r="G918" s="465"/>
      <c r="H918" s="466"/>
      <c r="I918" s="466"/>
      <c r="Q918" s="467"/>
    </row>
    <row r="919" hidden="1">
      <c r="G919" s="465"/>
      <c r="H919" s="466"/>
      <c r="I919" s="466"/>
      <c r="Q919" s="467"/>
    </row>
    <row r="920" hidden="1">
      <c r="G920" s="465"/>
      <c r="H920" s="466"/>
      <c r="I920" s="466"/>
      <c r="Q920" s="467"/>
    </row>
    <row r="921" hidden="1">
      <c r="G921" s="465"/>
      <c r="H921" s="466"/>
      <c r="I921" s="466"/>
      <c r="Q921" s="467"/>
    </row>
    <row r="922" hidden="1">
      <c r="G922" s="465"/>
      <c r="H922" s="466"/>
      <c r="I922" s="466"/>
      <c r="Q922" s="467"/>
    </row>
    <row r="923" hidden="1">
      <c r="G923" s="465"/>
      <c r="H923" s="466"/>
      <c r="I923" s="466"/>
      <c r="Q923" s="467"/>
    </row>
    <row r="924" hidden="1">
      <c r="G924" s="465"/>
      <c r="H924" s="466"/>
      <c r="I924" s="466"/>
      <c r="Q924" s="467"/>
    </row>
    <row r="925" hidden="1">
      <c r="G925" s="465"/>
      <c r="H925" s="466"/>
      <c r="I925" s="466"/>
      <c r="Q925" s="467"/>
    </row>
    <row r="926" hidden="1">
      <c r="G926" s="465"/>
      <c r="H926" s="466"/>
      <c r="I926" s="466"/>
      <c r="Q926" s="467"/>
    </row>
    <row r="927" hidden="1">
      <c r="G927" s="465"/>
      <c r="H927" s="466"/>
      <c r="I927" s="466"/>
      <c r="Q927" s="467"/>
    </row>
    <row r="928" hidden="1">
      <c r="G928" s="465"/>
      <c r="H928" s="466"/>
      <c r="I928" s="466"/>
      <c r="Q928" s="467"/>
    </row>
    <row r="929" hidden="1">
      <c r="G929" s="465"/>
      <c r="H929" s="466"/>
      <c r="I929" s="466"/>
      <c r="Q929" s="467"/>
    </row>
    <row r="930" hidden="1">
      <c r="G930" s="465"/>
      <c r="H930" s="466"/>
      <c r="I930" s="466"/>
      <c r="Q930" s="467"/>
    </row>
    <row r="931" hidden="1">
      <c r="G931" s="465"/>
      <c r="H931" s="466"/>
      <c r="I931" s="466"/>
      <c r="Q931" s="467"/>
    </row>
    <row r="932" hidden="1">
      <c r="G932" s="465"/>
      <c r="H932" s="466"/>
      <c r="I932" s="466"/>
      <c r="Q932" s="467"/>
    </row>
    <row r="933" hidden="1">
      <c r="G933" s="465"/>
      <c r="H933" s="466"/>
      <c r="I933" s="466"/>
      <c r="Q933" s="467"/>
    </row>
    <row r="934" hidden="1">
      <c r="G934" s="465"/>
      <c r="H934" s="466"/>
      <c r="I934" s="466"/>
      <c r="Q934" s="467"/>
    </row>
    <row r="935" hidden="1">
      <c r="G935" s="465"/>
      <c r="H935" s="466"/>
      <c r="I935" s="466"/>
      <c r="Q935" s="467"/>
    </row>
    <row r="936" hidden="1">
      <c r="G936" s="465"/>
      <c r="H936" s="466"/>
      <c r="I936" s="466"/>
      <c r="Q936" s="467"/>
    </row>
    <row r="937" hidden="1">
      <c r="G937" s="465"/>
      <c r="H937" s="466"/>
      <c r="I937" s="466"/>
      <c r="Q937" s="467"/>
    </row>
    <row r="938" hidden="1">
      <c r="G938" s="465"/>
      <c r="H938" s="466"/>
      <c r="I938" s="466"/>
      <c r="Q938" s="467"/>
    </row>
    <row r="939" hidden="1">
      <c r="G939" s="465"/>
      <c r="H939" s="466"/>
      <c r="I939" s="466"/>
      <c r="Q939" s="467"/>
    </row>
    <row r="940" hidden="1">
      <c r="G940" s="465"/>
      <c r="H940" s="466"/>
      <c r="I940" s="466"/>
      <c r="Q940" s="467"/>
    </row>
    <row r="941" hidden="1">
      <c r="G941" s="465"/>
      <c r="H941" s="466"/>
      <c r="I941" s="466"/>
      <c r="Q941" s="467"/>
    </row>
    <row r="942" hidden="1">
      <c r="G942" s="465"/>
      <c r="H942" s="466"/>
      <c r="I942" s="466"/>
      <c r="Q942" s="467"/>
    </row>
    <row r="943" hidden="1">
      <c r="G943" s="465"/>
      <c r="H943" s="466"/>
      <c r="I943" s="466"/>
      <c r="Q943" s="467"/>
    </row>
    <row r="944" hidden="1">
      <c r="G944" s="465"/>
      <c r="H944" s="466"/>
      <c r="I944" s="466"/>
      <c r="Q944" s="467"/>
    </row>
    <row r="945" hidden="1">
      <c r="G945" s="465"/>
      <c r="H945" s="466"/>
      <c r="I945" s="466"/>
      <c r="Q945" s="467"/>
    </row>
    <row r="946" hidden="1">
      <c r="G946" s="465"/>
      <c r="H946" s="466"/>
      <c r="I946" s="466"/>
      <c r="Q946" s="467"/>
    </row>
    <row r="947" hidden="1">
      <c r="G947" s="465"/>
      <c r="H947" s="466"/>
      <c r="I947" s="466"/>
      <c r="Q947" s="467"/>
    </row>
    <row r="948" hidden="1">
      <c r="G948" s="465"/>
      <c r="H948" s="466"/>
      <c r="I948" s="466"/>
      <c r="Q948" s="467"/>
    </row>
    <row r="949" hidden="1">
      <c r="G949" s="465"/>
      <c r="H949" s="466"/>
      <c r="I949" s="466"/>
      <c r="Q949" s="467"/>
    </row>
    <row r="950" hidden="1">
      <c r="G950" s="465"/>
      <c r="H950" s="466"/>
      <c r="I950" s="466"/>
      <c r="Q950" s="467"/>
    </row>
    <row r="951" hidden="1">
      <c r="G951" s="465"/>
      <c r="H951" s="466"/>
      <c r="I951" s="466"/>
      <c r="Q951" s="467"/>
    </row>
    <row r="952" hidden="1">
      <c r="G952" s="465"/>
      <c r="H952" s="466"/>
      <c r="I952" s="466"/>
      <c r="Q952" s="467"/>
    </row>
    <row r="953" hidden="1">
      <c r="G953" s="465"/>
      <c r="H953" s="466"/>
      <c r="I953" s="466"/>
      <c r="Q953" s="467"/>
    </row>
    <row r="954" hidden="1">
      <c r="G954" s="465"/>
      <c r="H954" s="466"/>
      <c r="I954" s="466"/>
      <c r="Q954" s="467"/>
    </row>
    <row r="955" hidden="1">
      <c r="G955" s="465"/>
      <c r="H955" s="466"/>
      <c r="I955" s="466"/>
      <c r="Q955" s="467"/>
    </row>
    <row r="956" hidden="1">
      <c r="G956" s="465"/>
      <c r="H956" s="466"/>
      <c r="I956" s="466"/>
      <c r="Q956" s="467"/>
    </row>
    <row r="957" hidden="1">
      <c r="G957" s="465"/>
      <c r="H957" s="466"/>
      <c r="I957" s="466"/>
      <c r="Q957" s="467"/>
    </row>
    <row r="958" hidden="1">
      <c r="G958" s="465"/>
      <c r="H958" s="466"/>
      <c r="I958" s="466"/>
      <c r="Q958" s="467"/>
    </row>
    <row r="959" hidden="1">
      <c r="G959" s="465"/>
      <c r="H959" s="466"/>
      <c r="I959" s="466"/>
      <c r="Q959" s="467"/>
    </row>
    <row r="960" hidden="1">
      <c r="G960" s="465"/>
      <c r="H960" s="466"/>
      <c r="I960" s="466"/>
      <c r="Q960" s="467"/>
    </row>
    <row r="961" hidden="1">
      <c r="G961" s="465"/>
      <c r="H961" s="466"/>
      <c r="I961" s="466"/>
      <c r="Q961" s="467"/>
    </row>
    <row r="962" hidden="1">
      <c r="G962" s="465"/>
      <c r="H962" s="466"/>
      <c r="I962" s="466"/>
      <c r="Q962" s="467"/>
    </row>
    <row r="963" hidden="1">
      <c r="G963" s="465"/>
      <c r="H963" s="466"/>
      <c r="I963" s="466"/>
      <c r="Q963" s="467"/>
    </row>
    <row r="964" hidden="1">
      <c r="G964" s="465"/>
      <c r="H964" s="466"/>
      <c r="I964" s="466"/>
      <c r="Q964" s="467"/>
    </row>
    <row r="965" hidden="1">
      <c r="G965" s="465"/>
      <c r="H965" s="466"/>
      <c r="I965" s="466"/>
      <c r="Q965" s="467"/>
    </row>
    <row r="966" hidden="1">
      <c r="G966" s="465"/>
      <c r="H966" s="466"/>
      <c r="I966" s="466"/>
      <c r="Q966" s="467"/>
    </row>
  </sheetData>
  <autoFilter ref="$A$1:$Z$966">
    <filterColumn colId="3">
      <filters>
        <filter val="MICRO TRATOR C/ APARADOR DE GRAMA"/>
        <filter val="MICROTRATOR COM APARADOR DE GRAMA"/>
      </filters>
    </filterColumn>
  </autoFilter>
  <conditionalFormatting sqref="G1:G966 H555:H558 K555:R558">
    <cfRule type="cellIs" dxfId="1" priority="1" operator="equal">
      <formula>"X"</formula>
    </cfRule>
  </conditionalFormatting>
  <conditionalFormatting sqref="G1:G966 H555:H558 K555:R558">
    <cfRule type="cellIs" dxfId="1" priority="2" operator="equal">
      <formula>0</formula>
    </cfRule>
  </conditionalFormatting>
  <hyperlinks>
    <hyperlink r:id="rId2" ref="O2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4"/>
    <hyperlink r:id="rId14" ref="O15"/>
    <hyperlink r:id="rId15" ref="O16"/>
    <hyperlink r:id="rId16" ref="O17"/>
    <hyperlink r:id="rId17" ref="O18"/>
    <hyperlink r:id="rId18" ref="O19"/>
    <hyperlink r:id="rId19" ref="O20"/>
    <hyperlink r:id="rId20" ref="O21"/>
    <hyperlink r:id="rId21" ref="O22"/>
    <hyperlink r:id="rId22" ref="O23"/>
    <hyperlink r:id="rId23" ref="O24"/>
    <hyperlink r:id="rId24" ref="O35"/>
    <hyperlink r:id="rId25" ref="O36"/>
    <hyperlink r:id="rId26" ref="O37"/>
    <hyperlink r:id="rId27" ref="O38"/>
    <hyperlink r:id="rId28" ref="O39"/>
    <hyperlink r:id="rId29" ref="O40"/>
    <hyperlink r:id="rId30" ref="O45"/>
    <hyperlink r:id="rId31" ref="O46"/>
    <hyperlink r:id="rId32" ref="O47"/>
    <hyperlink r:id="rId33" ref="O48"/>
    <hyperlink r:id="rId34" ref="O49"/>
    <hyperlink r:id="rId35" ref="O50"/>
    <hyperlink r:id="rId36" ref="O51"/>
    <hyperlink r:id="rId37" ref="O56"/>
    <hyperlink r:id="rId38" ref="O57"/>
    <hyperlink r:id="rId39" ref="O58"/>
    <hyperlink r:id="rId40" ref="O59"/>
    <hyperlink r:id="rId41" ref="O60"/>
    <hyperlink r:id="rId42" ref="O61"/>
    <hyperlink r:id="rId43" ref="O62"/>
    <hyperlink r:id="rId44" ref="O63"/>
    <hyperlink r:id="rId45" ref="O64"/>
    <hyperlink r:id="rId46" ref="O65"/>
    <hyperlink r:id="rId47" ref="O81"/>
    <hyperlink r:id="rId48" ref="O82"/>
    <hyperlink r:id="rId49" ref="O83"/>
    <hyperlink r:id="rId50" ref="O84"/>
    <hyperlink r:id="rId51" ref="O85"/>
    <hyperlink r:id="rId52" ref="O86"/>
    <hyperlink r:id="rId53" ref="O87"/>
    <hyperlink r:id="rId54" ref="O88"/>
    <hyperlink r:id="rId55" ref="O89"/>
    <hyperlink r:id="rId56" ref="O90"/>
    <hyperlink r:id="rId57" ref="O91"/>
    <hyperlink r:id="rId58" ref="O92"/>
    <hyperlink r:id="rId59" ref="O93"/>
    <hyperlink r:id="rId60" ref="O94"/>
    <hyperlink r:id="rId61" ref="O95"/>
    <hyperlink r:id="rId62" ref="O96"/>
    <hyperlink r:id="rId63" ref="O97"/>
    <hyperlink r:id="rId64" ref="O99"/>
    <hyperlink r:id="rId65" ref="O100"/>
    <hyperlink r:id="rId66" ref="O101"/>
    <hyperlink r:id="rId67" ref="O102"/>
    <hyperlink r:id="rId68" ref="O103"/>
    <hyperlink r:id="rId69" ref="O104"/>
    <hyperlink r:id="rId70" ref="O105"/>
    <hyperlink r:id="rId71" ref="O106"/>
    <hyperlink r:id="rId72" ref="O107"/>
    <hyperlink r:id="rId73" ref="O108"/>
    <hyperlink r:id="rId74" ref="O109"/>
    <hyperlink r:id="rId75" ref="O110"/>
    <hyperlink r:id="rId76" ref="O111"/>
    <hyperlink r:id="rId77" ref="O112"/>
    <hyperlink r:id="rId78" ref="O113"/>
    <hyperlink r:id="rId79" ref="O114"/>
    <hyperlink r:id="rId80" ref="O115"/>
    <hyperlink r:id="rId81" ref="O116"/>
    <hyperlink r:id="rId82" ref="O117"/>
    <hyperlink r:id="rId83" ref="O118"/>
    <hyperlink r:id="rId84" ref="O119"/>
    <hyperlink r:id="rId85" ref="O120"/>
    <hyperlink r:id="rId86" ref="O121"/>
    <hyperlink r:id="rId87" ref="O122"/>
    <hyperlink r:id="rId88" ref="O123"/>
    <hyperlink r:id="rId89" ref="O124"/>
    <hyperlink r:id="rId90" ref="O125"/>
    <hyperlink r:id="rId91" ref="O126"/>
    <hyperlink r:id="rId92" ref="O127"/>
    <hyperlink r:id="rId93" ref="O128"/>
    <hyperlink r:id="rId94" ref="O129"/>
    <hyperlink r:id="rId95" ref="O130"/>
    <hyperlink r:id="rId96" ref="O131"/>
    <hyperlink r:id="rId97" ref="O132"/>
    <hyperlink r:id="rId98" ref="O133"/>
    <hyperlink r:id="rId99" ref="O134"/>
    <hyperlink r:id="rId100" ref="O135"/>
    <hyperlink r:id="rId101" ref="O161"/>
    <hyperlink r:id="rId102" ref="O163"/>
    <hyperlink r:id="rId103" ref="O164"/>
    <hyperlink r:id="rId104" ref="O165"/>
    <hyperlink r:id="rId105" ref="O166"/>
    <hyperlink r:id="rId106" ref="O167"/>
    <hyperlink r:id="rId107" ref="O169"/>
    <hyperlink r:id="rId108" ref="O170"/>
    <hyperlink r:id="rId109" ref="O171"/>
    <hyperlink r:id="rId110" ref="O172"/>
    <hyperlink r:id="rId111" ref="O173"/>
    <hyperlink r:id="rId112" ref="O174"/>
    <hyperlink r:id="rId113" ref="O175"/>
    <hyperlink r:id="rId114" ref="O176"/>
    <hyperlink r:id="rId115" ref="O177"/>
    <hyperlink r:id="rId116" ref="O178"/>
    <hyperlink r:id="rId117" ref="O179"/>
    <hyperlink r:id="rId118" ref="O235"/>
    <hyperlink r:id="rId119" ref="O236"/>
    <hyperlink r:id="rId120" ref="O237"/>
    <hyperlink r:id="rId121" ref="O238"/>
    <hyperlink r:id="rId122" ref="O239"/>
    <hyperlink r:id="rId123" ref="O240"/>
    <hyperlink r:id="rId124" ref="O241"/>
    <hyperlink r:id="rId125" ref="O242"/>
    <hyperlink r:id="rId126" ref="O243"/>
    <hyperlink r:id="rId127" ref="O259"/>
    <hyperlink r:id="rId128" ref="O301"/>
    <hyperlink r:id="rId129" ref="O302"/>
    <hyperlink r:id="rId130" ref="O303"/>
    <hyperlink r:id="rId131" ref="O304"/>
    <hyperlink r:id="rId132" ref="O305"/>
    <hyperlink r:id="rId133" ref="O306"/>
    <hyperlink r:id="rId134" ref="O307"/>
    <hyperlink r:id="rId135" ref="O308"/>
    <hyperlink r:id="rId136" ref="O309"/>
    <hyperlink r:id="rId137" ref="O326"/>
    <hyperlink r:id="rId138" ref="O327"/>
    <hyperlink r:id="rId139" ref="O328"/>
    <hyperlink r:id="rId140" ref="O329"/>
    <hyperlink r:id="rId141" ref="O330"/>
    <hyperlink r:id="rId142" ref="O331"/>
    <hyperlink r:id="rId143" ref="O332"/>
    <hyperlink r:id="rId144" ref="O333"/>
    <hyperlink r:id="rId145" ref="O334"/>
    <hyperlink r:id="rId146" ref="O335"/>
    <hyperlink r:id="rId147" ref="O336"/>
    <hyperlink r:id="rId148" ref="O337"/>
    <hyperlink r:id="rId149" ref="O338"/>
    <hyperlink r:id="rId150" ref="O339"/>
    <hyperlink r:id="rId151" ref="O340"/>
    <hyperlink r:id="rId152" ref="O341"/>
  </hyperlinks>
  <printOptions/>
  <pageMargins bottom="0.75" footer="0.0" header="0.0" left="0.7" right="0.7" top="0.75"/>
  <pageSetup orientation="landscape"/>
  <drawing r:id="rId153"/>
  <legacyDrawing r:id="rId15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3.63"/>
    <col customWidth="1" min="3" max="3" width="25.63"/>
    <col customWidth="1" min="4" max="4" width="8.88"/>
    <col customWidth="1" min="5" max="5" width="9.0"/>
    <col customWidth="1" min="6" max="6" width="9.13"/>
    <col customWidth="1" min="7" max="7" width="16.38"/>
    <col customWidth="1" min="8" max="8" width="13.13"/>
    <col customWidth="1" min="9" max="9" width="17.88"/>
    <col customWidth="1" min="10" max="10" width="26.88"/>
    <col customWidth="1" min="11" max="11" width="102.88"/>
    <col customWidth="1" min="12" max="12" width="29.0"/>
    <col customWidth="1" min="13" max="13" width="14.5"/>
    <col customWidth="1" min="14" max="14" width="51.0"/>
    <col customWidth="1" min="15" max="15" width="9.0"/>
    <col customWidth="1" min="16" max="16" width="15.5"/>
    <col customWidth="1" min="17" max="17" width="58.63"/>
    <col customWidth="1" min="18" max="25" width="9.0"/>
  </cols>
  <sheetData>
    <row r="1">
      <c r="A1" s="2" t="s">
        <v>0</v>
      </c>
      <c r="B1" s="4"/>
      <c r="C1" s="4"/>
      <c r="D1" s="4"/>
      <c r="E1" s="4"/>
      <c r="F1" s="4"/>
      <c r="G1" s="4"/>
      <c r="H1" s="6"/>
      <c r="I1" s="9" t="s">
        <v>8</v>
      </c>
      <c r="J1" s="6"/>
      <c r="K1" s="11" t="s">
        <v>11</v>
      </c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4" t="s">
        <v>26</v>
      </c>
      <c r="H2" s="24" t="s">
        <v>27</v>
      </c>
      <c r="I2" s="22" t="s">
        <v>28</v>
      </c>
      <c r="J2" s="22" t="s">
        <v>14</v>
      </c>
      <c r="K2" s="22" t="s">
        <v>16</v>
      </c>
      <c r="L2" s="27" t="s">
        <v>15</v>
      </c>
      <c r="M2" s="22" t="s">
        <v>29</v>
      </c>
      <c r="N2" s="22" t="s">
        <v>30</v>
      </c>
      <c r="O2" s="22" t="s">
        <v>20</v>
      </c>
      <c r="P2" s="30" t="s">
        <v>21</v>
      </c>
      <c r="Q2" s="30" t="s">
        <v>34</v>
      </c>
      <c r="R2" s="14"/>
      <c r="S2" s="14"/>
      <c r="T2" s="14"/>
      <c r="U2" s="14"/>
      <c r="V2" s="14"/>
      <c r="W2" s="14"/>
      <c r="X2" s="14"/>
      <c r="Y2" s="14"/>
    </row>
    <row r="3" ht="29.25" customHeight="1">
      <c r="A3" s="33">
        <v>1.0</v>
      </c>
      <c r="B3" s="33" t="s">
        <v>47</v>
      </c>
      <c r="C3" s="33" t="s">
        <v>49</v>
      </c>
      <c r="D3" s="33">
        <v>1.0</v>
      </c>
      <c r="E3" s="33">
        <v>0.0</v>
      </c>
      <c r="F3" s="35">
        <f t="shared" ref="F3:F15" si="1">D3-E3</f>
        <v>1</v>
      </c>
      <c r="G3" s="37">
        <v>216500.0</v>
      </c>
      <c r="H3" s="40">
        <f t="shared" ref="H3:H15" si="2">G3*D3</f>
        <v>216500</v>
      </c>
      <c r="I3" s="41" t="s">
        <v>58</v>
      </c>
      <c r="J3" s="33" t="s">
        <v>65</v>
      </c>
      <c r="K3" s="43" t="s">
        <v>66</v>
      </c>
      <c r="L3" s="43" t="s">
        <v>68</v>
      </c>
      <c r="M3" s="43" t="s">
        <v>71</v>
      </c>
      <c r="N3" s="43" t="s">
        <v>74</v>
      </c>
      <c r="O3" s="43" t="s">
        <v>75</v>
      </c>
      <c r="P3" s="47">
        <v>46591.0</v>
      </c>
      <c r="Q3" s="48"/>
      <c r="R3" s="14"/>
      <c r="S3" s="14"/>
      <c r="T3" s="14"/>
      <c r="U3" s="14"/>
      <c r="V3" s="14"/>
      <c r="W3" s="14"/>
      <c r="X3" s="14"/>
      <c r="Y3" s="14"/>
    </row>
    <row r="4">
      <c r="A4" s="49">
        <v>1.0</v>
      </c>
      <c r="B4" s="49" t="s">
        <v>47</v>
      </c>
      <c r="C4" s="49" t="s">
        <v>49</v>
      </c>
      <c r="D4" s="49">
        <v>1.0</v>
      </c>
      <c r="E4" s="49">
        <v>0.0</v>
      </c>
      <c r="F4" s="52">
        <f t="shared" si="1"/>
        <v>1</v>
      </c>
      <c r="G4" s="53">
        <v>216500.0</v>
      </c>
      <c r="H4" s="54">
        <f t="shared" si="2"/>
        <v>216500</v>
      </c>
      <c r="I4" s="62" t="s">
        <v>96</v>
      </c>
      <c r="J4" s="49" t="s">
        <v>65</v>
      </c>
      <c r="K4" s="58" t="s">
        <v>66</v>
      </c>
      <c r="L4" s="58" t="s">
        <v>68</v>
      </c>
      <c r="M4" s="58" t="s">
        <v>71</v>
      </c>
      <c r="N4" s="58" t="s">
        <v>74</v>
      </c>
      <c r="O4" s="58" t="s">
        <v>75</v>
      </c>
      <c r="P4" s="60">
        <v>46591.0</v>
      </c>
      <c r="Q4" s="61"/>
      <c r="R4" s="14"/>
      <c r="S4" s="14"/>
      <c r="T4" s="14"/>
      <c r="U4" s="14"/>
      <c r="V4" s="14"/>
      <c r="W4" s="14"/>
      <c r="X4" s="14"/>
      <c r="Y4" s="14"/>
    </row>
    <row r="5">
      <c r="A5" s="33">
        <v>1.0</v>
      </c>
      <c r="B5" s="33" t="s">
        <v>47</v>
      </c>
      <c r="C5" s="33" t="s">
        <v>49</v>
      </c>
      <c r="D5" s="33">
        <v>1.0</v>
      </c>
      <c r="E5" s="43">
        <v>0.0</v>
      </c>
      <c r="F5" s="35">
        <f t="shared" si="1"/>
        <v>1</v>
      </c>
      <c r="G5" s="37">
        <v>216500.0</v>
      </c>
      <c r="H5" s="40">
        <f t="shared" si="2"/>
        <v>216500</v>
      </c>
      <c r="I5" s="68" t="s">
        <v>113</v>
      </c>
      <c r="J5" s="33" t="s">
        <v>65</v>
      </c>
      <c r="K5" s="43" t="s">
        <v>66</v>
      </c>
      <c r="L5" s="43" t="s">
        <v>68</v>
      </c>
      <c r="M5" s="43" t="s">
        <v>71</v>
      </c>
      <c r="N5" s="43" t="s">
        <v>74</v>
      </c>
      <c r="O5" s="43" t="s">
        <v>75</v>
      </c>
      <c r="P5" s="47">
        <v>46591.0</v>
      </c>
      <c r="Q5" s="66"/>
      <c r="R5" s="14"/>
      <c r="S5" s="14"/>
      <c r="T5" s="14"/>
      <c r="U5" s="14"/>
      <c r="V5" s="14"/>
      <c r="W5" s="14"/>
      <c r="X5" s="14"/>
      <c r="Y5" s="14"/>
    </row>
    <row r="6">
      <c r="A6" s="49">
        <v>1.0</v>
      </c>
      <c r="B6" s="49" t="s">
        <v>47</v>
      </c>
      <c r="C6" s="49" t="s">
        <v>49</v>
      </c>
      <c r="D6" s="49">
        <v>1.0</v>
      </c>
      <c r="E6" s="58">
        <v>0.0</v>
      </c>
      <c r="F6" s="52">
        <f t="shared" si="1"/>
        <v>1</v>
      </c>
      <c r="G6" s="53">
        <v>216500.0</v>
      </c>
      <c r="H6" s="54">
        <f t="shared" si="2"/>
        <v>216500</v>
      </c>
      <c r="I6" s="62" t="s">
        <v>134</v>
      </c>
      <c r="J6" s="49" t="s">
        <v>65</v>
      </c>
      <c r="K6" s="58" t="s">
        <v>66</v>
      </c>
      <c r="L6" s="58" t="s">
        <v>68</v>
      </c>
      <c r="M6" s="58" t="s">
        <v>71</v>
      </c>
      <c r="N6" s="58" t="s">
        <v>74</v>
      </c>
      <c r="O6" s="58" t="s">
        <v>75</v>
      </c>
      <c r="P6" s="60">
        <v>46591.0</v>
      </c>
      <c r="Q6" s="61"/>
      <c r="R6" s="14"/>
      <c r="S6" s="14"/>
      <c r="T6" s="14"/>
      <c r="U6" s="14"/>
      <c r="V6" s="14"/>
      <c r="W6" s="14"/>
      <c r="X6" s="14"/>
      <c r="Y6" s="14"/>
    </row>
    <row r="7">
      <c r="A7" s="33">
        <v>1.0</v>
      </c>
      <c r="B7" s="33" t="s">
        <v>47</v>
      </c>
      <c r="C7" s="33" t="s">
        <v>49</v>
      </c>
      <c r="D7" s="33">
        <v>1.0</v>
      </c>
      <c r="E7" s="33">
        <v>0.0</v>
      </c>
      <c r="F7" s="35">
        <f t="shared" si="1"/>
        <v>1</v>
      </c>
      <c r="G7" s="37">
        <v>216500.0</v>
      </c>
      <c r="H7" s="40">
        <f t="shared" si="2"/>
        <v>216500</v>
      </c>
      <c r="I7" s="68" t="s">
        <v>142</v>
      </c>
      <c r="J7" s="33" t="s">
        <v>65</v>
      </c>
      <c r="K7" s="43" t="s">
        <v>66</v>
      </c>
      <c r="L7" s="43" t="s">
        <v>68</v>
      </c>
      <c r="M7" s="43" t="s">
        <v>71</v>
      </c>
      <c r="N7" s="43" t="s">
        <v>74</v>
      </c>
      <c r="O7" s="43" t="s">
        <v>75</v>
      </c>
      <c r="P7" s="47">
        <v>46591.0</v>
      </c>
      <c r="Q7" s="66"/>
      <c r="R7" s="14"/>
      <c r="S7" s="14"/>
      <c r="T7" s="14"/>
      <c r="U7" s="14"/>
      <c r="V7" s="14"/>
      <c r="W7" s="14"/>
      <c r="X7" s="14"/>
      <c r="Y7" s="14"/>
    </row>
    <row r="8">
      <c r="A8" s="49">
        <v>1.0</v>
      </c>
      <c r="B8" s="49" t="s">
        <v>47</v>
      </c>
      <c r="C8" s="49" t="s">
        <v>49</v>
      </c>
      <c r="D8" s="49">
        <v>1.0</v>
      </c>
      <c r="E8" s="58">
        <v>0.0</v>
      </c>
      <c r="F8" s="52">
        <f t="shared" si="1"/>
        <v>1</v>
      </c>
      <c r="G8" s="53">
        <v>216500.0</v>
      </c>
      <c r="H8" s="54">
        <f t="shared" si="2"/>
        <v>216500</v>
      </c>
      <c r="I8" s="62" t="s">
        <v>161</v>
      </c>
      <c r="J8" s="49" t="s">
        <v>65</v>
      </c>
      <c r="K8" s="58" t="s">
        <v>66</v>
      </c>
      <c r="L8" s="58" t="s">
        <v>68</v>
      </c>
      <c r="M8" s="58" t="s">
        <v>71</v>
      </c>
      <c r="N8" s="58" t="s">
        <v>74</v>
      </c>
      <c r="O8" s="58" t="s">
        <v>75</v>
      </c>
      <c r="P8" s="60">
        <v>46591.0</v>
      </c>
      <c r="Q8" s="61"/>
      <c r="R8" s="14"/>
      <c r="S8" s="14"/>
      <c r="T8" s="14"/>
      <c r="U8" s="14"/>
      <c r="V8" s="14"/>
      <c r="W8" s="14"/>
      <c r="X8" s="14"/>
      <c r="Y8" s="14"/>
    </row>
    <row r="9">
      <c r="A9" s="33">
        <v>1.0</v>
      </c>
      <c r="B9" s="33" t="s">
        <v>47</v>
      </c>
      <c r="C9" s="33" t="s">
        <v>49</v>
      </c>
      <c r="D9" s="33">
        <v>1.0</v>
      </c>
      <c r="E9" s="43">
        <v>0.0</v>
      </c>
      <c r="F9" s="35">
        <f t="shared" si="1"/>
        <v>1</v>
      </c>
      <c r="G9" s="37">
        <v>216500.0</v>
      </c>
      <c r="H9" s="40">
        <f t="shared" si="2"/>
        <v>216500</v>
      </c>
      <c r="I9" s="68" t="s">
        <v>175</v>
      </c>
      <c r="J9" s="33" t="s">
        <v>65</v>
      </c>
      <c r="K9" s="43" t="s">
        <v>66</v>
      </c>
      <c r="L9" s="43" t="s">
        <v>68</v>
      </c>
      <c r="M9" s="43" t="s">
        <v>71</v>
      </c>
      <c r="N9" s="43" t="s">
        <v>74</v>
      </c>
      <c r="O9" s="43" t="s">
        <v>75</v>
      </c>
      <c r="P9" s="47">
        <v>46591.0</v>
      </c>
      <c r="Q9" s="66"/>
      <c r="R9" s="71"/>
      <c r="S9" s="71"/>
      <c r="T9" s="71"/>
      <c r="U9" s="71"/>
      <c r="V9" s="71"/>
      <c r="W9" s="71"/>
      <c r="X9" s="71"/>
      <c r="Y9" s="71"/>
    </row>
    <row r="10">
      <c r="A10" s="49">
        <v>1.0</v>
      </c>
      <c r="B10" s="49" t="s">
        <v>47</v>
      </c>
      <c r="C10" s="49" t="s">
        <v>49</v>
      </c>
      <c r="D10" s="49">
        <v>1.0</v>
      </c>
      <c r="E10" s="49">
        <v>0.0</v>
      </c>
      <c r="F10" s="52">
        <f t="shared" si="1"/>
        <v>1</v>
      </c>
      <c r="G10" s="53">
        <v>216500.0</v>
      </c>
      <c r="H10" s="54">
        <f t="shared" si="2"/>
        <v>216500</v>
      </c>
      <c r="I10" s="62" t="s">
        <v>188</v>
      </c>
      <c r="J10" s="49" t="s">
        <v>65</v>
      </c>
      <c r="K10" s="58" t="s">
        <v>66</v>
      </c>
      <c r="L10" s="58" t="s">
        <v>68</v>
      </c>
      <c r="M10" s="58" t="s">
        <v>71</v>
      </c>
      <c r="N10" s="58" t="s">
        <v>74</v>
      </c>
      <c r="O10" s="58" t="s">
        <v>75</v>
      </c>
      <c r="P10" s="60">
        <v>46591.0</v>
      </c>
      <c r="Q10" s="72"/>
      <c r="R10" s="71"/>
      <c r="S10" s="71"/>
      <c r="T10" s="71"/>
      <c r="U10" s="71"/>
      <c r="V10" s="71"/>
      <c r="W10" s="71"/>
      <c r="X10" s="71"/>
      <c r="Y10" s="71"/>
    </row>
    <row r="11">
      <c r="A11" s="33">
        <v>1.0</v>
      </c>
      <c r="B11" s="33" t="s">
        <v>47</v>
      </c>
      <c r="C11" s="33" t="s">
        <v>49</v>
      </c>
      <c r="D11" s="33">
        <v>1.0</v>
      </c>
      <c r="E11" s="43">
        <v>0.0</v>
      </c>
      <c r="F11" s="35">
        <f t="shared" si="1"/>
        <v>1</v>
      </c>
      <c r="G11" s="37">
        <v>216500.0</v>
      </c>
      <c r="H11" s="40">
        <f t="shared" si="2"/>
        <v>216500</v>
      </c>
      <c r="I11" s="68" t="s">
        <v>160</v>
      </c>
      <c r="J11" s="33" t="s">
        <v>65</v>
      </c>
      <c r="K11" s="43" t="s">
        <v>66</v>
      </c>
      <c r="L11" s="43" t="s">
        <v>68</v>
      </c>
      <c r="M11" s="43" t="s">
        <v>71</v>
      </c>
      <c r="N11" s="43" t="s">
        <v>74</v>
      </c>
      <c r="O11" s="43" t="s">
        <v>75</v>
      </c>
      <c r="P11" s="47">
        <v>46591.0</v>
      </c>
      <c r="Q11" s="48"/>
      <c r="R11" s="71"/>
      <c r="S11" s="71"/>
      <c r="T11" s="71"/>
      <c r="U11" s="71"/>
      <c r="V11" s="71"/>
      <c r="W11" s="71"/>
      <c r="X11" s="71"/>
      <c r="Y11" s="71"/>
    </row>
    <row r="12">
      <c r="A12" s="49">
        <v>1.0</v>
      </c>
      <c r="B12" s="49" t="s">
        <v>47</v>
      </c>
      <c r="C12" s="49" t="s">
        <v>49</v>
      </c>
      <c r="D12" s="49">
        <v>1.0</v>
      </c>
      <c r="E12" s="58">
        <v>0.0</v>
      </c>
      <c r="F12" s="52">
        <f t="shared" si="1"/>
        <v>1</v>
      </c>
      <c r="G12" s="53">
        <v>216500.0</v>
      </c>
      <c r="H12" s="54">
        <f t="shared" si="2"/>
        <v>216500</v>
      </c>
      <c r="I12" s="62" t="s">
        <v>196</v>
      </c>
      <c r="J12" s="49" t="s">
        <v>65</v>
      </c>
      <c r="K12" s="58" t="s">
        <v>66</v>
      </c>
      <c r="L12" s="58" t="s">
        <v>68</v>
      </c>
      <c r="M12" s="58" t="s">
        <v>71</v>
      </c>
      <c r="N12" s="58" t="s">
        <v>74</v>
      </c>
      <c r="O12" s="58" t="s">
        <v>75</v>
      </c>
      <c r="P12" s="60">
        <v>46591.0</v>
      </c>
      <c r="Q12" s="72"/>
      <c r="R12" s="71"/>
      <c r="S12" s="71"/>
      <c r="T12" s="71"/>
      <c r="U12" s="71"/>
      <c r="V12" s="71"/>
      <c r="W12" s="71"/>
      <c r="X12" s="71"/>
      <c r="Y12" s="71"/>
    </row>
    <row r="13">
      <c r="A13" s="33">
        <v>1.0</v>
      </c>
      <c r="B13" s="33" t="s">
        <v>47</v>
      </c>
      <c r="C13" s="33" t="s">
        <v>49</v>
      </c>
      <c r="D13" s="33">
        <v>10.0</v>
      </c>
      <c r="E13" s="43">
        <v>0.0</v>
      </c>
      <c r="F13" s="35">
        <f t="shared" si="1"/>
        <v>10</v>
      </c>
      <c r="G13" s="37">
        <v>216500.0</v>
      </c>
      <c r="H13" s="40">
        <f t="shared" si="2"/>
        <v>2165000</v>
      </c>
      <c r="I13" s="68" t="s">
        <v>201</v>
      </c>
      <c r="J13" s="33" t="s">
        <v>65</v>
      </c>
      <c r="K13" s="43" t="s">
        <v>66</v>
      </c>
      <c r="L13" s="43" t="s">
        <v>68</v>
      </c>
      <c r="M13" s="43" t="s">
        <v>71</v>
      </c>
      <c r="N13" s="43" t="s">
        <v>74</v>
      </c>
      <c r="O13" s="43" t="s">
        <v>75</v>
      </c>
      <c r="P13" s="47">
        <v>46591.0</v>
      </c>
      <c r="Q13" s="48"/>
      <c r="R13" s="71"/>
      <c r="S13" s="71"/>
      <c r="T13" s="71"/>
      <c r="U13" s="71"/>
      <c r="V13" s="71"/>
      <c r="W13" s="71"/>
      <c r="X13" s="71"/>
      <c r="Y13" s="71"/>
    </row>
    <row r="14">
      <c r="A14" s="49">
        <v>1.0</v>
      </c>
      <c r="B14" s="49" t="s">
        <v>47</v>
      </c>
      <c r="C14" s="49" t="s">
        <v>49</v>
      </c>
      <c r="D14" s="49">
        <v>3.0</v>
      </c>
      <c r="E14" s="58">
        <v>0.0</v>
      </c>
      <c r="F14" s="52">
        <f t="shared" si="1"/>
        <v>3</v>
      </c>
      <c r="G14" s="53">
        <v>216500.0</v>
      </c>
      <c r="H14" s="54">
        <f t="shared" si="2"/>
        <v>649500</v>
      </c>
      <c r="I14" s="62" t="s">
        <v>199</v>
      </c>
      <c r="J14" s="49" t="s">
        <v>65</v>
      </c>
      <c r="K14" s="58" t="s">
        <v>66</v>
      </c>
      <c r="L14" s="58" t="s">
        <v>68</v>
      </c>
      <c r="M14" s="58" t="s">
        <v>71</v>
      </c>
      <c r="N14" s="58" t="s">
        <v>74</v>
      </c>
      <c r="O14" s="58" t="s">
        <v>75</v>
      </c>
      <c r="P14" s="60">
        <v>46591.0</v>
      </c>
      <c r="Q14" s="72"/>
      <c r="R14" s="71"/>
      <c r="S14" s="71"/>
      <c r="T14" s="71"/>
      <c r="U14" s="71"/>
      <c r="V14" s="71"/>
      <c r="W14" s="71"/>
      <c r="X14" s="71"/>
      <c r="Y14" s="71"/>
    </row>
    <row r="15">
      <c r="A15" s="33">
        <v>1.0</v>
      </c>
      <c r="B15" s="33" t="s">
        <v>47</v>
      </c>
      <c r="C15" s="33" t="s">
        <v>49</v>
      </c>
      <c r="D15" s="33">
        <v>7.0</v>
      </c>
      <c r="E15" s="33">
        <v>0.0</v>
      </c>
      <c r="F15" s="35">
        <f t="shared" si="1"/>
        <v>7</v>
      </c>
      <c r="G15" s="37">
        <v>216500.0</v>
      </c>
      <c r="H15" s="40">
        <f t="shared" si="2"/>
        <v>1515500</v>
      </c>
      <c r="I15" s="68" t="s">
        <v>214</v>
      </c>
      <c r="J15" s="33" t="s">
        <v>65</v>
      </c>
      <c r="K15" s="43" t="s">
        <v>66</v>
      </c>
      <c r="L15" s="43" t="s">
        <v>68</v>
      </c>
      <c r="M15" s="43" t="s">
        <v>71</v>
      </c>
      <c r="N15" s="43" t="s">
        <v>74</v>
      </c>
      <c r="O15" s="43" t="s">
        <v>75</v>
      </c>
      <c r="P15" s="47">
        <v>46591.0</v>
      </c>
      <c r="Q15" s="66"/>
      <c r="R15" s="71"/>
      <c r="S15" s="71"/>
      <c r="T15" s="71"/>
      <c r="U15" s="71"/>
      <c r="V15" s="71"/>
      <c r="W15" s="71"/>
      <c r="X15" s="71"/>
      <c r="Y15" s="71"/>
    </row>
    <row r="16" ht="15.75" customHeight="1">
      <c r="A16" s="14"/>
      <c r="B16" s="14"/>
      <c r="C16" s="84"/>
      <c r="D16" s="14"/>
      <c r="E16" s="14"/>
      <c r="F16" s="14"/>
      <c r="G16" s="14"/>
      <c r="H16" s="14"/>
      <c r="I16" s="14"/>
      <c r="J16" s="19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75" customHeight="1">
      <c r="A17" s="14"/>
      <c r="B17" s="14"/>
      <c r="C17" s="84"/>
      <c r="D17" s="14"/>
      <c r="E17" s="14"/>
      <c r="F17" s="86"/>
      <c r="G17" s="14"/>
      <c r="H17" s="14"/>
      <c r="I17" s="14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 ht="15.75" customHeight="1">
      <c r="A18" s="14"/>
      <c r="B18" s="14"/>
      <c r="C18" s="84"/>
      <c r="D18" s="14"/>
      <c r="E18" s="14"/>
      <c r="F18" s="14"/>
      <c r="G18" s="14"/>
      <c r="H18" s="14"/>
      <c r="I18" s="14"/>
      <c r="J18" s="19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ht="15.75" customHeight="1">
      <c r="A19" s="14"/>
      <c r="B19" s="14"/>
      <c r="C19" s="84"/>
      <c r="D19" s="14"/>
      <c r="E19" s="14"/>
      <c r="F19" s="14"/>
      <c r="G19" s="14"/>
      <c r="H19" s="14"/>
      <c r="I19" s="14"/>
      <c r="J19" s="19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ht="15.75" customHeight="1">
      <c r="A20" s="14"/>
      <c r="B20" s="14"/>
      <c r="C20" s="84"/>
      <c r="D20" s="14"/>
      <c r="E20" s="14"/>
      <c r="F20" s="14"/>
      <c r="G20" s="14"/>
      <c r="H20" s="14"/>
      <c r="I20" s="14"/>
      <c r="J20" s="1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4"/>
      <c r="B21" s="14"/>
      <c r="C21" s="84"/>
      <c r="D21" s="14"/>
      <c r="E21" s="14"/>
      <c r="F21" s="14"/>
      <c r="G21" s="14"/>
      <c r="H21" s="14"/>
      <c r="I21" s="14"/>
      <c r="J21" s="1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4"/>
      <c r="B22" s="14"/>
      <c r="C22" s="84"/>
      <c r="D22" s="14"/>
      <c r="E22" s="14"/>
      <c r="F22" s="14"/>
      <c r="G22" s="14"/>
      <c r="H22" s="14"/>
      <c r="I22" s="14"/>
      <c r="J22" s="1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4"/>
      <c r="B23" s="14"/>
      <c r="C23" s="84"/>
      <c r="D23" s="14"/>
      <c r="E23" s="14"/>
      <c r="F23" s="14"/>
      <c r="G23" s="14"/>
      <c r="H23" s="14"/>
      <c r="I23" s="14"/>
      <c r="J23" s="1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14"/>
      <c r="C24" s="84"/>
      <c r="D24" s="14"/>
      <c r="E24" s="14"/>
      <c r="F24" s="14"/>
      <c r="G24" s="14"/>
      <c r="H24" s="14"/>
      <c r="I24" s="14"/>
      <c r="J24" s="19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14"/>
      <c r="C25" s="84"/>
      <c r="D25" s="14"/>
      <c r="E25" s="14"/>
      <c r="F25" s="14"/>
      <c r="G25" s="14"/>
      <c r="H25" s="14"/>
      <c r="I25" s="14"/>
      <c r="J25" s="19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ht="15.75" customHeight="1">
      <c r="A26" s="14"/>
      <c r="B26" s="14"/>
      <c r="C26" s="84"/>
      <c r="D26" s="14"/>
      <c r="E26" s="14"/>
      <c r="F26" s="14"/>
      <c r="G26" s="14"/>
      <c r="H26" s="14"/>
      <c r="I26" s="14"/>
      <c r="J26" s="19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14"/>
      <c r="C27" s="84"/>
      <c r="D27" s="14"/>
      <c r="E27" s="14"/>
      <c r="F27" s="14"/>
      <c r="G27" s="14"/>
      <c r="H27" s="14"/>
      <c r="I27" s="14"/>
      <c r="J27" s="19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14"/>
      <c r="C28" s="84"/>
      <c r="D28" s="14"/>
      <c r="E28" s="14"/>
      <c r="F28" s="14"/>
      <c r="G28" s="14"/>
      <c r="H28" s="14"/>
      <c r="I28" s="14"/>
      <c r="J28" s="19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14"/>
      <c r="C29" s="84"/>
      <c r="D29" s="14"/>
      <c r="E29" s="14"/>
      <c r="F29" s="14"/>
      <c r="G29" s="14"/>
      <c r="H29" s="14"/>
      <c r="I29" s="14"/>
      <c r="J29" s="19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14"/>
      <c r="C30" s="84"/>
      <c r="D30" s="14"/>
      <c r="E30" s="14"/>
      <c r="F30" s="14"/>
      <c r="G30" s="14"/>
      <c r="H30" s="14"/>
      <c r="I30" s="14"/>
      <c r="J30" s="19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14"/>
      <c r="C31" s="84"/>
      <c r="D31" s="14"/>
      <c r="E31" s="14"/>
      <c r="F31" s="14"/>
      <c r="G31" s="14"/>
      <c r="H31" s="14"/>
      <c r="I31" s="14"/>
      <c r="J31" s="19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14"/>
      <c r="C32" s="84"/>
      <c r="D32" s="14"/>
      <c r="E32" s="14"/>
      <c r="F32" s="14"/>
      <c r="G32" s="14"/>
      <c r="H32" s="14"/>
      <c r="I32" s="14"/>
      <c r="J32" s="19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14"/>
      <c r="C33" s="84"/>
      <c r="D33" s="14"/>
      <c r="E33" s="14"/>
      <c r="F33" s="14"/>
      <c r="G33" s="14"/>
      <c r="H33" s="14"/>
      <c r="I33" s="14"/>
      <c r="J33" s="19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14"/>
      <c r="C34" s="84"/>
      <c r="D34" s="14"/>
      <c r="E34" s="14"/>
      <c r="F34" s="14"/>
      <c r="G34" s="14"/>
      <c r="H34" s="14"/>
      <c r="I34" s="14"/>
      <c r="J34" s="1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14"/>
      <c r="C35" s="84"/>
      <c r="D35" s="14"/>
      <c r="E35" s="14"/>
      <c r="F35" s="14"/>
      <c r="G35" s="14"/>
      <c r="H35" s="14"/>
      <c r="I35" s="14"/>
      <c r="J35" s="1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14"/>
      <c r="C36" s="84"/>
      <c r="D36" s="14"/>
      <c r="E36" s="14"/>
      <c r="F36" s="14"/>
      <c r="G36" s="14"/>
      <c r="H36" s="14"/>
      <c r="I36" s="14"/>
      <c r="J36" s="1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14"/>
      <c r="C37" s="84"/>
      <c r="D37" s="14"/>
      <c r="E37" s="14"/>
      <c r="F37" s="14"/>
      <c r="G37" s="14"/>
      <c r="H37" s="14"/>
      <c r="I37" s="14"/>
      <c r="J37" s="1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14"/>
      <c r="C38" s="84"/>
      <c r="D38" s="14"/>
      <c r="E38" s="14"/>
      <c r="F38" s="14"/>
      <c r="G38" s="14"/>
      <c r="H38" s="14"/>
      <c r="I38" s="14"/>
      <c r="J38" s="1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14"/>
      <c r="C39" s="84"/>
      <c r="D39" s="14"/>
      <c r="E39" s="14"/>
      <c r="F39" s="14"/>
      <c r="G39" s="14"/>
      <c r="H39" s="14"/>
      <c r="I39" s="14"/>
      <c r="J39" s="19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14"/>
      <c r="C40" s="84"/>
      <c r="D40" s="14"/>
      <c r="E40" s="14"/>
      <c r="F40" s="14"/>
      <c r="G40" s="14"/>
      <c r="H40" s="14"/>
      <c r="I40" s="14"/>
      <c r="J40" s="19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14"/>
      <c r="C41" s="84"/>
      <c r="D41" s="14"/>
      <c r="E41" s="14"/>
      <c r="F41" s="14"/>
      <c r="G41" s="14"/>
      <c r="H41" s="14"/>
      <c r="I41" s="14"/>
      <c r="J41" s="19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14"/>
      <c r="C42" s="84"/>
      <c r="D42" s="14"/>
      <c r="E42" s="14"/>
      <c r="F42" s="14"/>
      <c r="G42" s="14"/>
      <c r="H42" s="14"/>
      <c r="I42" s="14"/>
      <c r="J42" s="19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14"/>
      <c r="C43" s="84"/>
      <c r="D43" s="14"/>
      <c r="E43" s="14"/>
      <c r="F43" s="14"/>
      <c r="G43" s="14"/>
      <c r="H43" s="14"/>
      <c r="I43" s="14"/>
      <c r="J43" s="19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14"/>
      <c r="C44" s="84"/>
      <c r="D44" s="14"/>
      <c r="E44" s="14"/>
      <c r="F44" s="14"/>
      <c r="G44" s="14"/>
      <c r="H44" s="14"/>
      <c r="I44" s="14"/>
      <c r="J44" s="19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14"/>
      <c r="C45" s="84"/>
      <c r="D45" s="14"/>
      <c r="E45" s="14"/>
      <c r="F45" s="14"/>
      <c r="G45" s="14"/>
      <c r="H45" s="14"/>
      <c r="I45" s="14"/>
      <c r="J45" s="19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14"/>
      <c r="C46" s="84"/>
      <c r="D46" s="14"/>
      <c r="E46" s="14"/>
      <c r="F46" s="14"/>
      <c r="G46" s="14"/>
      <c r="H46" s="14"/>
      <c r="I46" s="14"/>
      <c r="J46" s="19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14"/>
      <c r="C47" s="84"/>
      <c r="D47" s="14"/>
      <c r="E47" s="14"/>
      <c r="F47" s="14"/>
      <c r="G47" s="14"/>
      <c r="H47" s="14"/>
      <c r="I47" s="14"/>
      <c r="J47" s="19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14"/>
      <c r="C48" s="84"/>
      <c r="D48" s="14"/>
      <c r="E48" s="14"/>
      <c r="F48" s="14"/>
      <c r="G48" s="14"/>
      <c r="H48" s="14"/>
      <c r="I48" s="14"/>
      <c r="J48" s="19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14"/>
      <c r="C49" s="84"/>
      <c r="D49" s="14"/>
      <c r="E49" s="14"/>
      <c r="F49" s="14"/>
      <c r="G49" s="14"/>
      <c r="H49" s="14"/>
      <c r="I49" s="14"/>
      <c r="J49" s="19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14"/>
      <c r="C50" s="84"/>
      <c r="D50" s="14"/>
      <c r="E50" s="14"/>
      <c r="F50" s="14"/>
      <c r="G50" s="14"/>
      <c r="H50" s="14"/>
      <c r="I50" s="14"/>
      <c r="J50" s="1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14"/>
      <c r="C51" s="84"/>
      <c r="D51" s="14"/>
      <c r="E51" s="14"/>
      <c r="F51" s="14"/>
      <c r="G51" s="14"/>
      <c r="H51" s="14"/>
      <c r="I51" s="14"/>
      <c r="J51" s="1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14"/>
      <c r="C52" s="84"/>
      <c r="D52" s="14"/>
      <c r="E52" s="14"/>
      <c r="F52" s="14"/>
      <c r="G52" s="14"/>
      <c r="H52" s="14"/>
      <c r="I52" s="14"/>
      <c r="J52" s="1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14"/>
      <c r="C53" s="84"/>
      <c r="D53" s="14"/>
      <c r="E53" s="14"/>
      <c r="F53" s="14"/>
      <c r="G53" s="14"/>
      <c r="H53" s="14"/>
      <c r="I53" s="14"/>
      <c r="J53" s="1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14"/>
      <c r="C54" s="84"/>
      <c r="D54" s="14"/>
      <c r="E54" s="14"/>
      <c r="F54" s="14"/>
      <c r="G54" s="14"/>
      <c r="H54" s="14"/>
      <c r="I54" s="14"/>
      <c r="J54" s="1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14"/>
      <c r="C55" s="84"/>
      <c r="D55" s="14"/>
      <c r="E55" s="14"/>
      <c r="F55" s="14"/>
      <c r="G55" s="14"/>
      <c r="H55" s="14"/>
      <c r="I55" s="14"/>
      <c r="J55" s="1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14"/>
      <c r="C56" s="84"/>
      <c r="D56" s="14"/>
      <c r="E56" s="14"/>
      <c r="F56" s="14"/>
      <c r="G56" s="14"/>
      <c r="H56" s="14"/>
      <c r="I56" s="14"/>
      <c r="J56" s="1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14"/>
      <c r="C57" s="84"/>
      <c r="D57" s="14"/>
      <c r="E57" s="14"/>
      <c r="F57" s="14"/>
      <c r="G57" s="14"/>
      <c r="H57" s="14"/>
      <c r="I57" s="14"/>
      <c r="J57" s="1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14"/>
      <c r="C58" s="84"/>
      <c r="D58" s="14"/>
      <c r="E58" s="14"/>
      <c r="F58" s="14"/>
      <c r="G58" s="14"/>
      <c r="H58" s="14"/>
      <c r="I58" s="14"/>
      <c r="J58" s="1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84"/>
      <c r="D59" s="14"/>
      <c r="E59" s="14"/>
      <c r="F59" s="14"/>
      <c r="G59" s="14"/>
      <c r="H59" s="14"/>
      <c r="I59" s="14"/>
      <c r="J59" s="1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14"/>
      <c r="C60" s="84"/>
      <c r="D60" s="14"/>
      <c r="E60" s="14"/>
      <c r="F60" s="14"/>
      <c r="G60" s="14"/>
      <c r="H60" s="14"/>
      <c r="I60" s="14"/>
      <c r="J60" s="1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14"/>
      <c r="C61" s="84"/>
      <c r="D61" s="14"/>
      <c r="E61" s="14"/>
      <c r="F61" s="14"/>
      <c r="G61" s="14"/>
      <c r="H61" s="14"/>
      <c r="I61" s="14"/>
      <c r="J61" s="1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14"/>
      <c r="C62" s="84"/>
      <c r="D62" s="14"/>
      <c r="E62" s="14"/>
      <c r="F62" s="14"/>
      <c r="G62" s="14"/>
      <c r="H62" s="14"/>
      <c r="I62" s="14"/>
      <c r="J62" s="1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14"/>
      <c r="C63" s="84"/>
      <c r="D63" s="14"/>
      <c r="E63" s="14"/>
      <c r="F63" s="14"/>
      <c r="G63" s="14"/>
      <c r="H63" s="14"/>
      <c r="I63" s="14"/>
      <c r="J63" s="1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14"/>
      <c r="C64" s="84"/>
      <c r="D64" s="14"/>
      <c r="E64" s="14"/>
      <c r="F64" s="14"/>
      <c r="G64" s="14"/>
      <c r="H64" s="14"/>
      <c r="I64" s="14"/>
      <c r="J64" s="1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14"/>
      <c r="C65" s="84"/>
      <c r="D65" s="14"/>
      <c r="E65" s="14"/>
      <c r="F65" s="14"/>
      <c r="G65" s="14"/>
      <c r="H65" s="14"/>
      <c r="I65" s="14"/>
      <c r="J65" s="1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14"/>
      <c r="C66" s="84"/>
      <c r="D66" s="14"/>
      <c r="E66" s="14"/>
      <c r="F66" s="14"/>
      <c r="G66" s="14"/>
      <c r="H66" s="14"/>
      <c r="I66" s="14"/>
      <c r="J66" s="1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84"/>
      <c r="D67" s="14"/>
      <c r="E67" s="14"/>
      <c r="F67" s="14"/>
      <c r="G67" s="14"/>
      <c r="H67" s="14"/>
      <c r="I67" s="14"/>
      <c r="J67" s="1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14"/>
      <c r="C68" s="84"/>
      <c r="D68" s="14"/>
      <c r="E68" s="14"/>
      <c r="F68" s="14"/>
      <c r="G68" s="14"/>
      <c r="H68" s="14"/>
      <c r="I68" s="14"/>
      <c r="J68" s="19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14"/>
      <c r="C69" s="84"/>
      <c r="D69" s="14"/>
      <c r="E69" s="14"/>
      <c r="F69" s="14"/>
      <c r="G69" s="14"/>
      <c r="H69" s="14"/>
      <c r="I69" s="14"/>
      <c r="J69" s="19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14"/>
      <c r="C70" s="84"/>
      <c r="D70" s="14"/>
      <c r="E70" s="14"/>
      <c r="F70" s="14"/>
      <c r="G70" s="14"/>
      <c r="H70" s="14"/>
      <c r="I70" s="14"/>
      <c r="J70" s="19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14"/>
      <c r="C71" s="84"/>
      <c r="D71" s="14"/>
      <c r="E71" s="14"/>
      <c r="F71" s="14"/>
      <c r="G71" s="14"/>
      <c r="H71" s="14"/>
      <c r="I71" s="14"/>
      <c r="J71" s="19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14"/>
      <c r="C72" s="84"/>
      <c r="D72" s="14"/>
      <c r="E72" s="14"/>
      <c r="F72" s="14"/>
      <c r="G72" s="14"/>
      <c r="H72" s="14"/>
      <c r="I72" s="14"/>
      <c r="J72" s="19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14"/>
      <c r="C73" s="84"/>
      <c r="D73" s="14"/>
      <c r="E73" s="14"/>
      <c r="F73" s="14"/>
      <c r="G73" s="14"/>
      <c r="H73" s="14"/>
      <c r="I73" s="14"/>
      <c r="J73" s="19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14"/>
      <c r="C74" s="84"/>
      <c r="D74" s="14"/>
      <c r="E74" s="14"/>
      <c r="F74" s="14"/>
      <c r="G74" s="14"/>
      <c r="H74" s="14"/>
      <c r="I74" s="14"/>
      <c r="J74" s="19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84"/>
      <c r="D75" s="14"/>
      <c r="E75" s="14"/>
      <c r="F75" s="14"/>
      <c r="G75" s="14"/>
      <c r="H75" s="14"/>
      <c r="I75" s="14"/>
      <c r="J75" s="1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14"/>
      <c r="C76" s="84"/>
      <c r="D76" s="14"/>
      <c r="E76" s="14"/>
      <c r="F76" s="14"/>
      <c r="G76" s="14"/>
      <c r="H76" s="14"/>
      <c r="I76" s="14"/>
      <c r="J76" s="1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14"/>
      <c r="C77" s="84"/>
      <c r="D77" s="14"/>
      <c r="E77" s="14"/>
      <c r="F77" s="14"/>
      <c r="G77" s="14"/>
      <c r="H77" s="14"/>
      <c r="I77" s="14"/>
      <c r="J77" s="1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14"/>
      <c r="C78" s="84"/>
      <c r="D78" s="14"/>
      <c r="E78" s="14"/>
      <c r="F78" s="14"/>
      <c r="G78" s="14"/>
      <c r="H78" s="14"/>
      <c r="I78" s="14"/>
      <c r="J78" s="1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14"/>
      <c r="C79" s="84"/>
      <c r="D79" s="14"/>
      <c r="E79" s="14"/>
      <c r="F79" s="14"/>
      <c r="G79" s="14"/>
      <c r="H79" s="14"/>
      <c r="I79" s="14"/>
      <c r="J79" s="19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14"/>
      <c r="C80" s="84"/>
      <c r="D80" s="14"/>
      <c r="E80" s="14"/>
      <c r="F80" s="14"/>
      <c r="G80" s="14"/>
      <c r="H80" s="14"/>
      <c r="I80" s="14"/>
      <c r="J80" s="19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84"/>
      <c r="D81" s="14"/>
      <c r="E81" s="14"/>
      <c r="F81" s="14"/>
      <c r="G81" s="14"/>
      <c r="H81" s="14"/>
      <c r="I81" s="14"/>
      <c r="J81" s="19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14"/>
      <c r="C82" s="84"/>
      <c r="D82" s="14"/>
      <c r="E82" s="14"/>
      <c r="F82" s="14"/>
      <c r="G82" s="14"/>
      <c r="H82" s="14"/>
      <c r="I82" s="14"/>
      <c r="J82" s="19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14"/>
      <c r="C83" s="84"/>
      <c r="D83" s="14"/>
      <c r="E83" s="14"/>
      <c r="F83" s="14"/>
      <c r="G83" s="14"/>
      <c r="H83" s="14"/>
      <c r="I83" s="14"/>
      <c r="J83" s="19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14"/>
      <c r="C84" s="84"/>
      <c r="D84" s="14"/>
      <c r="E84" s="14"/>
      <c r="F84" s="14"/>
      <c r="G84" s="14"/>
      <c r="H84" s="14"/>
      <c r="I84" s="14"/>
      <c r="J84" s="19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14"/>
      <c r="C85" s="84"/>
      <c r="D85" s="14"/>
      <c r="E85" s="14"/>
      <c r="F85" s="14"/>
      <c r="G85" s="14"/>
      <c r="H85" s="14"/>
      <c r="I85" s="14"/>
      <c r="J85" s="19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14"/>
      <c r="C86" s="84"/>
      <c r="D86" s="14"/>
      <c r="E86" s="14"/>
      <c r="F86" s="14"/>
      <c r="G86" s="14"/>
      <c r="H86" s="14"/>
      <c r="I86" s="14"/>
      <c r="J86" s="19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14"/>
      <c r="C87" s="84"/>
      <c r="D87" s="14"/>
      <c r="E87" s="14"/>
      <c r="F87" s="14"/>
      <c r="G87" s="14"/>
      <c r="H87" s="14"/>
      <c r="I87" s="14"/>
      <c r="J87" s="19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14"/>
      <c r="C88" s="84"/>
      <c r="D88" s="14"/>
      <c r="E88" s="14"/>
      <c r="F88" s="14"/>
      <c r="G88" s="14"/>
      <c r="H88" s="14"/>
      <c r="I88" s="14"/>
      <c r="J88" s="19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84"/>
      <c r="D89" s="14"/>
      <c r="E89" s="14"/>
      <c r="F89" s="14"/>
      <c r="G89" s="14"/>
      <c r="H89" s="14"/>
      <c r="I89" s="14"/>
      <c r="J89" s="19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14"/>
      <c r="C90" s="84"/>
      <c r="D90" s="14"/>
      <c r="E90" s="14"/>
      <c r="F90" s="14"/>
      <c r="G90" s="14"/>
      <c r="H90" s="14"/>
      <c r="I90" s="14"/>
      <c r="J90" s="19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14"/>
      <c r="C91" s="84"/>
      <c r="D91" s="14"/>
      <c r="E91" s="14"/>
      <c r="F91" s="14"/>
      <c r="G91" s="14"/>
      <c r="H91" s="14"/>
      <c r="I91" s="14"/>
      <c r="J91" s="19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14"/>
      <c r="C92" s="84"/>
      <c r="D92" s="14"/>
      <c r="E92" s="14"/>
      <c r="F92" s="14"/>
      <c r="G92" s="14"/>
      <c r="H92" s="14"/>
      <c r="I92" s="14"/>
      <c r="J92" s="19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14"/>
      <c r="C93" s="84"/>
      <c r="D93" s="14"/>
      <c r="E93" s="14"/>
      <c r="F93" s="14"/>
      <c r="G93" s="14"/>
      <c r="H93" s="14"/>
      <c r="I93" s="14"/>
      <c r="J93" s="19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14"/>
      <c r="C94" s="84"/>
      <c r="D94" s="14"/>
      <c r="E94" s="14"/>
      <c r="F94" s="14"/>
      <c r="G94" s="14"/>
      <c r="H94" s="14"/>
      <c r="I94" s="14"/>
      <c r="J94" s="19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14"/>
      <c r="C95" s="84"/>
      <c r="D95" s="14"/>
      <c r="E95" s="14"/>
      <c r="F95" s="14"/>
      <c r="G95" s="14"/>
      <c r="H95" s="14"/>
      <c r="I95" s="14"/>
      <c r="J95" s="19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84"/>
      <c r="D96" s="14"/>
      <c r="E96" s="14"/>
      <c r="F96" s="14"/>
      <c r="G96" s="14"/>
      <c r="H96" s="14"/>
      <c r="I96" s="14"/>
      <c r="J96" s="19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14"/>
      <c r="C97" s="84"/>
      <c r="D97" s="14"/>
      <c r="E97" s="14"/>
      <c r="F97" s="14"/>
      <c r="G97" s="14"/>
      <c r="H97" s="14"/>
      <c r="I97" s="14"/>
      <c r="J97" s="19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14"/>
      <c r="C98" s="84"/>
      <c r="D98" s="14"/>
      <c r="E98" s="14"/>
      <c r="F98" s="14"/>
      <c r="G98" s="14"/>
      <c r="H98" s="14"/>
      <c r="I98" s="14"/>
      <c r="J98" s="19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14"/>
      <c r="C99" s="84"/>
      <c r="D99" s="14"/>
      <c r="E99" s="14"/>
      <c r="F99" s="14"/>
      <c r="G99" s="14"/>
      <c r="H99" s="14"/>
      <c r="I99" s="14"/>
      <c r="J99" s="19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14"/>
      <c r="C100" s="84"/>
      <c r="D100" s="14"/>
      <c r="E100" s="14"/>
      <c r="F100" s="14"/>
      <c r="G100" s="14"/>
      <c r="H100" s="14"/>
      <c r="I100" s="14"/>
      <c r="J100" s="19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14"/>
      <c r="C101" s="84"/>
      <c r="D101" s="14"/>
      <c r="E101" s="14"/>
      <c r="F101" s="14"/>
      <c r="G101" s="14"/>
      <c r="H101" s="14"/>
      <c r="I101" s="14"/>
      <c r="J101" s="19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14"/>
      <c r="C102" s="84"/>
      <c r="D102" s="14"/>
      <c r="E102" s="14"/>
      <c r="F102" s="14"/>
      <c r="G102" s="14"/>
      <c r="H102" s="14"/>
      <c r="I102" s="14"/>
      <c r="J102" s="19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84"/>
      <c r="D103" s="14"/>
      <c r="E103" s="14"/>
      <c r="F103" s="14"/>
      <c r="G103" s="14"/>
      <c r="H103" s="14"/>
      <c r="I103" s="14"/>
      <c r="J103" s="19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14"/>
      <c r="C104" s="84"/>
      <c r="D104" s="14"/>
      <c r="E104" s="14"/>
      <c r="F104" s="14"/>
      <c r="G104" s="14"/>
      <c r="H104" s="14"/>
      <c r="I104" s="14"/>
      <c r="J104" s="19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14"/>
      <c r="C105" s="84"/>
      <c r="D105" s="14"/>
      <c r="E105" s="14"/>
      <c r="F105" s="14"/>
      <c r="G105" s="14"/>
      <c r="H105" s="14"/>
      <c r="I105" s="14"/>
      <c r="J105" s="19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14"/>
      <c r="C106" s="84"/>
      <c r="D106" s="14"/>
      <c r="E106" s="14"/>
      <c r="F106" s="14"/>
      <c r="G106" s="14"/>
      <c r="H106" s="14"/>
      <c r="I106" s="14"/>
      <c r="J106" s="19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14"/>
      <c r="C107" s="84"/>
      <c r="D107" s="14"/>
      <c r="E107" s="14"/>
      <c r="F107" s="14"/>
      <c r="G107" s="14"/>
      <c r="H107" s="14"/>
      <c r="I107" s="14"/>
      <c r="J107" s="19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14"/>
      <c r="C108" s="84"/>
      <c r="D108" s="14"/>
      <c r="E108" s="14"/>
      <c r="F108" s="14"/>
      <c r="G108" s="14"/>
      <c r="H108" s="14"/>
      <c r="I108" s="14"/>
      <c r="J108" s="19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14"/>
      <c r="C109" s="84"/>
      <c r="D109" s="14"/>
      <c r="E109" s="14"/>
      <c r="F109" s="14"/>
      <c r="G109" s="14"/>
      <c r="H109" s="14"/>
      <c r="I109" s="14"/>
      <c r="J109" s="19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14"/>
      <c r="C110" s="84"/>
      <c r="D110" s="14"/>
      <c r="E110" s="14"/>
      <c r="F110" s="14"/>
      <c r="G110" s="14"/>
      <c r="H110" s="14"/>
      <c r="I110" s="14"/>
      <c r="J110" s="19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14"/>
      <c r="C111" s="84"/>
      <c r="D111" s="14"/>
      <c r="E111" s="14"/>
      <c r="F111" s="14"/>
      <c r="G111" s="14"/>
      <c r="H111" s="14"/>
      <c r="I111" s="14"/>
      <c r="J111" s="19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14"/>
      <c r="C112" s="84"/>
      <c r="D112" s="14"/>
      <c r="E112" s="14"/>
      <c r="F112" s="14"/>
      <c r="G112" s="14"/>
      <c r="H112" s="14"/>
      <c r="I112" s="14"/>
      <c r="J112" s="19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14"/>
      <c r="C113" s="84"/>
      <c r="D113" s="14"/>
      <c r="E113" s="14"/>
      <c r="F113" s="14"/>
      <c r="G113" s="14"/>
      <c r="H113" s="14"/>
      <c r="I113" s="14"/>
      <c r="J113" s="19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14"/>
      <c r="C114" s="84"/>
      <c r="D114" s="14"/>
      <c r="E114" s="14"/>
      <c r="F114" s="14"/>
      <c r="G114" s="14"/>
      <c r="H114" s="14"/>
      <c r="I114" s="14"/>
      <c r="J114" s="19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14"/>
      <c r="C115" s="84"/>
      <c r="D115" s="14"/>
      <c r="E115" s="14"/>
      <c r="F115" s="14"/>
      <c r="G115" s="14"/>
      <c r="H115" s="14"/>
      <c r="I115" s="14"/>
      <c r="J115" s="19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14"/>
      <c r="C116" s="84"/>
      <c r="D116" s="14"/>
      <c r="E116" s="14"/>
      <c r="F116" s="14"/>
      <c r="G116" s="14"/>
      <c r="H116" s="14"/>
      <c r="I116" s="14"/>
      <c r="J116" s="19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14"/>
      <c r="C117" s="84"/>
      <c r="D117" s="14"/>
      <c r="E117" s="14"/>
      <c r="F117" s="14"/>
      <c r="G117" s="14"/>
      <c r="H117" s="14"/>
      <c r="I117" s="14"/>
      <c r="J117" s="19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14"/>
      <c r="C118" s="84"/>
      <c r="D118" s="14"/>
      <c r="E118" s="14"/>
      <c r="F118" s="14"/>
      <c r="G118" s="14"/>
      <c r="H118" s="14"/>
      <c r="I118" s="14"/>
      <c r="J118" s="19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14"/>
      <c r="C119" s="84"/>
      <c r="D119" s="14"/>
      <c r="E119" s="14"/>
      <c r="F119" s="14"/>
      <c r="G119" s="14"/>
      <c r="H119" s="14"/>
      <c r="I119" s="14"/>
      <c r="J119" s="19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14"/>
      <c r="C120" s="84"/>
      <c r="D120" s="14"/>
      <c r="E120" s="14"/>
      <c r="F120" s="14"/>
      <c r="G120" s="14"/>
      <c r="H120" s="14"/>
      <c r="I120" s="14"/>
      <c r="J120" s="19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14"/>
      <c r="C121" s="84"/>
      <c r="D121" s="14"/>
      <c r="E121" s="14"/>
      <c r="F121" s="14"/>
      <c r="G121" s="14"/>
      <c r="H121" s="14"/>
      <c r="I121" s="14"/>
      <c r="J121" s="19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14"/>
      <c r="C122" s="84"/>
      <c r="D122" s="14"/>
      <c r="E122" s="14"/>
      <c r="F122" s="14"/>
      <c r="G122" s="14"/>
      <c r="H122" s="14"/>
      <c r="I122" s="14"/>
      <c r="J122" s="19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14"/>
      <c r="C123" s="84"/>
      <c r="D123" s="14"/>
      <c r="E123" s="14"/>
      <c r="F123" s="14"/>
      <c r="G123" s="14"/>
      <c r="H123" s="14"/>
      <c r="I123" s="14"/>
      <c r="J123" s="19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84"/>
      <c r="D124" s="14"/>
      <c r="E124" s="14"/>
      <c r="F124" s="14"/>
      <c r="G124" s="14"/>
      <c r="H124" s="14"/>
      <c r="I124" s="14"/>
      <c r="J124" s="19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84"/>
      <c r="D125" s="14"/>
      <c r="E125" s="14"/>
      <c r="F125" s="14"/>
      <c r="G125" s="14"/>
      <c r="H125" s="14"/>
      <c r="I125" s="14"/>
      <c r="J125" s="19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14"/>
      <c r="C126" s="84"/>
      <c r="D126" s="14"/>
      <c r="E126" s="14"/>
      <c r="F126" s="14"/>
      <c r="G126" s="14"/>
      <c r="H126" s="14"/>
      <c r="I126" s="14"/>
      <c r="J126" s="19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14"/>
      <c r="C127" s="84"/>
      <c r="D127" s="14"/>
      <c r="E127" s="14"/>
      <c r="F127" s="14"/>
      <c r="G127" s="14"/>
      <c r="H127" s="14"/>
      <c r="I127" s="14"/>
      <c r="J127" s="19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14"/>
      <c r="C128" s="84"/>
      <c r="D128" s="14"/>
      <c r="E128" s="14"/>
      <c r="F128" s="14"/>
      <c r="G128" s="14"/>
      <c r="H128" s="14"/>
      <c r="I128" s="14"/>
      <c r="J128" s="19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14"/>
      <c r="C129" s="84"/>
      <c r="D129" s="14"/>
      <c r="E129" s="14"/>
      <c r="F129" s="14"/>
      <c r="G129" s="14"/>
      <c r="H129" s="14"/>
      <c r="I129" s="14"/>
      <c r="J129" s="19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14"/>
      <c r="C130" s="84"/>
      <c r="D130" s="14"/>
      <c r="E130" s="14"/>
      <c r="F130" s="14"/>
      <c r="G130" s="14"/>
      <c r="H130" s="14"/>
      <c r="I130" s="14"/>
      <c r="J130" s="19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14"/>
      <c r="C131" s="84"/>
      <c r="D131" s="14"/>
      <c r="E131" s="14"/>
      <c r="F131" s="14"/>
      <c r="G131" s="14"/>
      <c r="H131" s="14"/>
      <c r="I131" s="14"/>
      <c r="J131" s="19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14"/>
      <c r="C132" s="84"/>
      <c r="D132" s="14"/>
      <c r="E132" s="14"/>
      <c r="F132" s="14"/>
      <c r="G132" s="14"/>
      <c r="H132" s="14"/>
      <c r="I132" s="14"/>
      <c r="J132" s="19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84"/>
      <c r="D133" s="14"/>
      <c r="E133" s="14"/>
      <c r="F133" s="14"/>
      <c r="G133" s="14"/>
      <c r="H133" s="14"/>
      <c r="I133" s="14"/>
      <c r="J133" s="19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14"/>
      <c r="C134" s="84"/>
      <c r="D134" s="14"/>
      <c r="E134" s="14"/>
      <c r="F134" s="14"/>
      <c r="G134" s="14"/>
      <c r="H134" s="14"/>
      <c r="I134" s="14"/>
      <c r="J134" s="19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14"/>
      <c r="C135" s="84"/>
      <c r="D135" s="14"/>
      <c r="E135" s="14"/>
      <c r="F135" s="14"/>
      <c r="G135" s="14"/>
      <c r="H135" s="14"/>
      <c r="I135" s="14"/>
      <c r="J135" s="19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14"/>
      <c r="C136" s="84"/>
      <c r="D136" s="14"/>
      <c r="E136" s="14"/>
      <c r="F136" s="14"/>
      <c r="G136" s="14"/>
      <c r="H136" s="14"/>
      <c r="I136" s="14"/>
      <c r="J136" s="19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14"/>
      <c r="C137" s="84"/>
      <c r="D137" s="14"/>
      <c r="E137" s="14"/>
      <c r="F137" s="14"/>
      <c r="G137" s="14"/>
      <c r="H137" s="14"/>
      <c r="I137" s="14"/>
      <c r="J137" s="19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14"/>
      <c r="C138" s="84"/>
      <c r="D138" s="14"/>
      <c r="E138" s="14"/>
      <c r="F138" s="14"/>
      <c r="G138" s="14"/>
      <c r="H138" s="14"/>
      <c r="I138" s="14"/>
      <c r="J138" s="19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14"/>
      <c r="C139" s="84"/>
      <c r="D139" s="14"/>
      <c r="E139" s="14"/>
      <c r="F139" s="14"/>
      <c r="G139" s="14"/>
      <c r="H139" s="14"/>
      <c r="I139" s="14"/>
      <c r="J139" s="19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14"/>
      <c r="C140" s="84"/>
      <c r="D140" s="14"/>
      <c r="E140" s="14"/>
      <c r="F140" s="14"/>
      <c r="G140" s="14"/>
      <c r="H140" s="14"/>
      <c r="I140" s="14"/>
      <c r="J140" s="19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14"/>
      <c r="C141" s="84"/>
      <c r="D141" s="14"/>
      <c r="E141" s="14"/>
      <c r="F141" s="14"/>
      <c r="G141" s="14"/>
      <c r="H141" s="14"/>
      <c r="I141" s="14"/>
      <c r="J141" s="19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14"/>
      <c r="C142" s="84"/>
      <c r="D142" s="14"/>
      <c r="E142" s="14"/>
      <c r="F142" s="14"/>
      <c r="G142" s="14"/>
      <c r="H142" s="14"/>
      <c r="I142" s="14"/>
      <c r="J142" s="19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14"/>
      <c r="C143" s="84"/>
      <c r="D143" s="14"/>
      <c r="E143" s="14"/>
      <c r="F143" s="14"/>
      <c r="G143" s="14"/>
      <c r="H143" s="14"/>
      <c r="I143" s="14"/>
      <c r="J143" s="19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84"/>
      <c r="D144" s="14"/>
      <c r="E144" s="14"/>
      <c r="F144" s="14"/>
      <c r="G144" s="14"/>
      <c r="H144" s="14"/>
      <c r="I144" s="14"/>
      <c r="J144" s="19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14"/>
      <c r="C145" s="84"/>
      <c r="D145" s="14"/>
      <c r="E145" s="14"/>
      <c r="F145" s="14"/>
      <c r="G145" s="14"/>
      <c r="H145" s="14"/>
      <c r="I145" s="14"/>
      <c r="J145" s="19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14"/>
      <c r="C146" s="84"/>
      <c r="D146" s="14"/>
      <c r="E146" s="14"/>
      <c r="F146" s="14"/>
      <c r="G146" s="14"/>
      <c r="H146" s="14"/>
      <c r="I146" s="14"/>
      <c r="J146" s="19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14"/>
      <c r="C147" s="84"/>
      <c r="D147" s="14"/>
      <c r="E147" s="14"/>
      <c r="F147" s="14"/>
      <c r="G147" s="14"/>
      <c r="H147" s="14"/>
      <c r="I147" s="14"/>
      <c r="J147" s="19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84"/>
      <c r="D148" s="14"/>
      <c r="E148" s="14"/>
      <c r="F148" s="14"/>
      <c r="G148" s="14"/>
      <c r="H148" s="14"/>
      <c r="I148" s="14"/>
      <c r="J148" s="19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84"/>
      <c r="D149" s="14"/>
      <c r="E149" s="14"/>
      <c r="F149" s="14"/>
      <c r="G149" s="14"/>
      <c r="H149" s="14"/>
      <c r="I149" s="14"/>
      <c r="J149" s="19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84"/>
      <c r="D150" s="14"/>
      <c r="E150" s="14"/>
      <c r="F150" s="14"/>
      <c r="G150" s="14"/>
      <c r="H150" s="14"/>
      <c r="I150" s="14"/>
      <c r="J150" s="19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84"/>
      <c r="D151" s="14"/>
      <c r="E151" s="14"/>
      <c r="F151" s="14"/>
      <c r="G151" s="14"/>
      <c r="H151" s="14"/>
      <c r="I151" s="14"/>
      <c r="J151" s="19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84"/>
      <c r="D152" s="14"/>
      <c r="E152" s="14"/>
      <c r="F152" s="14"/>
      <c r="G152" s="14"/>
      <c r="H152" s="14"/>
      <c r="I152" s="14"/>
      <c r="J152" s="19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84"/>
      <c r="D153" s="14"/>
      <c r="E153" s="14"/>
      <c r="F153" s="14"/>
      <c r="G153" s="14"/>
      <c r="H153" s="14"/>
      <c r="I153" s="14"/>
      <c r="J153" s="19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84"/>
      <c r="D154" s="14"/>
      <c r="E154" s="14"/>
      <c r="F154" s="14"/>
      <c r="G154" s="14"/>
      <c r="H154" s="14"/>
      <c r="I154" s="14"/>
      <c r="J154" s="19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84"/>
      <c r="D155" s="14"/>
      <c r="E155" s="14"/>
      <c r="F155" s="14"/>
      <c r="G155" s="14"/>
      <c r="H155" s="14"/>
      <c r="I155" s="14"/>
      <c r="J155" s="19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84"/>
      <c r="D156" s="14"/>
      <c r="E156" s="14"/>
      <c r="F156" s="14"/>
      <c r="G156" s="14"/>
      <c r="H156" s="14"/>
      <c r="I156" s="14"/>
      <c r="J156" s="19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84"/>
      <c r="D157" s="14"/>
      <c r="E157" s="14"/>
      <c r="F157" s="14"/>
      <c r="G157" s="14"/>
      <c r="H157" s="14"/>
      <c r="I157" s="14"/>
      <c r="J157" s="19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84"/>
      <c r="D158" s="14"/>
      <c r="E158" s="14"/>
      <c r="F158" s="14"/>
      <c r="G158" s="14"/>
      <c r="H158" s="14"/>
      <c r="I158" s="14"/>
      <c r="J158" s="19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84"/>
      <c r="D159" s="14"/>
      <c r="E159" s="14"/>
      <c r="F159" s="14"/>
      <c r="G159" s="14"/>
      <c r="H159" s="14"/>
      <c r="I159" s="14"/>
      <c r="J159" s="19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84"/>
      <c r="D160" s="14"/>
      <c r="E160" s="14"/>
      <c r="F160" s="14"/>
      <c r="G160" s="14"/>
      <c r="H160" s="14"/>
      <c r="I160" s="14"/>
      <c r="J160" s="19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84"/>
      <c r="D161" s="14"/>
      <c r="E161" s="14"/>
      <c r="F161" s="14"/>
      <c r="G161" s="14"/>
      <c r="H161" s="14"/>
      <c r="I161" s="14"/>
      <c r="J161" s="19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84"/>
      <c r="D162" s="14"/>
      <c r="E162" s="14"/>
      <c r="F162" s="14"/>
      <c r="G162" s="14"/>
      <c r="H162" s="14"/>
      <c r="I162" s="14"/>
      <c r="J162" s="19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84"/>
      <c r="D163" s="14"/>
      <c r="E163" s="14"/>
      <c r="F163" s="14"/>
      <c r="G163" s="14"/>
      <c r="H163" s="14"/>
      <c r="I163" s="14"/>
      <c r="J163" s="19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84"/>
      <c r="D164" s="14"/>
      <c r="E164" s="14"/>
      <c r="F164" s="14"/>
      <c r="G164" s="14"/>
      <c r="H164" s="14"/>
      <c r="I164" s="14"/>
      <c r="J164" s="19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84"/>
      <c r="D165" s="14"/>
      <c r="E165" s="14"/>
      <c r="F165" s="14"/>
      <c r="G165" s="14"/>
      <c r="H165" s="14"/>
      <c r="I165" s="14"/>
      <c r="J165" s="19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84"/>
      <c r="D166" s="14"/>
      <c r="E166" s="14"/>
      <c r="F166" s="14"/>
      <c r="G166" s="14"/>
      <c r="H166" s="14"/>
      <c r="I166" s="14"/>
      <c r="J166" s="19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84"/>
      <c r="D167" s="14"/>
      <c r="E167" s="14"/>
      <c r="F167" s="14"/>
      <c r="G167" s="14"/>
      <c r="H167" s="14"/>
      <c r="I167" s="14"/>
      <c r="J167" s="19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84"/>
      <c r="D168" s="14"/>
      <c r="E168" s="14"/>
      <c r="F168" s="14"/>
      <c r="G168" s="14"/>
      <c r="H168" s="14"/>
      <c r="I168" s="14"/>
      <c r="J168" s="19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84"/>
      <c r="D169" s="14"/>
      <c r="E169" s="14"/>
      <c r="F169" s="14"/>
      <c r="G169" s="14"/>
      <c r="H169" s="14"/>
      <c r="I169" s="14"/>
      <c r="J169" s="19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84"/>
      <c r="D170" s="14"/>
      <c r="E170" s="14"/>
      <c r="F170" s="14"/>
      <c r="G170" s="14"/>
      <c r="H170" s="14"/>
      <c r="I170" s="14"/>
      <c r="J170" s="19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84"/>
      <c r="D171" s="14"/>
      <c r="E171" s="14"/>
      <c r="F171" s="14"/>
      <c r="G171" s="14"/>
      <c r="H171" s="14"/>
      <c r="I171" s="14"/>
      <c r="J171" s="19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84"/>
      <c r="D172" s="14"/>
      <c r="E172" s="14"/>
      <c r="F172" s="14"/>
      <c r="G172" s="14"/>
      <c r="H172" s="14"/>
      <c r="I172" s="14"/>
      <c r="J172" s="19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84"/>
      <c r="D173" s="14"/>
      <c r="E173" s="14"/>
      <c r="F173" s="14"/>
      <c r="G173" s="14"/>
      <c r="H173" s="14"/>
      <c r="I173" s="14"/>
      <c r="J173" s="19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84"/>
      <c r="D174" s="14"/>
      <c r="E174" s="14"/>
      <c r="F174" s="14"/>
      <c r="G174" s="14"/>
      <c r="H174" s="14"/>
      <c r="I174" s="14"/>
      <c r="J174" s="19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84"/>
      <c r="D175" s="14"/>
      <c r="E175" s="14"/>
      <c r="F175" s="14"/>
      <c r="G175" s="14"/>
      <c r="H175" s="14"/>
      <c r="I175" s="14"/>
      <c r="J175" s="19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84"/>
      <c r="D176" s="14"/>
      <c r="E176" s="14"/>
      <c r="F176" s="14"/>
      <c r="G176" s="14"/>
      <c r="H176" s="14"/>
      <c r="I176" s="14"/>
      <c r="J176" s="19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84"/>
      <c r="D177" s="14"/>
      <c r="E177" s="14"/>
      <c r="F177" s="14"/>
      <c r="G177" s="14"/>
      <c r="H177" s="14"/>
      <c r="I177" s="14"/>
      <c r="J177" s="19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84"/>
      <c r="D178" s="14"/>
      <c r="E178" s="14"/>
      <c r="F178" s="14"/>
      <c r="G178" s="14"/>
      <c r="H178" s="14"/>
      <c r="I178" s="14"/>
      <c r="J178" s="19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84"/>
      <c r="D179" s="14"/>
      <c r="E179" s="14"/>
      <c r="F179" s="14"/>
      <c r="G179" s="14"/>
      <c r="H179" s="14"/>
      <c r="I179" s="14"/>
      <c r="J179" s="19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84"/>
      <c r="D180" s="14"/>
      <c r="E180" s="14"/>
      <c r="F180" s="14"/>
      <c r="G180" s="14"/>
      <c r="H180" s="14"/>
      <c r="I180" s="14"/>
      <c r="J180" s="19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84"/>
      <c r="D181" s="14"/>
      <c r="E181" s="14"/>
      <c r="F181" s="14"/>
      <c r="G181" s="14"/>
      <c r="H181" s="14"/>
      <c r="I181" s="14"/>
      <c r="J181" s="19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84"/>
      <c r="D182" s="14"/>
      <c r="E182" s="14"/>
      <c r="F182" s="14"/>
      <c r="G182" s="14"/>
      <c r="H182" s="14"/>
      <c r="I182" s="14"/>
      <c r="J182" s="19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84"/>
      <c r="D183" s="14"/>
      <c r="E183" s="14"/>
      <c r="F183" s="14"/>
      <c r="G183" s="14"/>
      <c r="H183" s="14"/>
      <c r="I183" s="14"/>
      <c r="J183" s="19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84"/>
      <c r="D184" s="14"/>
      <c r="E184" s="14"/>
      <c r="F184" s="14"/>
      <c r="G184" s="14"/>
      <c r="H184" s="14"/>
      <c r="I184" s="14"/>
      <c r="J184" s="19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84"/>
      <c r="D185" s="14"/>
      <c r="E185" s="14"/>
      <c r="F185" s="14"/>
      <c r="G185" s="14"/>
      <c r="H185" s="14"/>
      <c r="I185" s="14"/>
      <c r="J185" s="19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84"/>
      <c r="D186" s="14"/>
      <c r="E186" s="14"/>
      <c r="F186" s="14"/>
      <c r="G186" s="14"/>
      <c r="H186" s="14"/>
      <c r="I186" s="14"/>
      <c r="J186" s="19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84"/>
      <c r="D187" s="14"/>
      <c r="E187" s="14"/>
      <c r="F187" s="14"/>
      <c r="G187" s="14"/>
      <c r="H187" s="14"/>
      <c r="I187" s="14"/>
      <c r="J187" s="19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84"/>
      <c r="D188" s="14"/>
      <c r="E188" s="14"/>
      <c r="F188" s="14"/>
      <c r="G188" s="14"/>
      <c r="H188" s="14"/>
      <c r="I188" s="14"/>
      <c r="J188" s="19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84"/>
      <c r="D189" s="14"/>
      <c r="E189" s="14"/>
      <c r="F189" s="14"/>
      <c r="G189" s="14"/>
      <c r="H189" s="14"/>
      <c r="I189" s="14"/>
      <c r="J189" s="19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84"/>
      <c r="D190" s="14"/>
      <c r="E190" s="14"/>
      <c r="F190" s="14"/>
      <c r="G190" s="14"/>
      <c r="H190" s="14"/>
      <c r="I190" s="14"/>
      <c r="J190" s="19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84"/>
      <c r="D191" s="14"/>
      <c r="E191" s="14"/>
      <c r="F191" s="14"/>
      <c r="G191" s="14"/>
      <c r="H191" s="14"/>
      <c r="I191" s="14"/>
      <c r="J191" s="19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84"/>
      <c r="D192" s="14"/>
      <c r="E192" s="14"/>
      <c r="F192" s="14"/>
      <c r="G192" s="14"/>
      <c r="H192" s="14"/>
      <c r="I192" s="14"/>
      <c r="J192" s="19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84"/>
      <c r="D193" s="14"/>
      <c r="E193" s="14"/>
      <c r="F193" s="14"/>
      <c r="G193" s="14"/>
      <c r="H193" s="14"/>
      <c r="I193" s="14"/>
      <c r="J193" s="19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84"/>
      <c r="D194" s="14"/>
      <c r="E194" s="14"/>
      <c r="F194" s="14"/>
      <c r="G194" s="14"/>
      <c r="H194" s="14"/>
      <c r="I194" s="14"/>
      <c r="J194" s="19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84"/>
      <c r="D195" s="14"/>
      <c r="E195" s="14"/>
      <c r="F195" s="14"/>
      <c r="G195" s="14"/>
      <c r="H195" s="14"/>
      <c r="I195" s="14"/>
      <c r="J195" s="19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84"/>
      <c r="D196" s="14"/>
      <c r="E196" s="14"/>
      <c r="F196" s="14"/>
      <c r="G196" s="14"/>
      <c r="H196" s="14"/>
      <c r="I196" s="14"/>
      <c r="J196" s="19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84"/>
      <c r="D197" s="14"/>
      <c r="E197" s="14"/>
      <c r="F197" s="14"/>
      <c r="G197" s="14"/>
      <c r="H197" s="14"/>
      <c r="I197" s="14"/>
      <c r="J197" s="19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84"/>
      <c r="D198" s="14"/>
      <c r="E198" s="14"/>
      <c r="F198" s="14"/>
      <c r="G198" s="14"/>
      <c r="H198" s="14"/>
      <c r="I198" s="14"/>
      <c r="J198" s="19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84"/>
      <c r="D199" s="14"/>
      <c r="E199" s="14"/>
      <c r="F199" s="14"/>
      <c r="G199" s="14"/>
      <c r="H199" s="14"/>
      <c r="I199" s="14"/>
      <c r="J199" s="19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84"/>
      <c r="D200" s="14"/>
      <c r="E200" s="14"/>
      <c r="F200" s="14"/>
      <c r="G200" s="14"/>
      <c r="H200" s="14"/>
      <c r="I200" s="14"/>
      <c r="J200" s="19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84"/>
      <c r="D201" s="14"/>
      <c r="E201" s="14"/>
      <c r="F201" s="14"/>
      <c r="G201" s="14"/>
      <c r="H201" s="14"/>
      <c r="I201" s="14"/>
      <c r="J201" s="19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84"/>
      <c r="D202" s="14"/>
      <c r="E202" s="14"/>
      <c r="F202" s="14"/>
      <c r="G202" s="14"/>
      <c r="H202" s="14"/>
      <c r="I202" s="14"/>
      <c r="J202" s="19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84"/>
      <c r="D203" s="14"/>
      <c r="E203" s="14"/>
      <c r="F203" s="14"/>
      <c r="G203" s="14"/>
      <c r="H203" s="14"/>
      <c r="I203" s="14"/>
      <c r="J203" s="19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84"/>
      <c r="D204" s="14"/>
      <c r="E204" s="14"/>
      <c r="F204" s="14"/>
      <c r="G204" s="14"/>
      <c r="H204" s="14"/>
      <c r="I204" s="14"/>
      <c r="J204" s="19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84"/>
      <c r="D205" s="14"/>
      <c r="E205" s="14"/>
      <c r="F205" s="14"/>
      <c r="G205" s="14"/>
      <c r="H205" s="14"/>
      <c r="I205" s="14"/>
      <c r="J205" s="19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84"/>
      <c r="D206" s="14"/>
      <c r="E206" s="14"/>
      <c r="F206" s="14"/>
      <c r="G206" s="14"/>
      <c r="H206" s="14"/>
      <c r="I206" s="14"/>
      <c r="J206" s="19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84"/>
      <c r="D207" s="14"/>
      <c r="E207" s="14"/>
      <c r="F207" s="14"/>
      <c r="G207" s="14"/>
      <c r="H207" s="14"/>
      <c r="I207" s="14"/>
      <c r="J207" s="19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84"/>
      <c r="D208" s="14"/>
      <c r="E208" s="14"/>
      <c r="F208" s="14"/>
      <c r="G208" s="14"/>
      <c r="H208" s="14"/>
      <c r="I208" s="14"/>
      <c r="J208" s="19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84"/>
      <c r="D209" s="14"/>
      <c r="E209" s="14"/>
      <c r="F209" s="14"/>
      <c r="G209" s="14"/>
      <c r="H209" s="14"/>
      <c r="I209" s="14"/>
      <c r="J209" s="19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84"/>
      <c r="D210" s="14"/>
      <c r="E210" s="14"/>
      <c r="F210" s="14"/>
      <c r="G210" s="14"/>
      <c r="H210" s="14"/>
      <c r="I210" s="14"/>
      <c r="J210" s="19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84"/>
      <c r="D211" s="14"/>
      <c r="E211" s="14"/>
      <c r="F211" s="14"/>
      <c r="G211" s="14"/>
      <c r="H211" s="14"/>
      <c r="I211" s="14"/>
      <c r="J211" s="19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84"/>
      <c r="D212" s="14"/>
      <c r="E212" s="14"/>
      <c r="F212" s="14"/>
      <c r="G212" s="14"/>
      <c r="H212" s="14"/>
      <c r="I212" s="14"/>
      <c r="J212" s="19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84"/>
      <c r="D213" s="14"/>
      <c r="E213" s="14"/>
      <c r="F213" s="14"/>
      <c r="G213" s="14"/>
      <c r="H213" s="14"/>
      <c r="I213" s="14"/>
      <c r="J213" s="19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84"/>
      <c r="D214" s="14"/>
      <c r="E214" s="14"/>
      <c r="F214" s="14"/>
      <c r="G214" s="14"/>
      <c r="H214" s="14"/>
      <c r="I214" s="14"/>
      <c r="J214" s="19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84"/>
      <c r="D215" s="14"/>
      <c r="E215" s="14"/>
      <c r="F215" s="14"/>
      <c r="G215" s="14"/>
      <c r="H215" s="14"/>
      <c r="I215" s="14"/>
      <c r="J215" s="19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84"/>
      <c r="D216" s="14"/>
      <c r="E216" s="14"/>
      <c r="F216" s="14"/>
      <c r="G216" s="14"/>
      <c r="H216" s="14"/>
      <c r="I216" s="14"/>
      <c r="J216" s="19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84"/>
      <c r="D217" s="14"/>
      <c r="E217" s="14"/>
      <c r="F217" s="14"/>
      <c r="G217" s="14"/>
      <c r="H217" s="14"/>
      <c r="I217" s="14"/>
      <c r="J217" s="19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84"/>
      <c r="D218" s="14"/>
      <c r="E218" s="14"/>
      <c r="F218" s="14"/>
      <c r="G218" s="14"/>
      <c r="H218" s="14"/>
      <c r="I218" s="14"/>
      <c r="J218" s="19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84"/>
      <c r="D219" s="14"/>
      <c r="E219" s="14"/>
      <c r="F219" s="14"/>
      <c r="G219" s="14"/>
      <c r="H219" s="14"/>
      <c r="I219" s="14"/>
      <c r="J219" s="19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84"/>
      <c r="D220" s="14"/>
      <c r="E220" s="14"/>
      <c r="F220" s="14"/>
      <c r="G220" s="14"/>
      <c r="H220" s="14"/>
      <c r="I220" s="14"/>
      <c r="J220" s="19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84"/>
      <c r="D221" s="14"/>
      <c r="E221" s="14"/>
      <c r="F221" s="14"/>
      <c r="G221" s="14"/>
      <c r="H221" s="14"/>
      <c r="I221" s="14"/>
      <c r="J221" s="19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84"/>
      <c r="D222" s="14"/>
      <c r="E222" s="14"/>
      <c r="F222" s="14"/>
      <c r="G222" s="14"/>
      <c r="H222" s="14"/>
      <c r="I222" s="14"/>
      <c r="J222" s="19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84"/>
      <c r="D223" s="14"/>
      <c r="E223" s="14"/>
      <c r="F223" s="14"/>
      <c r="G223" s="14"/>
      <c r="H223" s="14"/>
      <c r="I223" s="14"/>
      <c r="J223" s="19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84"/>
      <c r="D224" s="14"/>
      <c r="E224" s="14"/>
      <c r="F224" s="14"/>
      <c r="G224" s="14"/>
      <c r="H224" s="14"/>
      <c r="I224" s="14"/>
      <c r="J224" s="19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84"/>
      <c r="D225" s="14"/>
      <c r="E225" s="14"/>
      <c r="F225" s="14"/>
      <c r="G225" s="14"/>
      <c r="H225" s="14"/>
      <c r="I225" s="14"/>
      <c r="J225" s="19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84"/>
      <c r="D226" s="14"/>
      <c r="E226" s="14"/>
      <c r="F226" s="14"/>
      <c r="G226" s="14"/>
      <c r="H226" s="14"/>
      <c r="I226" s="14"/>
      <c r="J226" s="19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84"/>
      <c r="D227" s="14"/>
      <c r="E227" s="14"/>
      <c r="F227" s="14"/>
      <c r="G227" s="14"/>
      <c r="H227" s="14"/>
      <c r="I227" s="14"/>
      <c r="J227" s="19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84"/>
      <c r="D228" s="14"/>
      <c r="E228" s="14"/>
      <c r="F228" s="14"/>
      <c r="G228" s="14"/>
      <c r="H228" s="14"/>
      <c r="I228" s="14"/>
      <c r="J228" s="19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84"/>
      <c r="D229" s="14"/>
      <c r="E229" s="14"/>
      <c r="F229" s="14"/>
      <c r="G229" s="14"/>
      <c r="H229" s="14"/>
      <c r="I229" s="14"/>
      <c r="J229" s="19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84"/>
      <c r="D230" s="14"/>
      <c r="E230" s="14"/>
      <c r="F230" s="14"/>
      <c r="G230" s="14"/>
      <c r="H230" s="14"/>
      <c r="I230" s="14"/>
      <c r="J230" s="19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84"/>
      <c r="D231" s="14"/>
      <c r="E231" s="14"/>
      <c r="F231" s="14"/>
      <c r="G231" s="14"/>
      <c r="H231" s="14"/>
      <c r="I231" s="14"/>
      <c r="J231" s="19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84"/>
      <c r="D232" s="14"/>
      <c r="E232" s="14"/>
      <c r="F232" s="14"/>
      <c r="G232" s="14"/>
      <c r="H232" s="14"/>
      <c r="I232" s="14"/>
      <c r="J232" s="19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84"/>
      <c r="D233" s="14"/>
      <c r="E233" s="14"/>
      <c r="F233" s="14"/>
      <c r="G233" s="14"/>
      <c r="H233" s="14"/>
      <c r="I233" s="14"/>
      <c r="J233" s="19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84"/>
      <c r="D234" s="14"/>
      <c r="E234" s="14"/>
      <c r="F234" s="14"/>
      <c r="G234" s="14"/>
      <c r="H234" s="14"/>
      <c r="I234" s="14"/>
      <c r="J234" s="19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84"/>
      <c r="D235" s="14"/>
      <c r="E235" s="14"/>
      <c r="F235" s="14"/>
      <c r="G235" s="14"/>
      <c r="H235" s="14"/>
      <c r="I235" s="14"/>
      <c r="J235" s="19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84"/>
      <c r="D236" s="14"/>
      <c r="E236" s="14"/>
      <c r="F236" s="14"/>
      <c r="G236" s="14"/>
      <c r="H236" s="14"/>
      <c r="I236" s="14"/>
      <c r="J236" s="19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84"/>
      <c r="D237" s="14"/>
      <c r="E237" s="14"/>
      <c r="F237" s="14"/>
      <c r="G237" s="14"/>
      <c r="H237" s="14"/>
      <c r="I237" s="14"/>
      <c r="J237" s="19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84"/>
      <c r="D238" s="14"/>
      <c r="E238" s="14"/>
      <c r="F238" s="14"/>
      <c r="G238" s="14"/>
      <c r="H238" s="14"/>
      <c r="I238" s="14"/>
      <c r="J238" s="19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84"/>
      <c r="D239" s="14"/>
      <c r="E239" s="14"/>
      <c r="F239" s="14"/>
      <c r="G239" s="14"/>
      <c r="H239" s="14"/>
      <c r="I239" s="14"/>
      <c r="J239" s="19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84"/>
      <c r="D240" s="14"/>
      <c r="E240" s="14"/>
      <c r="F240" s="14"/>
      <c r="G240" s="14"/>
      <c r="H240" s="14"/>
      <c r="I240" s="14"/>
      <c r="J240" s="19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84"/>
      <c r="D241" s="14"/>
      <c r="E241" s="14"/>
      <c r="F241" s="14"/>
      <c r="G241" s="14"/>
      <c r="H241" s="14"/>
      <c r="I241" s="14"/>
      <c r="J241" s="19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84"/>
      <c r="D242" s="14"/>
      <c r="E242" s="14"/>
      <c r="F242" s="14"/>
      <c r="G242" s="14"/>
      <c r="H242" s="14"/>
      <c r="I242" s="14"/>
      <c r="J242" s="19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84"/>
      <c r="D243" s="14"/>
      <c r="E243" s="14"/>
      <c r="F243" s="14"/>
      <c r="G243" s="14"/>
      <c r="H243" s="14"/>
      <c r="I243" s="14"/>
      <c r="J243" s="19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84"/>
      <c r="D244" s="14"/>
      <c r="E244" s="14"/>
      <c r="F244" s="14"/>
      <c r="G244" s="14"/>
      <c r="H244" s="14"/>
      <c r="I244" s="14"/>
      <c r="J244" s="19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84"/>
      <c r="D245" s="14"/>
      <c r="E245" s="14"/>
      <c r="F245" s="14"/>
      <c r="G245" s="14"/>
      <c r="H245" s="14"/>
      <c r="I245" s="14"/>
      <c r="J245" s="19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84"/>
      <c r="D246" s="14"/>
      <c r="E246" s="14"/>
      <c r="F246" s="14"/>
      <c r="G246" s="14"/>
      <c r="H246" s="14"/>
      <c r="I246" s="14"/>
      <c r="J246" s="19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84"/>
      <c r="D247" s="14"/>
      <c r="E247" s="14"/>
      <c r="F247" s="14"/>
      <c r="G247" s="14"/>
      <c r="H247" s="14"/>
      <c r="I247" s="14"/>
      <c r="J247" s="19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84"/>
      <c r="D248" s="14"/>
      <c r="E248" s="14"/>
      <c r="F248" s="14"/>
      <c r="G248" s="14"/>
      <c r="H248" s="14"/>
      <c r="I248" s="14"/>
      <c r="J248" s="19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84"/>
      <c r="D249" s="14"/>
      <c r="E249" s="14"/>
      <c r="F249" s="14"/>
      <c r="G249" s="14"/>
      <c r="H249" s="14"/>
      <c r="I249" s="14"/>
      <c r="J249" s="19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84"/>
      <c r="D250" s="14"/>
      <c r="E250" s="14"/>
      <c r="F250" s="14"/>
      <c r="G250" s="14"/>
      <c r="H250" s="14"/>
      <c r="I250" s="14"/>
      <c r="J250" s="19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84"/>
      <c r="D251" s="14"/>
      <c r="E251" s="14"/>
      <c r="F251" s="14"/>
      <c r="G251" s="14"/>
      <c r="H251" s="14"/>
      <c r="I251" s="14"/>
      <c r="J251" s="19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84"/>
      <c r="D252" s="14"/>
      <c r="E252" s="14"/>
      <c r="F252" s="14"/>
      <c r="G252" s="14"/>
      <c r="H252" s="14"/>
      <c r="I252" s="14"/>
      <c r="J252" s="19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84"/>
      <c r="D253" s="14"/>
      <c r="E253" s="14"/>
      <c r="F253" s="14"/>
      <c r="G253" s="14"/>
      <c r="H253" s="14"/>
      <c r="I253" s="14"/>
      <c r="J253" s="19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84"/>
      <c r="D254" s="14"/>
      <c r="E254" s="14"/>
      <c r="F254" s="14"/>
      <c r="G254" s="14"/>
      <c r="H254" s="14"/>
      <c r="I254" s="14"/>
      <c r="J254" s="19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84"/>
      <c r="D255" s="14"/>
      <c r="E255" s="14"/>
      <c r="F255" s="14"/>
      <c r="G255" s="14"/>
      <c r="H255" s="14"/>
      <c r="I255" s="14"/>
      <c r="J255" s="19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84"/>
      <c r="D256" s="14"/>
      <c r="E256" s="14"/>
      <c r="F256" s="14"/>
      <c r="G256" s="14"/>
      <c r="H256" s="14"/>
      <c r="I256" s="14"/>
      <c r="J256" s="19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84"/>
      <c r="D257" s="14"/>
      <c r="E257" s="14"/>
      <c r="F257" s="14"/>
      <c r="G257" s="14"/>
      <c r="H257" s="14"/>
      <c r="I257" s="14"/>
      <c r="J257" s="19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84"/>
      <c r="D258" s="14"/>
      <c r="E258" s="14"/>
      <c r="F258" s="14"/>
      <c r="G258" s="14"/>
      <c r="H258" s="14"/>
      <c r="I258" s="14"/>
      <c r="J258" s="19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84"/>
      <c r="D259" s="14"/>
      <c r="E259" s="14"/>
      <c r="F259" s="14"/>
      <c r="G259" s="14"/>
      <c r="H259" s="14"/>
      <c r="I259" s="14"/>
      <c r="J259" s="19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84"/>
      <c r="D260" s="14"/>
      <c r="E260" s="14"/>
      <c r="F260" s="14"/>
      <c r="G260" s="14"/>
      <c r="H260" s="14"/>
      <c r="I260" s="14"/>
      <c r="J260" s="19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84"/>
      <c r="D261" s="14"/>
      <c r="E261" s="14"/>
      <c r="F261" s="14"/>
      <c r="G261" s="14"/>
      <c r="H261" s="14"/>
      <c r="I261" s="14"/>
      <c r="J261" s="19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84"/>
      <c r="D262" s="14"/>
      <c r="E262" s="14"/>
      <c r="F262" s="14"/>
      <c r="G262" s="14"/>
      <c r="H262" s="14"/>
      <c r="I262" s="14"/>
      <c r="J262" s="19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84"/>
      <c r="D263" s="14"/>
      <c r="E263" s="14"/>
      <c r="F263" s="14"/>
      <c r="G263" s="14"/>
      <c r="H263" s="14"/>
      <c r="I263" s="14"/>
      <c r="J263" s="19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84"/>
      <c r="D264" s="14"/>
      <c r="E264" s="14"/>
      <c r="F264" s="14"/>
      <c r="G264" s="14"/>
      <c r="H264" s="14"/>
      <c r="I264" s="14"/>
      <c r="J264" s="19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84"/>
      <c r="D265" s="14"/>
      <c r="E265" s="14"/>
      <c r="F265" s="14"/>
      <c r="G265" s="14"/>
      <c r="H265" s="14"/>
      <c r="I265" s="14"/>
      <c r="J265" s="19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84"/>
      <c r="D266" s="14"/>
      <c r="E266" s="14"/>
      <c r="F266" s="14"/>
      <c r="G266" s="14"/>
      <c r="H266" s="14"/>
      <c r="I266" s="14"/>
      <c r="J266" s="19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84"/>
      <c r="D267" s="14"/>
      <c r="E267" s="14"/>
      <c r="F267" s="14"/>
      <c r="G267" s="14"/>
      <c r="H267" s="14"/>
      <c r="I267" s="14"/>
      <c r="J267" s="19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84"/>
      <c r="D268" s="14"/>
      <c r="E268" s="14"/>
      <c r="F268" s="14"/>
      <c r="G268" s="14"/>
      <c r="H268" s="14"/>
      <c r="I268" s="14"/>
      <c r="J268" s="19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84"/>
      <c r="D269" s="14"/>
      <c r="E269" s="14"/>
      <c r="F269" s="14"/>
      <c r="G269" s="14"/>
      <c r="H269" s="14"/>
      <c r="I269" s="14"/>
      <c r="J269" s="19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84"/>
      <c r="D270" s="14"/>
      <c r="E270" s="14"/>
      <c r="F270" s="14"/>
      <c r="G270" s="14"/>
      <c r="H270" s="14"/>
      <c r="I270" s="14"/>
      <c r="J270" s="19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84"/>
      <c r="D271" s="14"/>
      <c r="E271" s="14"/>
      <c r="F271" s="14"/>
      <c r="G271" s="14"/>
      <c r="H271" s="14"/>
      <c r="I271" s="14"/>
      <c r="J271" s="19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84"/>
      <c r="D272" s="14"/>
      <c r="E272" s="14"/>
      <c r="F272" s="14"/>
      <c r="G272" s="14"/>
      <c r="H272" s="14"/>
      <c r="I272" s="14"/>
      <c r="J272" s="19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84"/>
      <c r="D273" s="14"/>
      <c r="E273" s="14"/>
      <c r="F273" s="14"/>
      <c r="G273" s="14"/>
      <c r="H273" s="14"/>
      <c r="I273" s="14"/>
      <c r="J273" s="19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84"/>
      <c r="D274" s="14"/>
      <c r="E274" s="14"/>
      <c r="F274" s="14"/>
      <c r="G274" s="14"/>
      <c r="H274" s="14"/>
      <c r="I274" s="14"/>
      <c r="J274" s="19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84"/>
      <c r="D275" s="14"/>
      <c r="E275" s="14"/>
      <c r="F275" s="14"/>
      <c r="G275" s="14"/>
      <c r="H275" s="14"/>
      <c r="I275" s="14"/>
      <c r="J275" s="19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84"/>
      <c r="D276" s="14"/>
      <c r="E276" s="14"/>
      <c r="F276" s="14"/>
      <c r="G276" s="14"/>
      <c r="H276" s="14"/>
      <c r="I276" s="14"/>
      <c r="J276" s="19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84"/>
      <c r="D277" s="14"/>
      <c r="E277" s="14"/>
      <c r="F277" s="14"/>
      <c r="G277" s="14"/>
      <c r="H277" s="14"/>
      <c r="I277" s="14"/>
      <c r="J277" s="19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84"/>
      <c r="D278" s="14"/>
      <c r="E278" s="14"/>
      <c r="F278" s="14"/>
      <c r="G278" s="14"/>
      <c r="H278" s="14"/>
      <c r="I278" s="14"/>
      <c r="J278" s="19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84"/>
      <c r="D279" s="14"/>
      <c r="E279" s="14"/>
      <c r="F279" s="14"/>
      <c r="G279" s="14"/>
      <c r="H279" s="14"/>
      <c r="I279" s="14"/>
      <c r="J279" s="19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84"/>
      <c r="D280" s="14"/>
      <c r="E280" s="14"/>
      <c r="F280" s="14"/>
      <c r="G280" s="14"/>
      <c r="H280" s="14"/>
      <c r="I280" s="14"/>
      <c r="J280" s="19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84"/>
      <c r="D281" s="14"/>
      <c r="E281" s="14"/>
      <c r="F281" s="14"/>
      <c r="G281" s="14"/>
      <c r="H281" s="14"/>
      <c r="I281" s="14"/>
      <c r="J281" s="19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84"/>
      <c r="D282" s="14"/>
      <c r="E282" s="14"/>
      <c r="F282" s="14"/>
      <c r="G282" s="14"/>
      <c r="H282" s="14"/>
      <c r="I282" s="14"/>
      <c r="J282" s="19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84"/>
      <c r="D283" s="14"/>
      <c r="E283" s="14"/>
      <c r="F283" s="14"/>
      <c r="G283" s="14"/>
      <c r="H283" s="14"/>
      <c r="I283" s="14"/>
      <c r="J283" s="19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84"/>
      <c r="D284" s="14"/>
      <c r="E284" s="14"/>
      <c r="F284" s="14"/>
      <c r="G284" s="14"/>
      <c r="H284" s="14"/>
      <c r="I284" s="14"/>
      <c r="J284" s="19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84"/>
      <c r="D285" s="14"/>
      <c r="E285" s="14"/>
      <c r="F285" s="14"/>
      <c r="G285" s="14"/>
      <c r="H285" s="14"/>
      <c r="I285" s="14"/>
      <c r="J285" s="19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84"/>
      <c r="D286" s="14"/>
      <c r="E286" s="14"/>
      <c r="F286" s="14"/>
      <c r="G286" s="14"/>
      <c r="H286" s="14"/>
      <c r="I286" s="14"/>
      <c r="J286" s="19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84"/>
      <c r="D287" s="14"/>
      <c r="E287" s="14"/>
      <c r="F287" s="14"/>
      <c r="G287" s="14"/>
      <c r="H287" s="14"/>
      <c r="I287" s="14"/>
      <c r="J287" s="19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84"/>
      <c r="D288" s="14"/>
      <c r="E288" s="14"/>
      <c r="F288" s="14"/>
      <c r="G288" s="14"/>
      <c r="H288" s="14"/>
      <c r="I288" s="14"/>
      <c r="J288" s="19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84"/>
      <c r="D289" s="14"/>
      <c r="E289" s="14"/>
      <c r="F289" s="14"/>
      <c r="G289" s="14"/>
      <c r="H289" s="14"/>
      <c r="I289" s="14"/>
      <c r="J289" s="19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84"/>
      <c r="D290" s="14"/>
      <c r="E290" s="14"/>
      <c r="F290" s="14"/>
      <c r="G290" s="14"/>
      <c r="H290" s="14"/>
      <c r="I290" s="14"/>
      <c r="J290" s="19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84"/>
      <c r="D291" s="14"/>
      <c r="E291" s="14"/>
      <c r="F291" s="14"/>
      <c r="G291" s="14"/>
      <c r="H291" s="14"/>
      <c r="I291" s="14"/>
      <c r="J291" s="19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84"/>
      <c r="D292" s="14"/>
      <c r="E292" s="14"/>
      <c r="F292" s="14"/>
      <c r="G292" s="14"/>
      <c r="H292" s="14"/>
      <c r="I292" s="14"/>
      <c r="J292" s="19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84"/>
      <c r="D293" s="14"/>
      <c r="E293" s="14"/>
      <c r="F293" s="14"/>
      <c r="G293" s="14"/>
      <c r="H293" s="14"/>
      <c r="I293" s="14"/>
      <c r="J293" s="19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84"/>
      <c r="D294" s="14"/>
      <c r="E294" s="14"/>
      <c r="F294" s="14"/>
      <c r="G294" s="14"/>
      <c r="H294" s="14"/>
      <c r="I294" s="14"/>
      <c r="J294" s="19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84"/>
      <c r="D295" s="14"/>
      <c r="E295" s="14"/>
      <c r="F295" s="14"/>
      <c r="G295" s="14"/>
      <c r="H295" s="14"/>
      <c r="I295" s="14"/>
      <c r="J295" s="19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84"/>
      <c r="D296" s="14"/>
      <c r="E296" s="14"/>
      <c r="F296" s="14"/>
      <c r="G296" s="14"/>
      <c r="H296" s="14"/>
      <c r="I296" s="14"/>
      <c r="J296" s="19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84"/>
      <c r="D297" s="14"/>
      <c r="E297" s="14"/>
      <c r="F297" s="14"/>
      <c r="G297" s="14"/>
      <c r="H297" s="14"/>
      <c r="I297" s="14"/>
      <c r="J297" s="19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84"/>
      <c r="D298" s="14"/>
      <c r="E298" s="14"/>
      <c r="F298" s="14"/>
      <c r="G298" s="14"/>
      <c r="H298" s="14"/>
      <c r="I298" s="14"/>
      <c r="J298" s="19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84"/>
      <c r="D299" s="14"/>
      <c r="E299" s="14"/>
      <c r="F299" s="14"/>
      <c r="G299" s="14"/>
      <c r="H299" s="14"/>
      <c r="I299" s="14"/>
      <c r="J299" s="19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84"/>
      <c r="D300" s="14"/>
      <c r="E300" s="14"/>
      <c r="F300" s="14"/>
      <c r="G300" s="14"/>
      <c r="H300" s="14"/>
      <c r="I300" s="14"/>
      <c r="J300" s="19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84"/>
      <c r="D301" s="14"/>
      <c r="E301" s="14"/>
      <c r="F301" s="14"/>
      <c r="G301" s="14"/>
      <c r="H301" s="14"/>
      <c r="I301" s="14"/>
      <c r="J301" s="19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84"/>
      <c r="D302" s="14"/>
      <c r="E302" s="14"/>
      <c r="F302" s="14"/>
      <c r="G302" s="14"/>
      <c r="H302" s="14"/>
      <c r="I302" s="14"/>
      <c r="J302" s="19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84"/>
      <c r="D303" s="14"/>
      <c r="E303" s="14"/>
      <c r="F303" s="14"/>
      <c r="G303" s="14"/>
      <c r="H303" s="14"/>
      <c r="I303" s="14"/>
      <c r="J303" s="19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84"/>
      <c r="D304" s="14"/>
      <c r="E304" s="14"/>
      <c r="F304" s="14"/>
      <c r="G304" s="14"/>
      <c r="H304" s="14"/>
      <c r="I304" s="14"/>
      <c r="J304" s="19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84"/>
      <c r="D305" s="14"/>
      <c r="E305" s="14"/>
      <c r="F305" s="14"/>
      <c r="G305" s="14"/>
      <c r="H305" s="14"/>
      <c r="I305" s="14"/>
      <c r="J305" s="19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84"/>
      <c r="D306" s="14"/>
      <c r="E306" s="14"/>
      <c r="F306" s="14"/>
      <c r="G306" s="14"/>
      <c r="H306" s="14"/>
      <c r="I306" s="14"/>
      <c r="J306" s="19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84"/>
      <c r="D307" s="14"/>
      <c r="E307" s="14"/>
      <c r="F307" s="14"/>
      <c r="G307" s="14"/>
      <c r="H307" s="14"/>
      <c r="I307" s="14"/>
      <c r="J307" s="19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84"/>
      <c r="D308" s="14"/>
      <c r="E308" s="14"/>
      <c r="F308" s="14"/>
      <c r="G308" s="14"/>
      <c r="H308" s="14"/>
      <c r="I308" s="14"/>
      <c r="J308" s="19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84"/>
      <c r="D309" s="14"/>
      <c r="E309" s="14"/>
      <c r="F309" s="14"/>
      <c r="G309" s="14"/>
      <c r="H309" s="14"/>
      <c r="I309" s="14"/>
      <c r="J309" s="19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84"/>
      <c r="D310" s="14"/>
      <c r="E310" s="14"/>
      <c r="F310" s="14"/>
      <c r="G310" s="14"/>
      <c r="H310" s="14"/>
      <c r="I310" s="14"/>
      <c r="J310" s="19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84"/>
      <c r="D311" s="14"/>
      <c r="E311" s="14"/>
      <c r="F311" s="14"/>
      <c r="G311" s="14"/>
      <c r="H311" s="14"/>
      <c r="I311" s="14"/>
      <c r="J311" s="19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84"/>
      <c r="D312" s="14"/>
      <c r="E312" s="14"/>
      <c r="F312" s="14"/>
      <c r="G312" s="14"/>
      <c r="H312" s="14"/>
      <c r="I312" s="14"/>
      <c r="J312" s="19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84"/>
      <c r="D313" s="14"/>
      <c r="E313" s="14"/>
      <c r="F313" s="14"/>
      <c r="G313" s="14"/>
      <c r="H313" s="14"/>
      <c r="I313" s="14"/>
      <c r="J313" s="19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84"/>
      <c r="D314" s="14"/>
      <c r="E314" s="14"/>
      <c r="F314" s="14"/>
      <c r="G314" s="14"/>
      <c r="H314" s="14"/>
      <c r="I314" s="14"/>
      <c r="J314" s="19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84"/>
      <c r="D315" s="14"/>
      <c r="E315" s="14"/>
      <c r="F315" s="14"/>
      <c r="G315" s="14"/>
      <c r="H315" s="14"/>
      <c r="I315" s="14"/>
      <c r="J315" s="19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84"/>
      <c r="D316" s="14"/>
      <c r="E316" s="14"/>
      <c r="F316" s="14"/>
      <c r="G316" s="14"/>
      <c r="H316" s="14"/>
      <c r="I316" s="14"/>
      <c r="J316" s="19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84"/>
      <c r="D317" s="14"/>
      <c r="E317" s="14"/>
      <c r="F317" s="14"/>
      <c r="G317" s="14"/>
      <c r="H317" s="14"/>
      <c r="I317" s="14"/>
      <c r="J317" s="19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84"/>
      <c r="D318" s="14"/>
      <c r="E318" s="14"/>
      <c r="F318" s="14"/>
      <c r="G318" s="14"/>
      <c r="H318" s="14"/>
      <c r="I318" s="14"/>
      <c r="J318" s="19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84"/>
      <c r="D319" s="14"/>
      <c r="E319" s="14"/>
      <c r="F319" s="14"/>
      <c r="G319" s="14"/>
      <c r="H319" s="14"/>
      <c r="I319" s="14"/>
      <c r="J319" s="19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84"/>
      <c r="D320" s="14"/>
      <c r="E320" s="14"/>
      <c r="F320" s="14"/>
      <c r="G320" s="14"/>
      <c r="H320" s="14"/>
      <c r="I320" s="14"/>
      <c r="J320" s="19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84"/>
      <c r="D321" s="14"/>
      <c r="E321" s="14"/>
      <c r="F321" s="14"/>
      <c r="G321" s="14"/>
      <c r="H321" s="14"/>
      <c r="I321" s="14"/>
      <c r="J321" s="19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84"/>
      <c r="D322" s="14"/>
      <c r="E322" s="14"/>
      <c r="F322" s="14"/>
      <c r="G322" s="14"/>
      <c r="H322" s="14"/>
      <c r="I322" s="14"/>
      <c r="J322" s="19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84"/>
      <c r="D323" s="14"/>
      <c r="E323" s="14"/>
      <c r="F323" s="14"/>
      <c r="G323" s="14"/>
      <c r="H323" s="14"/>
      <c r="I323" s="14"/>
      <c r="J323" s="19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84"/>
      <c r="D324" s="14"/>
      <c r="E324" s="14"/>
      <c r="F324" s="14"/>
      <c r="G324" s="14"/>
      <c r="H324" s="14"/>
      <c r="I324" s="14"/>
      <c r="J324" s="19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84"/>
      <c r="D325" s="14"/>
      <c r="E325" s="14"/>
      <c r="F325" s="14"/>
      <c r="G325" s="14"/>
      <c r="H325" s="14"/>
      <c r="I325" s="14"/>
      <c r="J325" s="19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84"/>
      <c r="D326" s="14"/>
      <c r="E326" s="14"/>
      <c r="F326" s="14"/>
      <c r="G326" s="14"/>
      <c r="H326" s="14"/>
      <c r="I326" s="14"/>
      <c r="J326" s="19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84"/>
      <c r="D327" s="14"/>
      <c r="E327" s="14"/>
      <c r="F327" s="14"/>
      <c r="G327" s="14"/>
      <c r="H327" s="14"/>
      <c r="I327" s="14"/>
      <c r="J327" s="19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84"/>
      <c r="D328" s="14"/>
      <c r="E328" s="14"/>
      <c r="F328" s="14"/>
      <c r="G328" s="14"/>
      <c r="H328" s="14"/>
      <c r="I328" s="14"/>
      <c r="J328" s="19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84"/>
      <c r="D329" s="14"/>
      <c r="E329" s="14"/>
      <c r="F329" s="14"/>
      <c r="G329" s="14"/>
      <c r="H329" s="14"/>
      <c r="I329" s="14"/>
      <c r="J329" s="19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84"/>
      <c r="D330" s="14"/>
      <c r="E330" s="14"/>
      <c r="F330" s="14"/>
      <c r="G330" s="14"/>
      <c r="H330" s="14"/>
      <c r="I330" s="14"/>
      <c r="J330" s="19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84"/>
      <c r="D331" s="14"/>
      <c r="E331" s="14"/>
      <c r="F331" s="14"/>
      <c r="G331" s="14"/>
      <c r="H331" s="14"/>
      <c r="I331" s="14"/>
      <c r="J331" s="19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84"/>
      <c r="D332" s="14"/>
      <c r="E332" s="14"/>
      <c r="F332" s="14"/>
      <c r="G332" s="14"/>
      <c r="H332" s="14"/>
      <c r="I332" s="14"/>
      <c r="J332" s="19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84"/>
      <c r="D333" s="14"/>
      <c r="E333" s="14"/>
      <c r="F333" s="14"/>
      <c r="G333" s="14"/>
      <c r="H333" s="14"/>
      <c r="I333" s="14"/>
      <c r="J333" s="19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84"/>
      <c r="D334" s="14"/>
      <c r="E334" s="14"/>
      <c r="F334" s="14"/>
      <c r="G334" s="14"/>
      <c r="H334" s="14"/>
      <c r="I334" s="14"/>
      <c r="J334" s="19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84"/>
      <c r="D335" s="14"/>
      <c r="E335" s="14"/>
      <c r="F335" s="14"/>
      <c r="G335" s="14"/>
      <c r="H335" s="14"/>
      <c r="I335" s="14"/>
      <c r="J335" s="19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84"/>
      <c r="D336" s="14"/>
      <c r="E336" s="14"/>
      <c r="F336" s="14"/>
      <c r="G336" s="14"/>
      <c r="H336" s="14"/>
      <c r="I336" s="14"/>
      <c r="J336" s="19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84"/>
      <c r="D337" s="14"/>
      <c r="E337" s="14"/>
      <c r="F337" s="14"/>
      <c r="G337" s="14"/>
      <c r="H337" s="14"/>
      <c r="I337" s="14"/>
      <c r="J337" s="19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84"/>
      <c r="D338" s="14"/>
      <c r="E338" s="14"/>
      <c r="F338" s="14"/>
      <c r="G338" s="14"/>
      <c r="H338" s="14"/>
      <c r="I338" s="14"/>
      <c r="J338" s="19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84"/>
      <c r="D339" s="14"/>
      <c r="E339" s="14"/>
      <c r="F339" s="14"/>
      <c r="G339" s="14"/>
      <c r="H339" s="14"/>
      <c r="I339" s="14"/>
      <c r="J339" s="19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84"/>
      <c r="D340" s="14"/>
      <c r="E340" s="14"/>
      <c r="F340" s="14"/>
      <c r="G340" s="14"/>
      <c r="H340" s="14"/>
      <c r="I340" s="14"/>
      <c r="J340" s="19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84"/>
      <c r="D341" s="14"/>
      <c r="E341" s="14"/>
      <c r="F341" s="14"/>
      <c r="G341" s="14"/>
      <c r="H341" s="14"/>
      <c r="I341" s="14"/>
      <c r="J341" s="19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84"/>
      <c r="D342" s="14"/>
      <c r="E342" s="14"/>
      <c r="F342" s="14"/>
      <c r="G342" s="14"/>
      <c r="H342" s="14"/>
      <c r="I342" s="14"/>
      <c r="J342" s="19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84"/>
      <c r="D343" s="14"/>
      <c r="E343" s="14"/>
      <c r="F343" s="14"/>
      <c r="G343" s="14"/>
      <c r="H343" s="14"/>
      <c r="I343" s="14"/>
      <c r="J343" s="19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84"/>
      <c r="D344" s="14"/>
      <c r="E344" s="14"/>
      <c r="F344" s="14"/>
      <c r="G344" s="14"/>
      <c r="H344" s="14"/>
      <c r="I344" s="14"/>
      <c r="J344" s="19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84"/>
      <c r="D345" s="14"/>
      <c r="E345" s="14"/>
      <c r="F345" s="14"/>
      <c r="G345" s="14"/>
      <c r="H345" s="14"/>
      <c r="I345" s="14"/>
      <c r="J345" s="19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84"/>
      <c r="D346" s="14"/>
      <c r="E346" s="14"/>
      <c r="F346" s="14"/>
      <c r="G346" s="14"/>
      <c r="H346" s="14"/>
      <c r="I346" s="14"/>
      <c r="J346" s="19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84"/>
      <c r="D347" s="14"/>
      <c r="E347" s="14"/>
      <c r="F347" s="14"/>
      <c r="G347" s="14"/>
      <c r="H347" s="14"/>
      <c r="I347" s="14"/>
      <c r="J347" s="19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84"/>
      <c r="D348" s="14"/>
      <c r="E348" s="14"/>
      <c r="F348" s="14"/>
      <c r="G348" s="14"/>
      <c r="H348" s="14"/>
      <c r="I348" s="14"/>
      <c r="J348" s="19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84"/>
      <c r="D349" s="14"/>
      <c r="E349" s="14"/>
      <c r="F349" s="14"/>
      <c r="G349" s="14"/>
      <c r="H349" s="14"/>
      <c r="I349" s="14"/>
      <c r="J349" s="19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84"/>
      <c r="D350" s="14"/>
      <c r="E350" s="14"/>
      <c r="F350" s="14"/>
      <c r="G350" s="14"/>
      <c r="H350" s="14"/>
      <c r="I350" s="14"/>
      <c r="J350" s="19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84"/>
      <c r="D351" s="14"/>
      <c r="E351" s="14"/>
      <c r="F351" s="14"/>
      <c r="G351" s="14"/>
      <c r="H351" s="14"/>
      <c r="I351" s="14"/>
      <c r="J351" s="19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84"/>
      <c r="D352" s="14"/>
      <c r="E352" s="14"/>
      <c r="F352" s="14"/>
      <c r="G352" s="14"/>
      <c r="H352" s="14"/>
      <c r="I352" s="14"/>
      <c r="J352" s="19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84"/>
      <c r="D353" s="14"/>
      <c r="E353" s="14"/>
      <c r="F353" s="14"/>
      <c r="G353" s="14"/>
      <c r="H353" s="14"/>
      <c r="I353" s="14"/>
      <c r="J353" s="19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84"/>
      <c r="D354" s="14"/>
      <c r="E354" s="14"/>
      <c r="F354" s="14"/>
      <c r="G354" s="14"/>
      <c r="H354" s="14"/>
      <c r="I354" s="14"/>
      <c r="J354" s="19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84"/>
      <c r="D355" s="14"/>
      <c r="E355" s="14"/>
      <c r="F355" s="14"/>
      <c r="G355" s="14"/>
      <c r="H355" s="14"/>
      <c r="I355" s="14"/>
      <c r="J355" s="19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84"/>
      <c r="D356" s="14"/>
      <c r="E356" s="14"/>
      <c r="F356" s="14"/>
      <c r="G356" s="14"/>
      <c r="H356" s="14"/>
      <c r="I356" s="14"/>
      <c r="J356" s="19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84"/>
      <c r="D357" s="14"/>
      <c r="E357" s="14"/>
      <c r="F357" s="14"/>
      <c r="G357" s="14"/>
      <c r="H357" s="14"/>
      <c r="I357" s="14"/>
      <c r="J357" s="19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84"/>
      <c r="D358" s="14"/>
      <c r="E358" s="14"/>
      <c r="F358" s="14"/>
      <c r="G358" s="14"/>
      <c r="H358" s="14"/>
      <c r="I358" s="14"/>
      <c r="J358" s="19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84"/>
      <c r="D359" s="14"/>
      <c r="E359" s="14"/>
      <c r="F359" s="14"/>
      <c r="G359" s="14"/>
      <c r="H359" s="14"/>
      <c r="I359" s="14"/>
      <c r="J359" s="19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84"/>
      <c r="D360" s="14"/>
      <c r="E360" s="14"/>
      <c r="F360" s="14"/>
      <c r="G360" s="14"/>
      <c r="H360" s="14"/>
      <c r="I360" s="14"/>
      <c r="J360" s="19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84"/>
      <c r="D361" s="14"/>
      <c r="E361" s="14"/>
      <c r="F361" s="14"/>
      <c r="G361" s="14"/>
      <c r="H361" s="14"/>
      <c r="I361" s="14"/>
      <c r="J361" s="19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84"/>
      <c r="D362" s="14"/>
      <c r="E362" s="14"/>
      <c r="F362" s="14"/>
      <c r="G362" s="14"/>
      <c r="H362" s="14"/>
      <c r="I362" s="14"/>
      <c r="J362" s="19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84"/>
      <c r="D363" s="14"/>
      <c r="E363" s="14"/>
      <c r="F363" s="14"/>
      <c r="G363" s="14"/>
      <c r="H363" s="14"/>
      <c r="I363" s="14"/>
      <c r="J363" s="19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84"/>
      <c r="D364" s="14"/>
      <c r="E364" s="14"/>
      <c r="F364" s="14"/>
      <c r="G364" s="14"/>
      <c r="H364" s="14"/>
      <c r="I364" s="14"/>
      <c r="J364" s="19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84"/>
      <c r="D365" s="14"/>
      <c r="E365" s="14"/>
      <c r="F365" s="14"/>
      <c r="G365" s="14"/>
      <c r="H365" s="14"/>
      <c r="I365" s="14"/>
      <c r="J365" s="19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84"/>
      <c r="D366" s="14"/>
      <c r="E366" s="14"/>
      <c r="F366" s="14"/>
      <c r="G366" s="14"/>
      <c r="H366" s="14"/>
      <c r="I366" s="14"/>
      <c r="J366" s="19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84"/>
      <c r="D367" s="14"/>
      <c r="E367" s="14"/>
      <c r="F367" s="14"/>
      <c r="G367" s="14"/>
      <c r="H367" s="14"/>
      <c r="I367" s="14"/>
      <c r="J367" s="19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84"/>
      <c r="D368" s="14"/>
      <c r="E368" s="14"/>
      <c r="F368" s="14"/>
      <c r="G368" s="14"/>
      <c r="H368" s="14"/>
      <c r="I368" s="14"/>
      <c r="J368" s="19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84"/>
      <c r="D369" s="14"/>
      <c r="E369" s="14"/>
      <c r="F369" s="14"/>
      <c r="G369" s="14"/>
      <c r="H369" s="14"/>
      <c r="I369" s="14"/>
      <c r="J369" s="19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84"/>
      <c r="D370" s="14"/>
      <c r="E370" s="14"/>
      <c r="F370" s="14"/>
      <c r="G370" s="14"/>
      <c r="H370" s="14"/>
      <c r="I370" s="14"/>
      <c r="J370" s="19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84"/>
      <c r="D371" s="14"/>
      <c r="E371" s="14"/>
      <c r="F371" s="14"/>
      <c r="G371" s="14"/>
      <c r="H371" s="14"/>
      <c r="I371" s="14"/>
      <c r="J371" s="19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84"/>
      <c r="D372" s="14"/>
      <c r="E372" s="14"/>
      <c r="F372" s="14"/>
      <c r="G372" s="14"/>
      <c r="H372" s="14"/>
      <c r="I372" s="14"/>
      <c r="J372" s="19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84"/>
      <c r="D373" s="14"/>
      <c r="E373" s="14"/>
      <c r="F373" s="14"/>
      <c r="G373" s="14"/>
      <c r="H373" s="14"/>
      <c r="I373" s="14"/>
      <c r="J373" s="19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84"/>
      <c r="D374" s="14"/>
      <c r="E374" s="14"/>
      <c r="F374" s="14"/>
      <c r="G374" s="14"/>
      <c r="H374" s="14"/>
      <c r="I374" s="14"/>
      <c r="J374" s="19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84"/>
      <c r="D375" s="14"/>
      <c r="E375" s="14"/>
      <c r="F375" s="14"/>
      <c r="G375" s="14"/>
      <c r="H375" s="14"/>
      <c r="I375" s="14"/>
      <c r="J375" s="19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84"/>
      <c r="D376" s="14"/>
      <c r="E376" s="14"/>
      <c r="F376" s="14"/>
      <c r="G376" s="14"/>
      <c r="H376" s="14"/>
      <c r="I376" s="14"/>
      <c r="J376" s="19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84"/>
      <c r="D377" s="14"/>
      <c r="E377" s="14"/>
      <c r="F377" s="14"/>
      <c r="G377" s="14"/>
      <c r="H377" s="14"/>
      <c r="I377" s="14"/>
      <c r="J377" s="19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84"/>
      <c r="D378" s="14"/>
      <c r="E378" s="14"/>
      <c r="F378" s="14"/>
      <c r="G378" s="14"/>
      <c r="H378" s="14"/>
      <c r="I378" s="14"/>
      <c r="J378" s="19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84"/>
      <c r="D379" s="14"/>
      <c r="E379" s="14"/>
      <c r="F379" s="14"/>
      <c r="G379" s="14"/>
      <c r="H379" s="14"/>
      <c r="I379" s="14"/>
      <c r="J379" s="19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84"/>
      <c r="D380" s="14"/>
      <c r="E380" s="14"/>
      <c r="F380" s="14"/>
      <c r="G380" s="14"/>
      <c r="H380" s="14"/>
      <c r="I380" s="14"/>
      <c r="J380" s="19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84"/>
      <c r="D381" s="14"/>
      <c r="E381" s="14"/>
      <c r="F381" s="14"/>
      <c r="G381" s="14"/>
      <c r="H381" s="14"/>
      <c r="I381" s="14"/>
      <c r="J381" s="19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84"/>
      <c r="D382" s="14"/>
      <c r="E382" s="14"/>
      <c r="F382" s="14"/>
      <c r="G382" s="14"/>
      <c r="H382" s="14"/>
      <c r="I382" s="14"/>
      <c r="J382" s="19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84"/>
      <c r="D383" s="14"/>
      <c r="E383" s="14"/>
      <c r="F383" s="14"/>
      <c r="G383" s="14"/>
      <c r="H383" s="14"/>
      <c r="I383" s="14"/>
      <c r="J383" s="19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84"/>
      <c r="D384" s="14"/>
      <c r="E384" s="14"/>
      <c r="F384" s="14"/>
      <c r="G384" s="14"/>
      <c r="H384" s="14"/>
      <c r="I384" s="14"/>
      <c r="J384" s="19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84"/>
      <c r="D385" s="14"/>
      <c r="E385" s="14"/>
      <c r="F385" s="14"/>
      <c r="G385" s="14"/>
      <c r="H385" s="14"/>
      <c r="I385" s="14"/>
      <c r="J385" s="19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84"/>
      <c r="D386" s="14"/>
      <c r="E386" s="14"/>
      <c r="F386" s="14"/>
      <c r="G386" s="14"/>
      <c r="H386" s="14"/>
      <c r="I386" s="14"/>
      <c r="J386" s="19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84"/>
      <c r="D387" s="14"/>
      <c r="E387" s="14"/>
      <c r="F387" s="14"/>
      <c r="G387" s="14"/>
      <c r="H387" s="14"/>
      <c r="I387" s="14"/>
      <c r="J387" s="19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84"/>
      <c r="D388" s="14"/>
      <c r="E388" s="14"/>
      <c r="F388" s="14"/>
      <c r="G388" s="14"/>
      <c r="H388" s="14"/>
      <c r="I388" s="14"/>
      <c r="J388" s="19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84"/>
      <c r="D389" s="14"/>
      <c r="E389" s="14"/>
      <c r="F389" s="14"/>
      <c r="G389" s="14"/>
      <c r="H389" s="14"/>
      <c r="I389" s="14"/>
      <c r="J389" s="19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84"/>
      <c r="D390" s="14"/>
      <c r="E390" s="14"/>
      <c r="F390" s="14"/>
      <c r="G390" s="14"/>
      <c r="H390" s="14"/>
      <c r="I390" s="14"/>
      <c r="J390" s="19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84"/>
      <c r="D391" s="14"/>
      <c r="E391" s="14"/>
      <c r="F391" s="14"/>
      <c r="G391" s="14"/>
      <c r="H391" s="14"/>
      <c r="I391" s="14"/>
      <c r="J391" s="19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84"/>
      <c r="D392" s="14"/>
      <c r="E392" s="14"/>
      <c r="F392" s="14"/>
      <c r="G392" s="14"/>
      <c r="H392" s="14"/>
      <c r="I392" s="14"/>
      <c r="J392" s="19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84"/>
      <c r="D393" s="14"/>
      <c r="E393" s="14"/>
      <c r="F393" s="14"/>
      <c r="G393" s="14"/>
      <c r="H393" s="14"/>
      <c r="I393" s="14"/>
      <c r="J393" s="19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84"/>
      <c r="D394" s="14"/>
      <c r="E394" s="14"/>
      <c r="F394" s="14"/>
      <c r="G394" s="14"/>
      <c r="H394" s="14"/>
      <c r="I394" s="14"/>
      <c r="J394" s="19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84"/>
      <c r="D395" s="14"/>
      <c r="E395" s="14"/>
      <c r="F395" s="14"/>
      <c r="G395" s="14"/>
      <c r="H395" s="14"/>
      <c r="I395" s="14"/>
      <c r="J395" s="19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84"/>
      <c r="D396" s="14"/>
      <c r="E396" s="14"/>
      <c r="F396" s="14"/>
      <c r="G396" s="14"/>
      <c r="H396" s="14"/>
      <c r="I396" s="14"/>
      <c r="J396" s="19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84"/>
      <c r="D397" s="14"/>
      <c r="E397" s="14"/>
      <c r="F397" s="14"/>
      <c r="G397" s="14"/>
      <c r="H397" s="14"/>
      <c r="I397" s="14"/>
      <c r="J397" s="19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84"/>
      <c r="D398" s="14"/>
      <c r="E398" s="14"/>
      <c r="F398" s="14"/>
      <c r="G398" s="14"/>
      <c r="H398" s="14"/>
      <c r="I398" s="14"/>
      <c r="J398" s="19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84"/>
      <c r="D399" s="14"/>
      <c r="E399" s="14"/>
      <c r="F399" s="14"/>
      <c r="G399" s="14"/>
      <c r="H399" s="14"/>
      <c r="I399" s="14"/>
      <c r="J399" s="19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84"/>
      <c r="D400" s="14"/>
      <c r="E400" s="14"/>
      <c r="F400" s="14"/>
      <c r="G400" s="14"/>
      <c r="H400" s="14"/>
      <c r="I400" s="14"/>
      <c r="J400" s="19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84"/>
      <c r="D401" s="14"/>
      <c r="E401" s="14"/>
      <c r="F401" s="14"/>
      <c r="G401" s="14"/>
      <c r="H401" s="14"/>
      <c r="I401" s="14"/>
      <c r="J401" s="19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84"/>
      <c r="D402" s="14"/>
      <c r="E402" s="14"/>
      <c r="F402" s="14"/>
      <c r="G402" s="14"/>
      <c r="H402" s="14"/>
      <c r="I402" s="14"/>
      <c r="J402" s="19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84"/>
      <c r="D403" s="14"/>
      <c r="E403" s="14"/>
      <c r="F403" s="14"/>
      <c r="G403" s="14"/>
      <c r="H403" s="14"/>
      <c r="I403" s="14"/>
      <c r="J403" s="19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84"/>
      <c r="D404" s="14"/>
      <c r="E404" s="14"/>
      <c r="F404" s="14"/>
      <c r="G404" s="14"/>
      <c r="H404" s="14"/>
      <c r="I404" s="14"/>
      <c r="J404" s="19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84"/>
      <c r="D405" s="14"/>
      <c r="E405" s="14"/>
      <c r="F405" s="14"/>
      <c r="G405" s="14"/>
      <c r="H405" s="14"/>
      <c r="I405" s="14"/>
      <c r="J405" s="19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84"/>
      <c r="D406" s="14"/>
      <c r="E406" s="14"/>
      <c r="F406" s="14"/>
      <c r="G406" s="14"/>
      <c r="H406" s="14"/>
      <c r="I406" s="14"/>
      <c r="J406" s="19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84"/>
      <c r="D407" s="14"/>
      <c r="E407" s="14"/>
      <c r="F407" s="14"/>
      <c r="G407" s="14"/>
      <c r="H407" s="14"/>
      <c r="I407" s="14"/>
      <c r="J407" s="19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84"/>
      <c r="D408" s="14"/>
      <c r="E408" s="14"/>
      <c r="F408" s="14"/>
      <c r="G408" s="14"/>
      <c r="H408" s="14"/>
      <c r="I408" s="14"/>
      <c r="J408" s="19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84"/>
      <c r="D409" s="14"/>
      <c r="E409" s="14"/>
      <c r="F409" s="14"/>
      <c r="G409" s="14"/>
      <c r="H409" s="14"/>
      <c r="I409" s="14"/>
      <c r="J409" s="19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84"/>
      <c r="D410" s="14"/>
      <c r="E410" s="14"/>
      <c r="F410" s="14"/>
      <c r="G410" s="14"/>
      <c r="H410" s="14"/>
      <c r="I410" s="14"/>
      <c r="J410" s="19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84"/>
      <c r="D411" s="14"/>
      <c r="E411" s="14"/>
      <c r="F411" s="14"/>
      <c r="G411" s="14"/>
      <c r="H411" s="14"/>
      <c r="I411" s="14"/>
      <c r="J411" s="19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84"/>
      <c r="D412" s="14"/>
      <c r="E412" s="14"/>
      <c r="F412" s="14"/>
      <c r="G412" s="14"/>
      <c r="H412" s="14"/>
      <c r="I412" s="14"/>
      <c r="J412" s="19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84"/>
      <c r="D413" s="14"/>
      <c r="E413" s="14"/>
      <c r="F413" s="14"/>
      <c r="G413" s="14"/>
      <c r="H413" s="14"/>
      <c r="I413" s="14"/>
      <c r="J413" s="19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84"/>
      <c r="D414" s="14"/>
      <c r="E414" s="14"/>
      <c r="F414" s="14"/>
      <c r="G414" s="14"/>
      <c r="H414" s="14"/>
      <c r="I414" s="14"/>
      <c r="J414" s="19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84"/>
      <c r="D415" s="14"/>
      <c r="E415" s="14"/>
      <c r="F415" s="14"/>
      <c r="G415" s="14"/>
      <c r="H415" s="14"/>
      <c r="I415" s="14"/>
      <c r="J415" s="19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84"/>
      <c r="D416" s="14"/>
      <c r="E416" s="14"/>
      <c r="F416" s="14"/>
      <c r="G416" s="14"/>
      <c r="H416" s="14"/>
      <c r="I416" s="14"/>
      <c r="J416" s="19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84"/>
      <c r="D417" s="14"/>
      <c r="E417" s="14"/>
      <c r="F417" s="14"/>
      <c r="G417" s="14"/>
      <c r="H417" s="14"/>
      <c r="I417" s="14"/>
      <c r="J417" s="19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84"/>
      <c r="D418" s="14"/>
      <c r="E418" s="14"/>
      <c r="F418" s="14"/>
      <c r="G418" s="14"/>
      <c r="H418" s="14"/>
      <c r="I418" s="14"/>
      <c r="J418" s="19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84"/>
      <c r="D419" s="14"/>
      <c r="E419" s="14"/>
      <c r="F419" s="14"/>
      <c r="G419" s="14"/>
      <c r="H419" s="14"/>
      <c r="I419" s="14"/>
      <c r="J419" s="19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84"/>
      <c r="D420" s="14"/>
      <c r="E420" s="14"/>
      <c r="F420" s="14"/>
      <c r="G420" s="14"/>
      <c r="H420" s="14"/>
      <c r="I420" s="14"/>
      <c r="J420" s="19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84"/>
      <c r="D421" s="14"/>
      <c r="E421" s="14"/>
      <c r="F421" s="14"/>
      <c r="G421" s="14"/>
      <c r="H421" s="14"/>
      <c r="I421" s="14"/>
      <c r="J421" s="19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84"/>
      <c r="D422" s="14"/>
      <c r="E422" s="14"/>
      <c r="F422" s="14"/>
      <c r="G422" s="14"/>
      <c r="H422" s="14"/>
      <c r="I422" s="14"/>
      <c r="J422" s="19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84"/>
      <c r="D423" s="14"/>
      <c r="E423" s="14"/>
      <c r="F423" s="14"/>
      <c r="G423" s="14"/>
      <c r="H423" s="14"/>
      <c r="I423" s="14"/>
      <c r="J423" s="19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84"/>
      <c r="D424" s="14"/>
      <c r="E424" s="14"/>
      <c r="F424" s="14"/>
      <c r="G424" s="14"/>
      <c r="H424" s="14"/>
      <c r="I424" s="14"/>
      <c r="J424" s="19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84"/>
      <c r="D425" s="14"/>
      <c r="E425" s="14"/>
      <c r="F425" s="14"/>
      <c r="G425" s="14"/>
      <c r="H425" s="14"/>
      <c r="I425" s="14"/>
      <c r="J425" s="19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84"/>
      <c r="D426" s="14"/>
      <c r="E426" s="14"/>
      <c r="F426" s="14"/>
      <c r="G426" s="14"/>
      <c r="H426" s="14"/>
      <c r="I426" s="14"/>
      <c r="J426" s="19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84"/>
      <c r="D427" s="14"/>
      <c r="E427" s="14"/>
      <c r="F427" s="14"/>
      <c r="G427" s="14"/>
      <c r="H427" s="14"/>
      <c r="I427" s="14"/>
      <c r="J427" s="19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84"/>
      <c r="D428" s="14"/>
      <c r="E428" s="14"/>
      <c r="F428" s="14"/>
      <c r="G428" s="14"/>
      <c r="H428" s="14"/>
      <c r="I428" s="14"/>
      <c r="J428" s="19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84"/>
      <c r="D429" s="14"/>
      <c r="E429" s="14"/>
      <c r="F429" s="14"/>
      <c r="G429" s="14"/>
      <c r="H429" s="14"/>
      <c r="I429" s="14"/>
      <c r="J429" s="19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84"/>
      <c r="D430" s="14"/>
      <c r="E430" s="14"/>
      <c r="F430" s="14"/>
      <c r="G430" s="14"/>
      <c r="H430" s="14"/>
      <c r="I430" s="14"/>
      <c r="J430" s="19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84"/>
      <c r="D431" s="14"/>
      <c r="E431" s="14"/>
      <c r="F431" s="14"/>
      <c r="G431" s="14"/>
      <c r="H431" s="14"/>
      <c r="I431" s="14"/>
      <c r="J431" s="19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84"/>
      <c r="D432" s="14"/>
      <c r="E432" s="14"/>
      <c r="F432" s="14"/>
      <c r="G432" s="14"/>
      <c r="H432" s="14"/>
      <c r="I432" s="14"/>
      <c r="J432" s="19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84"/>
      <c r="D433" s="14"/>
      <c r="E433" s="14"/>
      <c r="F433" s="14"/>
      <c r="G433" s="14"/>
      <c r="H433" s="14"/>
      <c r="I433" s="14"/>
      <c r="J433" s="19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84"/>
      <c r="D434" s="14"/>
      <c r="E434" s="14"/>
      <c r="F434" s="14"/>
      <c r="G434" s="14"/>
      <c r="H434" s="14"/>
      <c r="I434" s="14"/>
      <c r="J434" s="19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84"/>
      <c r="D435" s="14"/>
      <c r="E435" s="14"/>
      <c r="F435" s="14"/>
      <c r="G435" s="14"/>
      <c r="H435" s="14"/>
      <c r="I435" s="14"/>
      <c r="J435" s="19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84"/>
      <c r="D436" s="14"/>
      <c r="E436" s="14"/>
      <c r="F436" s="14"/>
      <c r="G436" s="14"/>
      <c r="H436" s="14"/>
      <c r="I436" s="14"/>
      <c r="J436" s="19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84"/>
      <c r="D437" s="14"/>
      <c r="E437" s="14"/>
      <c r="F437" s="14"/>
      <c r="G437" s="14"/>
      <c r="H437" s="14"/>
      <c r="I437" s="14"/>
      <c r="J437" s="19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84"/>
      <c r="D438" s="14"/>
      <c r="E438" s="14"/>
      <c r="F438" s="14"/>
      <c r="G438" s="14"/>
      <c r="H438" s="14"/>
      <c r="I438" s="14"/>
      <c r="J438" s="19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84"/>
      <c r="D439" s="14"/>
      <c r="E439" s="14"/>
      <c r="F439" s="14"/>
      <c r="G439" s="14"/>
      <c r="H439" s="14"/>
      <c r="I439" s="14"/>
      <c r="J439" s="19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84"/>
      <c r="D440" s="14"/>
      <c r="E440" s="14"/>
      <c r="F440" s="14"/>
      <c r="G440" s="14"/>
      <c r="H440" s="14"/>
      <c r="I440" s="14"/>
      <c r="J440" s="19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84"/>
      <c r="D441" s="14"/>
      <c r="E441" s="14"/>
      <c r="F441" s="14"/>
      <c r="G441" s="14"/>
      <c r="H441" s="14"/>
      <c r="I441" s="14"/>
      <c r="J441" s="19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84"/>
      <c r="D442" s="14"/>
      <c r="E442" s="14"/>
      <c r="F442" s="14"/>
      <c r="G442" s="14"/>
      <c r="H442" s="14"/>
      <c r="I442" s="14"/>
      <c r="J442" s="19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84"/>
      <c r="D443" s="14"/>
      <c r="E443" s="14"/>
      <c r="F443" s="14"/>
      <c r="G443" s="14"/>
      <c r="H443" s="14"/>
      <c r="I443" s="14"/>
      <c r="J443" s="19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84"/>
      <c r="D444" s="14"/>
      <c r="E444" s="14"/>
      <c r="F444" s="14"/>
      <c r="G444" s="14"/>
      <c r="H444" s="14"/>
      <c r="I444" s="14"/>
      <c r="J444" s="19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84"/>
      <c r="D445" s="14"/>
      <c r="E445" s="14"/>
      <c r="F445" s="14"/>
      <c r="G445" s="14"/>
      <c r="H445" s="14"/>
      <c r="I445" s="14"/>
      <c r="J445" s="19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84"/>
      <c r="D446" s="14"/>
      <c r="E446" s="14"/>
      <c r="F446" s="14"/>
      <c r="G446" s="14"/>
      <c r="H446" s="14"/>
      <c r="I446" s="14"/>
      <c r="J446" s="19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84"/>
      <c r="D447" s="14"/>
      <c r="E447" s="14"/>
      <c r="F447" s="14"/>
      <c r="G447" s="14"/>
      <c r="H447" s="14"/>
      <c r="I447" s="14"/>
      <c r="J447" s="19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84"/>
      <c r="D448" s="14"/>
      <c r="E448" s="14"/>
      <c r="F448" s="14"/>
      <c r="G448" s="14"/>
      <c r="H448" s="14"/>
      <c r="I448" s="14"/>
      <c r="J448" s="19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84"/>
      <c r="D449" s="14"/>
      <c r="E449" s="14"/>
      <c r="F449" s="14"/>
      <c r="G449" s="14"/>
      <c r="H449" s="14"/>
      <c r="I449" s="14"/>
      <c r="J449" s="19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84"/>
      <c r="D450" s="14"/>
      <c r="E450" s="14"/>
      <c r="F450" s="14"/>
      <c r="G450" s="14"/>
      <c r="H450" s="14"/>
      <c r="I450" s="14"/>
      <c r="J450" s="19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84"/>
      <c r="D451" s="14"/>
      <c r="E451" s="14"/>
      <c r="F451" s="14"/>
      <c r="G451" s="14"/>
      <c r="H451" s="14"/>
      <c r="I451" s="14"/>
      <c r="J451" s="19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84"/>
      <c r="D452" s="14"/>
      <c r="E452" s="14"/>
      <c r="F452" s="14"/>
      <c r="G452" s="14"/>
      <c r="H452" s="14"/>
      <c r="I452" s="14"/>
      <c r="J452" s="19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84"/>
      <c r="D453" s="14"/>
      <c r="E453" s="14"/>
      <c r="F453" s="14"/>
      <c r="G453" s="14"/>
      <c r="H453" s="14"/>
      <c r="I453" s="14"/>
      <c r="J453" s="19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84"/>
      <c r="D454" s="14"/>
      <c r="E454" s="14"/>
      <c r="F454" s="14"/>
      <c r="G454" s="14"/>
      <c r="H454" s="14"/>
      <c r="I454" s="14"/>
      <c r="J454" s="19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84"/>
      <c r="D455" s="14"/>
      <c r="E455" s="14"/>
      <c r="F455" s="14"/>
      <c r="G455" s="14"/>
      <c r="H455" s="14"/>
      <c r="I455" s="14"/>
      <c r="J455" s="19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84"/>
      <c r="D456" s="14"/>
      <c r="E456" s="14"/>
      <c r="F456" s="14"/>
      <c r="G456" s="14"/>
      <c r="H456" s="14"/>
      <c r="I456" s="14"/>
      <c r="J456" s="19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84"/>
      <c r="D457" s="14"/>
      <c r="E457" s="14"/>
      <c r="F457" s="14"/>
      <c r="G457" s="14"/>
      <c r="H457" s="14"/>
      <c r="I457" s="14"/>
      <c r="J457" s="19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84"/>
      <c r="D458" s="14"/>
      <c r="E458" s="14"/>
      <c r="F458" s="14"/>
      <c r="G458" s="14"/>
      <c r="H458" s="14"/>
      <c r="I458" s="14"/>
      <c r="J458" s="19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84"/>
      <c r="D459" s="14"/>
      <c r="E459" s="14"/>
      <c r="F459" s="14"/>
      <c r="G459" s="14"/>
      <c r="H459" s="14"/>
      <c r="I459" s="14"/>
      <c r="J459" s="19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84"/>
      <c r="D460" s="14"/>
      <c r="E460" s="14"/>
      <c r="F460" s="14"/>
      <c r="G460" s="14"/>
      <c r="H460" s="14"/>
      <c r="I460" s="14"/>
      <c r="J460" s="19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84"/>
      <c r="D461" s="14"/>
      <c r="E461" s="14"/>
      <c r="F461" s="14"/>
      <c r="G461" s="14"/>
      <c r="H461" s="14"/>
      <c r="I461" s="14"/>
      <c r="J461" s="19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84"/>
      <c r="D462" s="14"/>
      <c r="E462" s="14"/>
      <c r="F462" s="14"/>
      <c r="G462" s="14"/>
      <c r="H462" s="14"/>
      <c r="I462" s="14"/>
      <c r="J462" s="19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84"/>
      <c r="D463" s="14"/>
      <c r="E463" s="14"/>
      <c r="F463" s="14"/>
      <c r="G463" s="14"/>
      <c r="H463" s="14"/>
      <c r="I463" s="14"/>
      <c r="J463" s="19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84"/>
      <c r="D464" s="14"/>
      <c r="E464" s="14"/>
      <c r="F464" s="14"/>
      <c r="G464" s="14"/>
      <c r="H464" s="14"/>
      <c r="I464" s="14"/>
      <c r="J464" s="19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84"/>
      <c r="D465" s="14"/>
      <c r="E465" s="14"/>
      <c r="F465" s="14"/>
      <c r="G465" s="14"/>
      <c r="H465" s="14"/>
      <c r="I465" s="14"/>
      <c r="J465" s="19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84"/>
      <c r="D466" s="14"/>
      <c r="E466" s="14"/>
      <c r="F466" s="14"/>
      <c r="G466" s="14"/>
      <c r="H466" s="14"/>
      <c r="I466" s="14"/>
      <c r="J466" s="19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84"/>
      <c r="D467" s="14"/>
      <c r="E467" s="14"/>
      <c r="F467" s="14"/>
      <c r="G467" s="14"/>
      <c r="H467" s="14"/>
      <c r="I467" s="14"/>
      <c r="J467" s="19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84"/>
      <c r="D468" s="14"/>
      <c r="E468" s="14"/>
      <c r="F468" s="14"/>
      <c r="G468" s="14"/>
      <c r="H468" s="14"/>
      <c r="I468" s="14"/>
      <c r="J468" s="19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84"/>
      <c r="D469" s="14"/>
      <c r="E469" s="14"/>
      <c r="F469" s="14"/>
      <c r="G469" s="14"/>
      <c r="H469" s="14"/>
      <c r="I469" s="14"/>
      <c r="J469" s="19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84"/>
      <c r="D470" s="14"/>
      <c r="E470" s="14"/>
      <c r="F470" s="14"/>
      <c r="G470" s="14"/>
      <c r="H470" s="14"/>
      <c r="I470" s="14"/>
      <c r="J470" s="19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84"/>
      <c r="D471" s="14"/>
      <c r="E471" s="14"/>
      <c r="F471" s="14"/>
      <c r="G471" s="14"/>
      <c r="H471" s="14"/>
      <c r="I471" s="14"/>
      <c r="J471" s="19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84"/>
      <c r="D472" s="14"/>
      <c r="E472" s="14"/>
      <c r="F472" s="14"/>
      <c r="G472" s="14"/>
      <c r="H472" s="14"/>
      <c r="I472" s="14"/>
      <c r="J472" s="19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84"/>
      <c r="D473" s="14"/>
      <c r="E473" s="14"/>
      <c r="F473" s="14"/>
      <c r="G473" s="14"/>
      <c r="H473" s="14"/>
      <c r="I473" s="14"/>
      <c r="J473" s="19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84"/>
      <c r="D474" s="14"/>
      <c r="E474" s="14"/>
      <c r="F474" s="14"/>
      <c r="G474" s="14"/>
      <c r="H474" s="14"/>
      <c r="I474" s="14"/>
      <c r="J474" s="19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84"/>
      <c r="D475" s="14"/>
      <c r="E475" s="14"/>
      <c r="F475" s="14"/>
      <c r="G475" s="14"/>
      <c r="H475" s="14"/>
      <c r="I475" s="14"/>
      <c r="J475" s="19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84"/>
      <c r="D476" s="14"/>
      <c r="E476" s="14"/>
      <c r="F476" s="14"/>
      <c r="G476" s="14"/>
      <c r="H476" s="14"/>
      <c r="I476" s="14"/>
      <c r="J476" s="19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84"/>
      <c r="D477" s="14"/>
      <c r="E477" s="14"/>
      <c r="F477" s="14"/>
      <c r="G477" s="14"/>
      <c r="H477" s="14"/>
      <c r="I477" s="14"/>
      <c r="J477" s="19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84"/>
      <c r="D478" s="14"/>
      <c r="E478" s="14"/>
      <c r="F478" s="14"/>
      <c r="G478" s="14"/>
      <c r="H478" s="14"/>
      <c r="I478" s="14"/>
      <c r="J478" s="19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84"/>
      <c r="D479" s="14"/>
      <c r="E479" s="14"/>
      <c r="F479" s="14"/>
      <c r="G479" s="14"/>
      <c r="H479" s="14"/>
      <c r="I479" s="14"/>
      <c r="J479" s="19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84"/>
      <c r="D480" s="14"/>
      <c r="E480" s="14"/>
      <c r="F480" s="14"/>
      <c r="G480" s="14"/>
      <c r="H480" s="14"/>
      <c r="I480" s="14"/>
      <c r="J480" s="19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84"/>
      <c r="D481" s="14"/>
      <c r="E481" s="14"/>
      <c r="F481" s="14"/>
      <c r="G481" s="14"/>
      <c r="H481" s="14"/>
      <c r="I481" s="14"/>
      <c r="J481" s="19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84"/>
      <c r="D482" s="14"/>
      <c r="E482" s="14"/>
      <c r="F482" s="14"/>
      <c r="G482" s="14"/>
      <c r="H482" s="14"/>
      <c r="I482" s="14"/>
      <c r="J482" s="19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84"/>
      <c r="D483" s="14"/>
      <c r="E483" s="14"/>
      <c r="F483" s="14"/>
      <c r="G483" s="14"/>
      <c r="H483" s="14"/>
      <c r="I483" s="14"/>
      <c r="J483" s="19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84"/>
      <c r="D484" s="14"/>
      <c r="E484" s="14"/>
      <c r="F484" s="14"/>
      <c r="G484" s="14"/>
      <c r="H484" s="14"/>
      <c r="I484" s="14"/>
      <c r="J484" s="19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84"/>
      <c r="D485" s="14"/>
      <c r="E485" s="14"/>
      <c r="F485" s="14"/>
      <c r="G485" s="14"/>
      <c r="H485" s="14"/>
      <c r="I485" s="14"/>
      <c r="J485" s="19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84"/>
      <c r="D486" s="14"/>
      <c r="E486" s="14"/>
      <c r="F486" s="14"/>
      <c r="G486" s="14"/>
      <c r="H486" s="14"/>
      <c r="I486" s="14"/>
      <c r="J486" s="19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84"/>
      <c r="D487" s="14"/>
      <c r="E487" s="14"/>
      <c r="F487" s="14"/>
      <c r="G487" s="14"/>
      <c r="H487" s="14"/>
      <c r="I487" s="14"/>
      <c r="J487" s="19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84"/>
      <c r="D488" s="14"/>
      <c r="E488" s="14"/>
      <c r="F488" s="14"/>
      <c r="G488" s="14"/>
      <c r="H488" s="14"/>
      <c r="I488" s="14"/>
      <c r="J488" s="19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84"/>
      <c r="D489" s="14"/>
      <c r="E489" s="14"/>
      <c r="F489" s="14"/>
      <c r="G489" s="14"/>
      <c r="H489" s="14"/>
      <c r="I489" s="14"/>
      <c r="J489" s="19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84"/>
      <c r="D490" s="14"/>
      <c r="E490" s="14"/>
      <c r="F490" s="14"/>
      <c r="G490" s="14"/>
      <c r="H490" s="14"/>
      <c r="I490" s="14"/>
      <c r="J490" s="19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84"/>
      <c r="D491" s="14"/>
      <c r="E491" s="14"/>
      <c r="F491" s="14"/>
      <c r="G491" s="14"/>
      <c r="H491" s="14"/>
      <c r="I491" s="14"/>
      <c r="J491" s="19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84"/>
      <c r="D492" s="14"/>
      <c r="E492" s="14"/>
      <c r="F492" s="14"/>
      <c r="G492" s="14"/>
      <c r="H492" s="14"/>
      <c r="I492" s="14"/>
      <c r="J492" s="19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84"/>
      <c r="D493" s="14"/>
      <c r="E493" s="14"/>
      <c r="F493" s="14"/>
      <c r="G493" s="14"/>
      <c r="H493" s="14"/>
      <c r="I493" s="14"/>
      <c r="J493" s="19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84"/>
      <c r="D494" s="14"/>
      <c r="E494" s="14"/>
      <c r="F494" s="14"/>
      <c r="G494" s="14"/>
      <c r="H494" s="14"/>
      <c r="I494" s="14"/>
      <c r="J494" s="19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84"/>
      <c r="D495" s="14"/>
      <c r="E495" s="14"/>
      <c r="F495" s="14"/>
      <c r="G495" s="14"/>
      <c r="H495" s="14"/>
      <c r="I495" s="14"/>
      <c r="J495" s="19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84"/>
      <c r="D496" s="14"/>
      <c r="E496" s="14"/>
      <c r="F496" s="14"/>
      <c r="G496" s="14"/>
      <c r="H496" s="14"/>
      <c r="I496" s="14"/>
      <c r="J496" s="19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84"/>
      <c r="D497" s="14"/>
      <c r="E497" s="14"/>
      <c r="F497" s="14"/>
      <c r="G497" s="14"/>
      <c r="H497" s="14"/>
      <c r="I497" s="14"/>
      <c r="J497" s="19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84"/>
      <c r="D498" s="14"/>
      <c r="E498" s="14"/>
      <c r="F498" s="14"/>
      <c r="G498" s="14"/>
      <c r="H498" s="14"/>
      <c r="I498" s="14"/>
      <c r="J498" s="19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84"/>
      <c r="D499" s="14"/>
      <c r="E499" s="14"/>
      <c r="F499" s="14"/>
      <c r="G499" s="14"/>
      <c r="H499" s="14"/>
      <c r="I499" s="14"/>
      <c r="J499" s="19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84"/>
      <c r="D500" s="14"/>
      <c r="E500" s="14"/>
      <c r="F500" s="14"/>
      <c r="G500" s="14"/>
      <c r="H500" s="14"/>
      <c r="I500" s="14"/>
      <c r="J500" s="19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84"/>
      <c r="D501" s="14"/>
      <c r="E501" s="14"/>
      <c r="F501" s="14"/>
      <c r="G501" s="14"/>
      <c r="H501" s="14"/>
      <c r="I501" s="14"/>
      <c r="J501" s="19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84"/>
      <c r="D502" s="14"/>
      <c r="E502" s="14"/>
      <c r="F502" s="14"/>
      <c r="G502" s="14"/>
      <c r="H502" s="14"/>
      <c r="I502" s="14"/>
      <c r="J502" s="19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84"/>
      <c r="D503" s="14"/>
      <c r="E503" s="14"/>
      <c r="F503" s="14"/>
      <c r="G503" s="14"/>
      <c r="H503" s="14"/>
      <c r="I503" s="14"/>
      <c r="J503" s="19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84"/>
      <c r="D504" s="14"/>
      <c r="E504" s="14"/>
      <c r="F504" s="14"/>
      <c r="G504" s="14"/>
      <c r="H504" s="14"/>
      <c r="I504" s="14"/>
      <c r="J504" s="19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84"/>
      <c r="D505" s="14"/>
      <c r="E505" s="14"/>
      <c r="F505" s="14"/>
      <c r="G505" s="14"/>
      <c r="H505" s="14"/>
      <c r="I505" s="14"/>
      <c r="J505" s="19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84"/>
      <c r="D506" s="14"/>
      <c r="E506" s="14"/>
      <c r="F506" s="14"/>
      <c r="G506" s="14"/>
      <c r="H506" s="14"/>
      <c r="I506" s="14"/>
      <c r="J506" s="19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84"/>
      <c r="D507" s="14"/>
      <c r="E507" s="14"/>
      <c r="F507" s="14"/>
      <c r="G507" s="14"/>
      <c r="H507" s="14"/>
      <c r="I507" s="14"/>
      <c r="J507" s="19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84"/>
      <c r="D508" s="14"/>
      <c r="E508" s="14"/>
      <c r="F508" s="14"/>
      <c r="G508" s="14"/>
      <c r="H508" s="14"/>
      <c r="I508" s="14"/>
      <c r="J508" s="19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84"/>
      <c r="D509" s="14"/>
      <c r="E509" s="14"/>
      <c r="F509" s="14"/>
      <c r="G509" s="14"/>
      <c r="H509" s="14"/>
      <c r="I509" s="14"/>
      <c r="J509" s="19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84"/>
      <c r="D510" s="14"/>
      <c r="E510" s="14"/>
      <c r="F510" s="14"/>
      <c r="G510" s="14"/>
      <c r="H510" s="14"/>
      <c r="I510" s="14"/>
      <c r="J510" s="19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84"/>
      <c r="D511" s="14"/>
      <c r="E511" s="14"/>
      <c r="F511" s="14"/>
      <c r="G511" s="14"/>
      <c r="H511" s="14"/>
      <c r="I511" s="14"/>
      <c r="J511" s="19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84"/>
      <c r="D512" s="14"/>
      <c r="E512" s="14"/>
      <c r="F512" s="14"/>
      <c r="G512" s="14"/>
      <c r="H512" s="14"/>
      <c r="I512" s="14"/>
      <c r="J512" s="19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84"/>
      <c r="D513" s="14"/>
      <c r="E513" s="14"/>
      <c r="F513" s="14"/>
      <c r="G513" s="14"/>
      <c r="H513" s="14"/>
      <c r="I513" s="14"/>
      <c r="J513" s="19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84"/>
      <c r="D514" s="14"/>
      <c r="E514" s="14"/>
      <c r="F514" s="14"/>
      <c r="G514" s="14"/>
      <c r="H514" s="14"/>
      <c r="I514" s="14"/>
      <c r="J514" s="19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84"/>
      <c r="D515" s="14"/>
      <c r="E515" s="14"/>
      <c r="F515" s="14"/>
      <c r="G515" s="14"/>
      <c r="H515" s="14"/>
      <c r="I515" s="14"/>
      <c r="J515" s="19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84"/>
      <c r="D516" s="14"/>
      <c r="E516" s="14"/>
      <c r="F516" s="14"/>
      <c r="G516" s="14"/>
      <c r="H516" s="14"/>
      <c r="I516" s="14"/>
      <c r="J516" s="19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84"/>
      <c r="D517" s="14"/>
      <c r="E517" s="14"/>
      <c r="F517" s="14"/>
      <c r="G517" s="14"/>
      <c r="H517" s="14"/>
      <c r="I517" s="14"/>
      <c r="J517" s="19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84"/>
      <c r="D518" s="14"/>
      <c r="E518" s="14"/>
      <c r="F518" s="14"/>
      <c r="G518" s="14"/>
      <c r="H518" s="14"/>
      <c r="I518" s="14"/>
      <c r="J518" s="19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84"/>
      <c r="D519" s="14"/>
      <c r="E519" s="14"/>
      <c r="F519" s="14"/>
      <c r="G519" s="14"/>
      <c r="H519" s="14"/>
      <c r="I519" s="14"/>
      <c r="J519" s="19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84"/>
      <c r="D520" s="14"/>
      <c r="E520" s="14"/>
      <c r="F520" s="14"/>
      <c r="G520" s="14"/>
      <c r="H520" s="14"/>
      <c r="I520" s="14"/>
      <c r="J520" s="19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84"/>
      <c r="D521" s="14"/>
      <c r="E521" s="14"/>
      <c r="F521" s="14"/>
      <c r="G521" s="14"/>
      <c r="H521" s="14"/>
      <c r="I521" s="14"/>
      <c r="J521" s="19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84"/>
      <c r="D522" s="14"/>
      <c r="E522" s="14"/>
      <c r="F522" s="14"/>
      <c r="G522" s="14"/>
      <c r="H522" s="14"/>
      <c r="I522" s="14"/>
      <c r="J522" s="19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84"/>
      <c r="D523" s="14"/>
      <c r="E523" s="14"/>
      <c r="F523" s="14"/>
      <c r="G523" s="14"/>
      <c r="H523" s="14"/>
      <c r="I523" s="14"/>
      <c r="J523" s="19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84"/>
      <c r="D524" s="14"/>
      <c r="E524" s="14"/>
      <c r="F524" s="14"/>
      <c r="G524" s="14"/>
      <c r="H524" s="14"/>
      <c r="I524" s="14"/>
      <c r="J524" s="19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84"/>
      <c r="D525" s="14"/>
      <c r="E525" s="14"/>
      <c r="F525" s="14"/>
      <c r="G525" s="14"/>
      <c r="H525" s="14"/>
      <c r="I525" s="14"/>
      <c r="J525" s="19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84"/>
      <c r="D526" s="14"/>
      <c r="E526" s="14"/>
      <c r="F526" s="14"/>
      <c r="G526" s="14"/>
      <c r="H526" s="14"/>
      <c r="I526" s="14"/>
      <c r="J526" s="19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84"/>
      <c r="D527" s="14"/>
      <c r="E527" s="14"/>
      <c r="F527" s="14"/>
      <c r="G527" s="14"/>
      <c r="H527" s="14"/>
      <c r="I527" s="14"/>
      <c r="J527" s="19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84"/>
      <c r="D528" s="14"/>
      <c r="E528" s="14"/>
      <c r="F528" s="14"/>
      <c r="G528" s="14"/>
      <c r="H528" s="14"/>
      <c r="I528" s="14"/>
      <c r="J528" s="19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84"/>
      <c r="D529" s="14"/>
      <c r="E529" s="14"/>
      <c r="F529" s="14"/>
      <c r="G529" s="14"/>
      <c r="H529" s="14"/>
      <c r="I529" s="14"/>
      <c r="J529" s="19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84"/>
      <c r="D530" s="14"/>
      <c r="E530" s="14"/>
      <c r="F530" s="14"/>
      <c r="G530" s="14"/>
      <c r="H530" s="14"/>
      <c r="I530" s="14"/>
      <c r="J530" s="19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84"/>
      <c r="D531" s="14"/>
      <c r="E531" s="14"/>
      <c r="F531" s="14"/>
      <c r="G531" s="14"/>
      <c r="H531" s="14"/>
      <c r="I531" s="14"/>
      <c r="J531" s="19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84"/>
      <c r="D532" s="14"/>
      <c r="E532" s="14"/>
      <c r="F532" s="14"/>
      <c r="G532" s="14"/>
      <c r="H532" s="14"/>
      <c r="I532" s="14"/>
      <c r="J532" s="19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84"/>
      <c r="D533" s="14"/>
      <c r="E533" s="14"/>
      <c r="F533" s="14"/>
      <c r="G533" s="14"/>
      <c r="H533" s="14"/>
      <c r="I533" s="14"/>
      <c r="J533" s="19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84"/>
      <c r="D534" s="14"/>
      <c r="E534" s="14"/>
      <c r="F534" s="14"/>
      <c r="G534" s="14"/>
      <c r="H534" s="14"/>
      <c r="I534" s="14"/>
      <c r="J534" s="19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84"/>
      <c r="D535" s="14"/>
      <c r="E535" s="14"/>
      <c r="F535" s="14"/>
      <c r="G535" s="14"/>
      <c r="H535" s="14"/>
      <c r="I535" s="14"/>
      <c r="J535" s="19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84"/>
      <c r="D536" s="14"/>
      <c r="E536" s="14"/>
      <c r="F536" s="14"/>
      <c r="G536" s="14"/>
      <c r="H536" s="14"/>
      <c r="I536" s="14"/>
      <c r="J536" s="19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84"/>
      <c r="D537" s="14"/>
      <c r="E537" s="14"/>
      <c r="F537" s="14"/>
      <c r="G537" s="14"/>
      <c r="H537" s="14"/>
      <c r="I537" s="14"/>
      <c r="J537" s="19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84"/>
      <c r="D538" s="14"/>
      <c r="E538" s="14"/>
      <c r="F538" s="14"/>
      <c r="G538" s="14"/>
      <c r="H538" s="14"/>
      <c r="I538" s="14"/>
      <c r="J538" s="19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84"/>
      <c r="D539" s="14"/>
      <c r="E539" s="14"/>
      <c r="F539" s="14"/>
      <c r="G539" s="14"/>
      <c r="H539" s="14"/>
      <c r="I539" s="14"/>
      <c r="J539" s="19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84"/>
      <c r="D540" s="14"/>
      <c r="E540" s="14"/>
      <c r="F540" s="14"/>
      <c r="G540" s="14"/>
      <c r="H540" s="14"/>
      <c r="I540" s="14"/>
      <c r="J540" s="19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84"/>
      <c r="D541" s="14"/>
      <c r="E541" s="14"/>
      <c r="F541" s="14"/>
      <c r="G541" s="14"/>
      <c r="H541" s="14"/>
      <c r="I541" s="14"/>
      <c r="J541" s="19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84"/>
      <c r="D542" s="14"/>
      <c r="E542" s="14"/>
      <c r="F542" s="14"/>
      <c r="G542" s="14"/>
      <c r="H542" s="14"/>
      <c r="I542" s="14"/>
      <c r="J542" s="19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84"/>
      <c r="D543" s="14"/>
      <c r="E543" s="14"/>
      <c r="F543" s="14"/>
      <c r="G543" s="14"/>
      <c r="H543" s="14"/>
      <c r="I543" s="14"/>
      <c r="J543" s="19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84"/>
      <c r="D544" s="14"/>
      <c r="E544" s="14"/>
      <c r="F544" s="14"/>
      <c r="G544" s="14"/>
      <c r="H544" s="14"/>
      <c r="I544" s="14"/>
      <c r="J544" s="19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84"/>
      <c r="D545" s="14"/>
      <c r="E545" s="14"/>
      <c r="F545" s="14"/>
      <c r="G545" s="14"/>
      <c r="H545" s="14"/>
      <c r="I545" s="14"/>
      <c r="J545" s="19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84"/>
      <c r="D546" s="14"/>
      <c r="E546" s="14"/>
      <c r="F546" s="14"/>
      <c r="G546" s="14"/>
      <c r="H546" s="14"/>
      <c r="I546" s="14"/>
      <c r="J546" s="19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84"/>
      <c r="D547" s="14"/>
      <c r="E547" s="14"/>
      <c r="F547" s="14"/>
      <c r="G547" s="14"/>
      <c r="H547" s="14"/>
      <c r="I547" s="14"/>
      <c r="J547" s="19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84"/>
      <c r="D548" s="14"/>
      <c r="E548" s="14"/>
      <c r="F548" s="14"/>
      <c r="G548" s="14"/>
      <c r="H548" s="14"/>
      <c r="I548" s="14"/>
      <c r="J548" s="19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84"/>
      <c r="D549" s="14"/>
      <c r="E549" s="14"/>
      <c r="F549" s="14"/>
      <c r="G549" s="14"/>
      <c r="H549" s="14"/>
      <c r="I549" s="14"/>
      <c r="J549" s="19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84"/>
      <c r="D550" s="14"/>
      <c r="E550" s="14"/>
      <c r="F550" s="14"/>
      <c r="G550" s="14"/>
      <c r="H550" s="14"/>
      <c r="I550" s="14"/>
      <c r="J550" s="19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84"/>
      <c r="D551" s="14"/>
      <c r="E551" s="14"/>
      <c r="F551" s="14"/>
      <c r="G551" s="14"/>
      <c r="H551" s="14"/>
      <c r="I551" s="14"/>
      <c r="J551" s="19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84"/>
      <c r="D552" s="14"/>
      <c r="E552" s="14"/>
      <c r="F552" s="14"/>
      <c r="G552" s="14"/>
      <c r="H552" s="14"/>
      <c r="I552" s="14"/>
      <c r="J552" s="19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84"/>
      <c r="D553" s="14"/>
      <c r="E553" s="14"/>
      <c r="F553" s="14"/>
      <c r="G553" s="14"/>
      <c r="H553" s="14"/>
      <c r="I553" s="14"/>
      <c r="J553" s="19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84"/>
      <c r="D554" s="14"/>
      <c r="E554" s="14"/>
      <c r="F554" s="14"/>
      <c r="G554" s="14"/>
      <c r="H554" s="14"/>
      <c r="I554" s="14"/>
      <c r="J554" s="19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84"/>
      <c r="D555" s="14"/>
      <c r="E555" s="14"/>
      <c r="F555" s="14"/>
      <c r="G555" s="14"/>
      <c r="H555" s="14"/>
      <c r="I555" s="14"/>
      <c r="J555" s="19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84"/>
      <c r="D556" s="14"/>
      <c r="E556" s="14"/>
      <c r="F556" s="14"/>
      <c r="G556" s="14"/>
      <c r="H556" s="14"/>
      <c r="I556" s="14"/>
      <c r="J556" s="19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84"/>
      <c r="D557" s="14"/>
      <c r="E557" s="14"/>
      <c r="F557" s="14"/>
      <c r="G557" s="14"/>
      <c r="H557" s="14"/>
      <c r="I557" s="14"/>
      <c r="J557" s="19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84"/>
      <c r="D558" s="14"/>
      <c r="E558" s="14"/>
      <c r="F558" s="14"/>
      <c r="G558" s="14"/>
      <c r="H558" s="14"/>
      <c r="I558" s="14"/>
      <c r="J558" s="19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84"/>
      <c r="D559" s="14"/>
      <c r="E559" s="14"/>
      <c r="F559" s="14"/>
      <c r="G559" s="14"/>
      <c r="H559" s="14"/>
      <c r="I559" s="14"/>
      <c r="J559" s="19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84"/>
      <c r="D560" s="14"/>
      <c r="E560" s="14"/>
      <c r="F560" s="14"/>
      <c r="G560" s="14"/>
      <c r="H560" s="14"/>
      <c r="I560" s="14"/>
      <c r="J560" s="19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84"/>
      <c r="D561" s="14"/>
      <c r="E561" s="14"/>
      <c r="F561" s="14"/>
      <c r="G561" s="14"/>
      <c r="H561" s="14"/>
      <c r="I561" s="14"/>
      <c r="J561" s="19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84"/>
      <c r="D562" s="14"/>
      <c r="E562" s="14"/>
      <c r="F562" s="14"/>
      <c r="G562" s="14"/>
      <c r="H562" s="14"/>
      <c r="I562" s="14"/>
      <c r="J562" s="19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84"/>
      <c r="D563" s="14"/>
      <c r="E563" s="14"/>
      <c r="F563" s="14"/>
      <c r="G563" s="14"/>
      <c r="H563" s="14"/>
      <c r="I563" s="14"/>
      <c r="J563" s="19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84"/>
      <c r="D564" s="14"/>
      <c r="E564" s="14"/>
      <c r="F564" s="14"/>
      <c r="G564" s="14"/>
      <c r="H564" s="14"/>
      <c r="I564" s="14"/>
      <c r="J564" s="19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84"/>
      <c r="D565" s="14"/>
      <c r="E565" s="14"/>
      <c r="F565" s="14"/>
      <c r="G565" s="14"/>
      <c r="H565" s="14"/>
      <c r="I565" s="14"/>
      <c r="J565" s="19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84"/>
      <c r="D566" s="14"/>
      <c r="E566" s="14"/>
      <c r="F566" s="14"/>
      <c r="G566" s="14"/>
      <c r="H566" s="14"/>
      <c r="I566" s="14"/>
      <c r="J566" s="19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84"/>
      <c r="D567" s="14"/>
      <c r="E567" s="14"/>
      <c r="F567" s="14"/>
      <c r="G567" s="14"/>
      <c r="H567" s="14"/>
      <c r="I567" s="14"/>
      <c r="J567" s="19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84"/>
      <c r="D568" s="14"/>
      <c r="E568" s="14"/>
      <c r="F568" s="14"/>
      <c r="G568" s="14"/>
      <c r="H568" s="14"/>
      <c r="I568" s="14"/>
      <c r="J568" s="19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84"/>
      <c r="D569" s="14"/>
      <c r="E569" s="14"/>
      <c r="F569" s="14"/>
      <c r="G569" s="14"/>
      <c r="H569" s="14"/>
      <c r="I569" s="14"/>
      <c r="J569" s="19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84"/>
      <c r="D570" s="14"/>
      <c r="E570" s="14"/>
      <c r="F570" s="14"/>
      <c r="G570" s="14"/>
      <c r="H570" s="14"/>
      <c r="I570" s="14"/>
      <c r="J570" s="19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84"/>
      <c r="D571" s="14"/>
      <c r="E571" s="14"/>
      <c r="F571" s="14"/>
      <c r="G571" s="14"/>
      <c r="H571" s="14"/>
      <c r="I571" s="14"/>
      <c r="J571" s="19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84"/>
      <c r="D572" s="14"/>
      <c r="E572" s="14"/>
      <c r="F572" s="14"/>
      <c r="G572" s="14"/>
      <c r="H572" s="14"/>
      <c r="I572" s="14"/>
      <c r="J572" s="19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84"/>
      <c r="D573" s="14"/>
      <c r="E573" s="14"/>
      <c r="F573" s="14"/>
      <c r="G573" s="14"/>
      <c r="H573" s="14"/>
      <c r="I573" s="14"/>
      <c r="J573" s="19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84"/>
      <c r="D574" s="14"/>
      <c r="E574" s="14"/>
      <c r="F574" s="14"/>
      <c r="G574" s="14"/>
      <c r="H574" s="14"/>
      <c r="I574" s="14"/>
      <c r="J574" s="19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84"/>
      <c r="D575" s="14"/>
      <c r="E575" s="14"/>
      <c r="F575" s="14"/>
      <c r="G575" s="14"/>
      <c r="H575" s="14"/>
      <c r="I575" s="14"/>
      <c r="J575" s="19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84"/>
      <c r="D576" s="14"/>
      <c r="E576" s="14"/>
      <c r="F576" s="14"/>
      <c r="G576" s="14"/>
      <c r="H576" s="14"/>
      <c r="I576" s="14"/>
      <c r="J576" s="19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84"/>
      <c r="D577" s="14"/>
      <c r="E577" s="14"/>
      <c r="F577" s="14"/>
      <c r="G577" s="14"/>
      <c r="H577" s="14"/>
      <c r="I577" s="14"/>
      <c r="J577" s="19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84"/>
      <c r="D578" s="14"/>
      <c r="E578" s="14"/>
      <c r="F578" s="14"/>
      <c r="G578" s="14"/>
      <c r="H578" s="14"/>
      <c r="I578" s="14"/>
      <c r="J578" s="19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84"/>
      <c r="D579" s="14"/>
      <c r="E579" s="14"/>
      <c r="F579" s="14"/>
      <c r="G579" s="14"/>
      <c r="H579" s="14"/>
      <c r="I579" s="14"/>
      <c r="J579" s="19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84"/>
      <c r="D580" s="14"/>
      <c r="E580" s="14"/>
      <c r="F580" s="14"/>
      <c r="G580" s="14"/>
      <c r="H580" s="14"/>
      <c r="I580" s="14"/>
      <c r="J580" s="19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84"/>
      <c r="D581" s="14"/>
      <c r="E581" s="14"/>
      <c r="F581" s="14"/>
      <c r="G581" s="14"/>
      <c r="H581" s="14"/>
      <c r="I581" s="14"/>
      <c r="J581" s="19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84"/>
      <c r="D582" s="14"/>
      <c r="E582" s="14"/>
      <c r="F582" s="14"/>
      <c r="G582" s="14"/>
      <c r="H582" s="14"/>
      <c r="I582" s="14"/>
      <c r="J582" s="19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84"/>
      <c r="D583" s="14"/>
      <c r="E583" s="14"/>
      <c r="F583" s="14"/>
      <c r="G583" s="14"/>
      <c r="H583" s="14"/>
      <c r="I583" s="14"/>
      <c r="J583" s="19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84"/>
      <c r="D584" s="14"/>
      <c r="E584" s="14"/>
      <c r="F584" s="14"/>
      <c r="G584" s="14"/>
      <c r="H584" s="14"/>
      <c r="I584" s="14"/>
      <c r="J584" s="19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84"/>
      <c r="D585" s="14"/>
      <c r="E585" s="14"/>
      <c r="F585" s="14"/>
      <c r="G585" s="14"/>
      <c r="H585" s="14"/>
      <c r="I585" s="14"/>
      <c r="J585" s="19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84"/>
      <c r="D586" s="14"/>
      <c r="E586" s="14"/>
      <c r="F586" s="14"/>
      <c r="G586" s="14"/>
      <c r="H586" s="14"/>
      <c r="I586" s="14"/>
      <c r="J586" s="19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84"/>
      <c r="D587" s="14"/>
      <c r="E587" s="14"/>
      <c r="F587" s="14"/>
      <c r="G587" s="14"/>
      <c r="H587" s="14"/>
      <c r="I587" s="14"/>
      <c r="J587" s="19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84"/>
      <c r="D588" s="14"/>
      <c r="E588" s="14"/>
      <c r="F588" s="14"/>
      <c r="G588" s="14"/>
      <c r="H588" s="14"/>
      <c r="I588" s="14"/>
      <c r="J588" s="19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84"/>
      <c r="D589" s="14"/>
      <c r="E589" s="14"/>
      <c r="F589" s="14"/>
      <c r="G589" s="14"/>
      <c r="H589" s="14"/>
      <c r="I589" s="14"/>
      <c r="J589" s="19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84"/>
      <c r="D590" s="14"/>
      <c r="E590" s="14"/>
      <c r="F590" s="14"/>
      <c r="G590" s="14"/>
      <c r="H590" s="14"/>
      <c r="I590" s="14"/>
      <c r="J590" s="19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84"/>
      <c r="D591" s="14"/>
      <c r="E591" s="14"/>
      <c r="F591" s="14"/>
      <c r="G591" s="14"/>
      <c r="H591" s="14"/>
      <c r="I591" s="14"/>
      <c r="J591" s="19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84"/>
      <c r="D592" s="14"/>
      <c r="E592" s="14"/>
      <c r="F592" s="14"/>
      <c r="G592" s="14"/>
      <c r="H592" s="14"/>
      <c r="I592" s="14"/>
      <c r="J592" s="19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84"/>
      <c r="D593" s="14"/>
      <c r="E593" s="14"/>
      <c r="F593" s="14"/>
      <c r="G593" s="14"/>
      <c r="H593" s="14"/>
      <c r="I593" s="14"/>
      <c r="J593" s="19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84"/>
      <c r="D594" s="14"/>
      <c r="E594" s="14"/>
      <c r="F594" s="14"/>
      <c r="G594" s="14"/>
      <c r="H594" s="14"/>
      <c r="I594" s="14"/>
      <c r="J594" s="19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84"/>
      <c r="D595" s="14"/>
      <c r="E595" s="14"/>
      <c r="F595" s="14"/>
      <c r="G595" s="14"/>
      <c r="H595" s="14"/>
      <c r="I595" s="14"/>
      <c r="J595" s="19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84"/>
      <c r="D596" s="14"/>
      <c r="E596" s="14"/>
      <c r="F596" s="14"/>
      <c r="G596" s="14"/>
      <c r="H596" s="14"/>
      <c r="I596" s="14"/>
      <c r="J596" s="19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84"/>
      <c r="D597" s="14"/>
      <c r="E597" s="14"/>
      <c r="F597" s="14"/>
      <c r="G597" s="14"/>
      <c r="H597" s="14"/>
      <c r="I597" s="14"/>
      <c r="J597" s="19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84"/>
      <c r="D598" s="14"/>
      <c r="E598" s="14"/>
      <c r="F598" s="14"/>
      <c r="G598" s="14"/>
      <c r="H598" s="14"/>
      <c r="I598" s="14"/>
      <c r="J598" s="19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84"/>
      <c r="D599" s="14"/>
      <c r="E599" s="14"/>
      <c r="F599" s="14"/>
      <c r="G599" s="14"/>
      <c r="H599" s="14"/>
      <c r="I599" s="14"/>
      <c r="J599" s="19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84"/>
      <c r="D600" s="14"/>
      <c r="E600" s="14"/>
      <c r="F600" s="14"/>
      <c r="G600" s="14"/>
      <c r="H600" s="14"/>
      <c r="I600" s="14"/>
      <c r="J600" s="19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84"/>
      <c r="D601" s="14"/>
      <c r="E601" s="14"/>
      <c r="F601" s="14"/>
      <c r="G601" s="14"/>
      <c r="H601" s="14"/>
      <c r="I601" s="14"/>
      <c r="J601" s="19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84"/>
      <c r="D602" s="14"/>
      <c r="E602" s="14"/>
      <c r="F602" s="14"/>
      <c r="G602" s="14"/>
      <c r="H602" s="14"/>
      <c r="I602" s="14"/>
      <c r="J602" s="19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84"/>
      <c r="D603" s="14"/>
      <c r="E603" s="14"/>
      <c r="F603" s="14"/>
      <c r="G603" s="14"/>
      <c r="H603" s="14"/>
      <c r="I603" s="14"/>
      <c r="J603" s="19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84"/>
      <c r="D604" s="14"/>
      <c r="E604" s="14"/>
      <c r="F604" s="14"/>
      <c r="G604" s="14"/>
      <c r="H604" s="14"/>
      <c r="I604" s="14"/>
      <c r="J604" s="19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84"/>
      <c r="D605" s="14"/>
      <c r="E605" s="14"/>
      <c r="F605" s="14"/>
      <c r="G605" s="14"/>
      <c r="H605" s="14"/>
      <c r="I605" s="14"/>
      <c r="J605" s="19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84"/>
      <c r="D606" s="14"/>
      <c r="E606" s="14"/>
      <c r="F606" s="14"/>
      <c r="G606" s="14"/>
      <c r="H606" s="14"/>
      <c r="I606" s="14"/>
      <c r="J606" s="19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84"/>
      <c r="D607" s="14"/>
      <c r="E607" s="14"/>
      <c r="F607" s="14"/>
      <c r="G607" s="14"/>
      <c r="H607" s="14"/>
      <c r="I607" s="14"/>
      <c r="J607" s="19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84"/>
      <c r="D608" s="14"/>
      <c r="E608" s="14"/>
      <c r="F608" s="14"/>
      <c r="G608" s="14"/>
      <c r="H608" s="14"/>
      <c r="I608" s="14"/>
      <c r="J608" s="19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84"/>
      <c r="D609" s="14"/>
      <c r="E609" s="14"/>
      <c r="F609" s="14"/>
      <c r="G609" s="14"/>
      <c r="H609" s="14"/>
      <c r="I609" s="14"/>
      <c r="J609" s="19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84"/>
      <c r="D610" s="14"/>
      <c r="E610" s="14"/>
      <c r="F610" s="14"/>
      <c r="G610" s="14"/>
      <c r="H610" s="14"/>
      <c r="I610" s="14"/>
      <c r="J610" s="19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84"/>
      <c r="D611" s="14"/>
      <c r="E611" s="14"/>
      <c r="F611" s="14"/>
      <c r="G611" s="14"/>
      <c r="H611" s="14"/>
      <c r="I611" s="14"/>
      <c r="J611" s="19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84"/>
      <c r="D612" s="14"/>
      <c r="E612" s="14"/>
      <c r="F612" s="14"/>
      <c r="G612" s="14"/>
      <c r="H612" s="14"/>
      <c r="I612" s="14"/>
      <c r="J612" s="19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84"/>
      <c r="D613" s="14"/>
      <c r="E613" s="14"/>
      <c r="F613" s="14"/>
      <c r="G613" s="14"/>
      <c r="H613" s="14"/>
      <c r="I613" s="14"/>
      <c r="J613" s="19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84"/>
      <c r="D614" s="14"/>
      <c r="E614" s="14"/>
      <c r="F614" s="14"/>
      <c r="G614" s="14"/>
      <c r="H614" s="14"/>
      <c r="I614" s="14"/>
      <c r="J614" s="19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84"/>
      <c r="D615" s="14"/>
      <c r="E615" s="14"/>
      <c r="F615" s="14"/>
      <c r="G615" s="14"/>
      <c r="H615" s="14"/>
      <c r="I615" s="14"/>
      <c r="J615" s="19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84"/>
      <c r="D616" s="14"/>
      <c r="E616" s="14"/>
      <c r="F616" s="14"/>
      <c r="G616" s="14"/>
      <c r="H616" s="14"/>
      <c r="I616" s="14"/>
      <c r="J616" s="19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84"/>
      <c r="D617" s="14"/>
      <c r="E617" s="14"/>
      <c r="F617" s="14"/>
      <c r="G617" s="14"/>
      <c r="H617" s="14"/>
      <c r="I617" s="14"/>
      <c r="J617" s="19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84"/>
      <c r="D618" s="14"/>
      <c r="E618" s="14"/>
      <c r="F618" s="14"/>
      <c r="G618" s="14"/>
      <c r="H618" s="14"/>
      <c r="I618" s="14"/>
      <c r="J618" s="19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84"/>
      <c r="D619" s="14"/>
      <c r="E619" s="14"/>
      <c r="F619" s="14"/>
      <c r="G619" s="14"/>
      <c r="H619" s="14"/>
      <c r="I619" s="14"/>
      <c r="J619" s="19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84"/>
      <c r="D620" s="14"/>
      <c r="E620" s="14"/>
      <c r="F620" s="14"/>
      <c r="G620" s="14"/>
      <c r="H620" s="14"/>
      <c r="I620" s="14"/>
      <c r="J620" s="19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84"/>
      <c r="D621" s="14"/>
      <c r="E621" s="14"/>
      <c r="F621" s="14"/>
      <c r="G621" s="14"/>
      <c r="H621" s="14"/>
      <c r="I621" s="14"/>
      <c r="J621" s="19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84"/>
      <c r="D622" s="14"/>
      <c r="E622" s="14"/>
      <c r="F622" s="14"/>
      <c r="G622" s="14"/>
      <c r="H622" s="14"/>
      <c r="I622" s="14"/>
      <c r="J622" s="19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84"/>
      <c r="D623" s="14"/>
      <c r="E623" s="14"/>
      <c r="F623" s="14"/>
      <c r="G623" s="14"/>
      <c r="H623" s="14"/>
      <c r="I623" s="14"/>
      <c r="J623" s="19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84"/>
      <c r="D624" s="14"/>
      <c r="E624" s="14"/>
      <c r="F624" s="14"/>
      <c r="G624" s="14"/>
      <c r="H624" s="14"/>
      <c r="I624" s="14"/>
      <c r="J624" s="19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84"/>
      <c r="D625" s="14"/>
      <c r="E625" s="14"/>
      <c r="F625" s="14"/>
      <c r="G625" s="14"/>
      <c r="H625" s="14"/>
      <c r="I625" s="14"/>
      <c r="J625" s="19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84"/>
      <c r="D626" s="14"/>
      <c r="E626" s="14"/>
      <c r="F626" s="14"/>
      <c r="G626" s="14"/>
      <c r="H626" s="14"/>
      <c r="I626" s="14"/>
      <c r="J626" s="19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84"/>
      <c r="D627" s="14"/>
      <c r="E627" s="14"/>
      <c r="F627" s="14"/>
      <c r="G627" s="14"/>
      <c r="H627" s="14"/>
      <c r="I627" s="14"/>
      <c r="J627" s="19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84"/>
      <c r="D628" s="14"/>
      <c r="E628" s="14"/>
      <c r="F628" s="14"/>
      <c r="G628" s="14"/>
      <c r="H628" s="14"/>
      <c r="I628" s="14"/>
      <c r="J628" s="19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84"/>
      <c r="D629" s="14"/>
      <c r="E629" s="14"/>
      <c r="F629" s="14"/>
      <c r="G629" s="14"/>
      <c r="H629" s="14"/>
      <c r="I629" s="14"/>
      <c r="J629" s="19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84"/>
      <c r="D630" s="14"/>
      <c r="E630" s="14"/>
      <c r="F630" s="14"/>
      <c r="G630" s="14"/>
      <c r="H630" s="14"/>
      <c r="I630" s="14"/>
      <c r="J630" s="19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84"/>
      <c r="D631" s="14"/>
      <c r="E631" s="14"/>
      <c r="F631" s="14"/>
      <c r="G631" s="14"/>
      <c r="H631" s="14"/>
      <c r="I631" s="14"/>
      <c r="J631" s="19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84"/>
      <c r="D632" s="14"/>
      <c r="E632" s="14"/>
      <c r="F632" s="14"/>
      <c r="G632" s="14"/>
      <c r="H632" s="14"/>
      <c r="I632" s="14"/>
      <c r="J632" s="19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84"/>
      <c r="D633" s="14"/>
      <c r="E633" s="14"/>
      <c r="F633" s="14"/>
      <c r="G633" s="14"/>
      <c r="H633" s="14"/>
      <c r="I633" s="14"/>
      <c r="J633" s="19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84"/>
      <c r="D634" s="14"/>
      <c r="E634" s="14"/>
      <c r="F634" s="14"/>
      <c r="G634" s="14"/>
      <c r="H634" s="14"/>
      <c r="I634" s="14"/>
      <c r="J634" s="19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84"/>
      <c r="D635" s="14"/>
      <c r="E635" s="14"/>
      <c r="F635" s="14"/>
      <c r="G635" s="14"/>
      <c r="H635" s="14"/>
      <c r="I635" s="14"/>
      <c r="J635" s="19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84"/>
      <c r="D636" s="14"/>
      <c r="E636" s="14"/>
      <c r="F636" s="14"/>
      <c r="G636" s="14"/>
      <c r="H636" s="14"/>
      <c r="I636" s="14"/>
      <c r="J636" s="19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84"/>
      <c r="D637" s="14"/>
      <c r="E637" s="14"/>
      <c r="F637" s="14"/>
      <c r="G637" s="14"/>
      <c r="H637" s="14"/>
      <c r="I637" s="14"/>
      <c r="J637" s="19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84"/>
      <c r="D638" s="14"/>
      <c r="E638" s="14"/>
      <c r="F638" s="14"/>
      <c r="G638" s="14"/>
      <c r="H638" s="14"/>
      <c r="I638" s="14"/>
      <c r="J638" s="19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84"/>
      <c r="D639" s="14"/>
      <c r="E639" s="14"/>
      <c r="F639" s="14"/>
      <c r="G639" s="14"/>
      <c r="H639" s="14"/>
      <c r="I639" s="14"/>
      <c r="J639" s="19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84"/>
      <c r="D640" s="14"/>
      <c r="E640" s="14"/>
      <c r="F640" s="14"/>
      <c r="G640" s="14"/>
      <c r="H640" s="14"/>
      <c r="I640" s="14"/>
      <c r="J640" s="19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84"/>
      <c r="D641" s="14"/>
      <c r="E641" s="14"/>
      <c r="F641" s="14"/>
      <c r="G641" s="14"/>
      <c r="H641" s="14"/>
      <c r="I641" s="14"/>
      <c r="J641" s="19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84"/>
      <c r="D642" s="14"/>
      <c r="E642" s="14"/>
      <c r="F642" s="14"/>
      <c r="G642" s="14"/>
      <c r="H642" s="14"/>
      <c r="I642" s="14"/>
      <c r="J642" s="19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84"/>
      <c r="D643" s="14"/>
      <c r="E643" s="14"/>
      <c r="F643" s="14"/>
      <c r="G643" s="14"/>
      <c r="H643" s="14"/>
      <c r="I643" s="14"/>
      <c r="J643" s="19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84"/>
      <c r="D644" s="14"/>
      <c r="E644" s="14"/>
      <c r="F644" s="14"/>
      <c r="G644" s="14"/>
      <c r="H644" s="14"/>
      <c r="I644" s="14"/>
      <c r="J644" s="19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84"/>
      <c r="D645" s="14"/>
      <c r="E645" s="14"/>
      <c r="F645" s="14"/>
      <c r="G645" s="14"/>
      <c r="H645" s="14"/>
      <c r="I645" s="14"/>
      <c r="J645" s="19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84"/>
      <c r="D646" s="14"/>
      <c r="E646" s="14"/>
      <c r="F646" s="14"/>
      <c r="G646" s="14"/>
      <c r="H646" s="14"/>
      <c r="I646" s="14"/>
      <c r="J646" s="19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84"/>
      <c r="D647" s="14"/>
      <c r="E647" s="14"/>
      <c r="F647" s="14"/>
      <c r="G647" s="14"/>
      <c r="H647" s="14"/>
      <c r="I647" s="14"/>
      <c r="J647" s="19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84"/>
      <c r="D648" s="14"/>
      <c r="E648" s="14"/>
      <c r="F648" s="14"/>
      <c r="G648" s="14"/>
      <c r="H648" s="14"/>
      <c r="I648" s="14"/>
      <c r="J648" s="19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84"/>
      <c r="D649" s="14"/>
      <c r="E649" s="14"/>
      <c r="F649" s="14"/>
      <c r="G649" s="14"/>
      <c r="H649" s="14"/>
      <c r="I649" s="14"/>
      <c r="J649" s="19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84"/>
      <c r="D650" s="14"/>
      <c r="E650" s="14"/>
      <c r="F650" s="14"/>
      <c r="G650" s="14"/>
      <c r="H650" s="14"/>
      <c r="I650" s="14"/>
      <c r="J650" s="19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84"/>
      <c r="D651" s="14"/>
      <c r="E651" s="14"/>
      <c r="F651" s="14"/>
      <c r="G651" s="14"/>
      <c r="H651" s="14"/>
      <c r="I651" s="14"/>
      <c r="J651" s="19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84"/>
      <c r="D652" s="14"/>
      <c r="E652" s="14"/>
      <c r="F652" s="14"/>
      <c r="G652" s="14"/>
      <c r="H652" s="14"/>
      <c r="I652" s="14"/>
      <c r="J652" s="19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84"/>
      <c r="D653" s="14"/>
      <c r="E653" s="14"/>
      <c r="F653" s="14"/>
      <c r="G653" s="14"/>
      <c r="H653" s="14"/>
      <c r="I653" s="14"/>
      <c r="J653" s="19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84"/>
      <c r="D654" s="14"/>
      <c r="E654" s="14"/>
      <c r="F654" s="14"/>
      <c r="G654" s="14"/>
      <c r="H654" s="14"/>
      <c r="I654" s="14"/>
      <c r="J654" s="19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84"/>
      <c r="D655" s="14"/>
      <c r="E655" s="14"/>
      <c r="F655" s="14"/>
      <c r="G655" s="14"/>
      <c r="H655" s="14"/>
      <c r="I655" s="14"/>
      <c r="J655" s="19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84"/>
      <c r="D656" s="14"/>
      <c r="E656" s="14"/>
      <c r="F656" s="14"/>
      <c r="G656" s="14"/>
      <c r="H656" s="14"/>
      <c r="I656" s="14"/>
      <c r="J656" s="19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84"/>
      <c r="D657" s="14"/>
      <c r="E657" s="14"/>
      <c r="F657" s="14"/>
      <c r="G657" s="14"/>
      <c r="H657" s="14"/>
      <c r="I657" s="14"/>
      <c r="J657" s="19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84"/>
      <c r="D658" s="14"/>
      <c r="E658" s="14"/>
      <c r="F658" s="14"/>
      <c r="G658" s="14"/>
      <c r="H658" s="14"/>
      <c r="I658" s="14"/>
      <c r="J658" s="19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84"/>
      <c r="D659" s="14"/>
      <c r="E659" s="14"/>
      <c r="F659" s="14"/>
      <c r="G659" s="14"/>
      <c r="H659" s="14"/>
      <c r="I659" s="14"/>
      <c r="J659" s="19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84"/>
      <c r="D660" s="14"/>
      <c r="E660" s="14"/>
      <c r="F660" s="14"/>
      <c r="G660" s="14"/>
      <c r="H660" s="14"/>
      <c r="I660" s="14"/>
      <c r="J660" s="19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84"/>
      <c r="D661" s="14"/>
      <c r="E661" s="14"/>
      <c r="F661" s="14"/>
      <c r="G661" s="14"/>
      <c r="H661" s="14"/>
      <c r="I661" s="14"/>
      <c r="J661" s="19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84"/>
      <c r="D662" s="14"/>
      <c r="E662" s="14"/>
      <c r="F662" s="14"/>
      <c r="G662" s="14"/>
      <c r="H662" s="14"/>
      <c r="I662" s="14"/>
      <c r="J662" s="19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84"/>
      <c r="D663" s="14"/>
      <c r="E663" s="14"/>
      <c r="F663" s="14"/>
      <c r="G663" s="14"/>
      <c r="H663" s="14"/>
      <c r="I663" s="14"/>
      <c r="J663" s="19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84"/>
      <c r="D664" s="14"/>
      <c r="E664" s="14"/>
      <c r="F664" s="14"/>
      <c r="G664" s="14"/>
      <c r="H664" s="14"/>
      <c r="I664" s="14"/>
      <c r="J664" s="19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84"/>
      <c r="D665" s="14"/>
      <c r="E665" s="14"/>
      <c r="F665" s="14"/>
      <c r="G665" s="14"/>
      <c r="H665" s="14"/>
      <c r="I665" s="14"/>
      <c r="J665" s="19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84"/>
      <c r="D666" s="14"/>
      <c r="E666" s="14"/>
      <c r="F666" s="14"/>
      <c r="G666" s="14"/>
      <c r="H666" s="14"/>
      <c r="I666" s="14"/>
      <c r="J666" s="19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84"/>
      <c r="D667" s="14"/>
      <c r="E667" s="14"/>
      <c r="F667" s="14"/>
      <c r="G667" s="14"/>
      <c r="H667" s="14"/>
      <c r="I667" s="14"/>
      <c r="J667" s="19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84"/>
      <c r="D668" s="14"/>
      <c r="E668" s="14"/>
      <c r="F668" s="14"/>
      <c r="G668" s="14"/>
      <c r="H668" s="14"/>
      <c r="I668" s="14"/>
      <c r="J668" s="19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84"/>
      <c r="D669" s="14"/>
      <c r="E669" s="14"/>
      <c r="F669" s="14"/>
      <c r="G669" s="14"/>
      <c r="H669" s="14"/>
      <c r="I669" s="14"/>
      <c r="J669" s="19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84"/>
      <c r="D670" s="14"/>
      <c r="E670" s="14"/>
      <c r="F670" s="14"/>
      <c r="G670" s="14"/>
      <c r="H670" s="14"/>
      <c r="I670" s="14"/>
      <c r="J670" s="19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84"/>
      <c r="D671" s="14"/>
      <c r="E671" s="14"/>
      <c r="F671" s="14"/>
      <c r="G671" s="14"/>
      <c r="H671" s="14"/>
      <c r="I671" s="14"/>
      <c r="J671" s="19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84"/>
      <c r="D672" s="14"/>
      <c r="E672" s="14"/>
      <c r="F672" s="14"/>
      <c r="G672" s="14"/>
      <c r="H672" s="14"/>
      <c r="I672" s="14"/>
      <c r="J672" s="19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84"/>
      <c r="D673" s="14"/>
      <c r="E673" s="14"/>
      <c r="F673" s="14"/>
      <c r="G673" s="14"/>
      <c r="H673" s="14"/>
      <c r="I673" s="14"/>
      <c r="J673" s="19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84"/>
      <c r="D674" s="14"/>
      <c r="E674" s="14"/>
      <c r="F674" s="14"/>
      <c r="G674" s="14"/>
      <c r="H674" s="14"/>
      <c r="I674" s="14"/>
      <c r="J674" s="19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84"/>
      <c r="D675" s="14"/>
      <c r="E675" s="14"/>
      <c r="F675" s="14"/>
      <c r="G675" s="14"/>
      <c r="H675" s="14"/>
      <c r="I675" s="14"/>
      <c r="J675" s="19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84"/>
      <c r="D676" s="14"/>
      <c r="E676" s="14"/>
      <c r="F676" s="14"/>
      <c r="G676" s="14"/>
      <c r="H676" s="14"/>
      <c r="I676" s="14"/>
      <c r="J676" s="19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84"/>
      <c r="D677" s="14"/>
      <c r="E677" s="14"/>
      <c r="F677" s="14"/>
      <c r="G677" s="14"/>
      <c r="H677" s="14"/>
      <c r="I677" s="14"/>
      <c r="J677" s="19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84"/>
      <c r="D678" s="14"/>
      <c r="E678" s="14"/>
      <c r="F678" s="14"/>
      <c r="G678" s="14"/>
      <c r="H678" s="14"/>
      <c r="I678" s="14"/>
      <c r="J678" s="19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84"/>
      <c r="D679" s="14"/>
      <c r="E679" s="14"/>
      <c r="F679" s="14"/>
      <c r="G679" s="14"/>
      <c r="H679" s="14"/>
      <c r="I679" s="14"/>
      <c r="J679" s="19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84"/>
      <c r="D680" s="14"/>
      <c r="E680" s="14"/>
      <c r="F680" s="14"/>
      <c r="G680" s="14"/>
      <c r="H680" s="14"/>
      <c r="I680" s="14"/>
      <c r="J680" s="19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84"/>
      <c r="D681" s="14"/>
      <c r="E681" s="14"/>
      <c r="F681" s="14"/>
      <c r="G681" s="14"/>
      <c r="H681" s="14"/>
      <c r="I681" s="14"/>
      <c r="J681" s="19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84"/>
      <c r="D682" s="14"/>
      <c r="E682" s="14"/>
      <c r="F682" s="14"/>
      <c r="G682" s="14"/>
      <c r="H682" s="14"/>
      <c r="I682" s="14"/>
      <c r="J682" s="19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84"/>
      <c r="D683" s="14"/>
      <c r="E683" s="14"/>
      <c r="F683" s="14"/>
      <c r="G683" s="14"/>
      <c r="H683" s="14"/>
      <c r="I683" s="14"/>
      <c r="J683" s="19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84"/>
      <c r="D684" s="14"/>
      <c r="E684" s="14"/>
      <c r="F684" s="14"/>
      <c r="G684" s="14"/>
      <c r="H684" s="14"/>
      <c r="I684" s="14"/>
      <c r="J684" s="19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84"/>
      <c r="D685" s="14"/>
      <c r="E685" s="14"/>
      <c r="F685" s="14"/>
      <c r="G685" s="14"/>
      <c r="H685" s="14"/>
      <c r="I685" s="14"/>
      <c r="J685" s="19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84"/>
      <c r="D686" s="14"/>
      <c r="E686" s="14"/>
      <c r="F686" s="14"/>
      <c r="G686" s="14"/>
      <c r="H686" s="14"/>
      <c r="I686" s="14"/>
      <c r="J686" s="19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84"/>
      <c r="D687" s="14"/>
      <c r="E687" s="14"/>
      <c r="F687" s="14"/>
      <c r="G687" s="14"/>
      <c r="H687" s="14"/>
      <c r="I687" s="14"/>
      <c r="J687" s="19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84"/>
      <c r="D688" s="14"/>
      <c r="E688" s="14"/>
      <c r="F688" s="14"/>
      <c r="G688" s="14"/>
      <c r="H688" s="14"/>
      <c r="I688" s="14"/>
      <c r="J688" s="19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84"/>
      <c r="D689" s="14"/>
      <c r="E689" s="14"/>
      <c r="F689" s="14"/>
      <c r="G689" s="14"/>
      <c r="H689" s="14"/>
      <c r="I689" s="14"/>
      <c r="J689" s="19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84"/>
      <c r="D690" s="14"/>
      <c r="E690" s="14"/>
      <c r="F690" s="14"/>
      <c r="G690" s="14"/>
      <c r="H690" s="14"/>
      <c r="I690" s="14"/>
      <c r="J690" s="19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84"/>
      <c r="D691" s="14"/>
      <c r="E691" s="14"/>
      <c r="F691" s="14"/>
      <c r="G691" s="14"/>
      <c r="H691" s="14"/>
      <c r="I691" s="14"/>
      <c r="J691" s="19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84"/>
      <c r="D692" s="14"/>
      <c r="E692" s="14"/>
      <c r="F692" s="14"/>
      <c r="G692" s="14"/>
      <c r="H692" s="14"/>
      <c r="I692" s="14"/>
      <c r="J692" s="19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84"/>
      <c r="D693" s="14"/>
      <c r="E693" s="14"/>
      <c r="F693" s="14"/>
      <c r="G693" s="14"/>
      <c r="H693" s="14"/>
      <c r="I693" s="14"/>
      <c r="J693" s="19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84"/>
      <c r="D694" s="14"/>
      <c r="E694" s="14"/>
      <c r="F694" s="14"/>
      <c r="G694" s="14"/>
      <c r="H694" s="14"/>
      <c r="I694" s="14"/>
      <c r="J694" s="19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84"/>
      <c r="D695" s="14"/>
      <c r="E695" s="14"/>
      <c r="F695" s="14"/>
      <c r="G695" s="14"/>
      <c r="H695" s="14"/>
      <c r="I695" s="14"/>
      <c r="J695" s="19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84"/>
      <c r="D696" s="14"/>
      <c r="E696" s="14"/>
      <c r="F696" s="14"/>
      <c r="G696" s="14"/>
      <c r="H696" s="14"/>
      <c r="I696" s="14"/>
      <c r="J696" s="19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84"/>
      <c r="D697" s="14"/>
      <c r="E697" s="14"/>
      <c r="F697" s="14"/>
      <c r="G697" s="14"/>
      <c r="H697" s="14"/>
      <c r="I697" s="14"/>
      <c r="J697" s="19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84"/>
      <c r="D698" s="14"/>
      <c r="E698" s="14"/>
      <c r="F698" s="14"/>
      <c r="G698" s="14"/>
      <c r="H698" s="14"/>
      <c r="I698" s="14"/>
      <c r="J698" s="19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84"/>
      <c r="D699" s="14"/>
      <c r="E699" s="14"/>
      <c r="F699" s="14"/>
      <c r="G699" s="14"/>
      <c r="H699" s="14"/>
      <c r="I699" s="14"/>
      <c r="J699" s="19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84"/>
      <c r="D700" s="14"/>
      <c r="E700" s="14"/>
      <c r="F700" s="14"/>
      <c r="G700" s="14"/>
      <c r="H700" s="14"/>
      <c r="I700" s="14"/>
      <c r="J700" s="19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84"/>
      <c r="D701" s="14"/>
      <c r="E701" s="14"/>
      <c r="F701" s="14"/>
      <c r="G701" s="14"/>
      <c r="H701" s="14"/>
      <c r="I701" s="14"/>
      <c r="J701" s="19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84"/>
      <c r="D702" s="14"/>
      <c r="E702" s="14"/>
      <c r="F702" s="14"/>
      <c r="G702" s="14"/>
      <c r="H702" s="14"/>
      <c r="I702" s="14"/>
      <c r="J702" s="19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84"/>
      <c r="D703" s="14"/>
      <c r="E703" s="14"/>
      <c r="F703" s="14"/>
      <c r="G703" s="14"/>
      <c r="H703" s="14"/>
      <c r="I703" s="14"/>
      <c r="J703" s="19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84"/>
      <c r="D704" s="14"/>
      <c r="E704" s="14"/>
      <c r="F704" s="14"/>
      <c r="G704" s="14"/>
      <c r="H704" s="14"/>
      <c r="I704" s="14"/>
      <c r="J704" s="19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84"/>
      <c r="D705" s="14"/>
      <c r="E705" s="14"/>
      <c r="F705" s="14"/>
      <c r="G705" s="14"/>
      <c r="H705" s="14"/>
      <c r="I705" s="14"/>
      <c r="J705" s="19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84"/>
      <c r="D706" s="14"/>
      <c r="E706" s="14"/>
      <c r="F706" s="14"/>
      <c r="G706" s="14"/>
      <c r="H706" s="14"/>
      <c r="I706" s="14"/>
      <c r="J706" s="19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84"/>
      <c r="D707" s="14"/>
      <c r="E707" s="14"/>
      <c r="F707" s="14"/>
      <c r="G707" s="14"/>
      <c r="H707" s="14"/>
      <c r="I707" s="14"/>
      <c r="J707" s="19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84"/>
      <c r="D708" s="14"/>
      <c r="E708" s="14"/>
      <c r="F708" s="14"/>
      <c r="G708" s="14"/>
      <c r="H708" s="14"/>
      <c r="I708" s="14"/>
      <c r="J708" s="19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84"/>
      <c r="D709" s="14"/>
      <c r="E709" s="14"/>
      <c r="F709" s="14"/>
      <c r="G709" s="14"/>
      <c r="H709" s="14"/>
      <c r="I709" s="14"/>
      <c r="J709" s="19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84"/>
      <c r="D710" s="14"/>
      <c r="E710" s="14"/>
      <c r="F710" s="14"/>
      <c r="G710" s="14"/>
      <c r="H710" s="14"/>
      <c r="I710" s="14"/>
      <c r="J710" s="19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84"/>
      <c r="D711" s="14"/>
      <c r="E711" s="14"/>
      <c r="F711" s="14"/>
      <c r="G711" s="14"/>
      <c r="H711" s="14"/>
      <c r="I711" s="14"/>
      <c r="J711" s="19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84"/>
      <c r="D712" s="14"/>
      <c r="E712" s="14"/>
      <c r="F712" s="14"/>
      <c r="G712" s="14"/>
      <c r="H712" s="14"/>
      <c r="I712" s="14"/>
      <c r="J712" s="19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84"/>
      <c r="D713" s="14"/>
      <c r="E713" s="14"/>
      <c r="F713" s="14"/>
      <c r="G713" s="14"/>
      <c r="H713" s="14"/>
      <c r="I713" s="14"/>
      <c r="J713" s="19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84"/>
      <c r="D714" s="14"/>
      <c r="E714" s="14"/>
      <c r="F714" s="14"/>
      <c r="G714" s="14"/>
      <c r="H714" s="14"/>
      <c r="I714" s="14"/>
      <c r="J714" s="19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84"/>
      <c r="D715" s="14"/>
      <c r="E715" s="14"/>
      <c r="F715" s="14"/>
      <c r="G715" s="14"/>
      <c r="H715" s="14"/>
      <c r="I715" s="14"/>
      <c r="J715" s="19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84"/>
      <c r="D716" s="14"/>
      <c r="E716" s="14"/>
      <c r="F716" s="14"/>
      <c r="G716" s="14"/>
      <c r="H716" s="14"/>
      <c r="I716" s="14"/>
      <c r="J716" s="19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84"/>
      <c r="D717" s="14"/>
      <c r="E717" s="14"/>
      <c r="F717" s="14"/>
      <c r="G717" s="14"/>
      <c r="H717" s="14"/>
      <c r="I717" s="14"/>
      <c r="J717" s="19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84"/>
      <c r="D718" s="14"/>
      <c r="E718" s="14"/>
      <c r="F718" s="14"/>
      <c r="G718" s="14"/>
      <c r="H718" s="14"/>
      <c r="I718" s="14"/>
      <c r="J718" s="19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84"/>
      <c r="D719" s="14"/>
      <c r="E719" s="14"/>
      <c r="F719" s="14"/>
      <c r="G719" s="14"/>
      <c r="H719" s="14"/>
      <c r="I719" s="14"/>
      <c r="J719" s="19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84"/>
      <c r="D720" s="14"/>
      <c r="E720" s="14"/>
      <c r="F720" s="14"/>
      <c r="G720" s="14"/>
      <c r="H720" s="14"/>
      <c r="I720" s="14"/>
      <c r="J720" s="19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84"/>
      <c r="D721" s="14"/>
      <c r="E721" s="14"/>
      <c r="F721" s="14"/>
      <c r="G721" s="14"/>
      <c r="H721" s="14"/>
      <c r="I721" s="14"/>
      <c r="J721" s="19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84"/>
      <c r="D722" s="14"/>
      <c r="E722" s="14"/>
      <c r="F722" s="14"/>
      <c r="G722" s="14"/>
      <c r="H722" s="14"/>
      <c r="I722" s="14"/>
      <c r="J722" s="19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84"/>
      <c r="D723" s="14"/>
      <c r="E723" s="14"/>
      <c r="F723" s="14"/>
      <c r="G723" s="14"/>
      <c r="H723" s="14"/>
      <c r="I723" s="14"/>
      <c r="J723" s="19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84"/>
      <c r="D724" s="14"/>
      <c r="E724" s="14"/>
      <c r="F724" s="14"/>
      <c r="G724" s="14"/>
      <c r="H724" s="14"/>
      <c r="I724" s="14"/>
      <c r="J724" s="19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84"/>
      <c r="D725" s="14"/>
      <c r="E725" s="14"/>
      <c r="F725" s="14"/>
      <c r="G725" s="14"/>
      <c r="H725" s="14"/>
      <c r="I725" s="14"/>
      <c r="J725" s="19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84"/>
      <c r="D726" s="14"/>
      <c r="E726" s="14"/>
      <c r="F726" s="14"/>
      <c r="G726" s="14"/>
      <c r="H726" s="14"/>
      <c r="I726" s="14"/>
      <c r="J726" s="19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84"/>
      <c r="D727" s="14"/>
      <c r="E727" s="14"/>
      <c r="F727" s="14"/>
      <c r="G727" s="14"/>
      <c r="H727" s="14"/>
      <c r="I727" s="14"/>
      <c r="J727" s="19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84"/>
      <c r="D728" s="14"/>
      <c r="E728" s="14"/>
      <c r="F728" s="14"/>
      <c r="G728" s="14"/>
      <c r="H728" s="14"/>
      <c r="I728" s="14"/>
      <c r="J728" s="19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84"/>
      <c r="D729" s="14"/>
      <c r="E729" s="14"/>
      <c r="F729" s="14"/>
      <c r="G729" s="14"/>
      <c r="H729" s="14"/>
      <c r="I729" s="14"/>
      <c r="J729" s="19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84"/>
      <c r="D730" s="14"/>
      <c r="E730" s="14"/>
      <c r="F730" s="14"/>
      <c r="G730" s="14"/>
      <c r="H730" s="14"/>
      <c r="I730" s="14"/>
      <c r="J730" s="19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84"/>
      <c r="D731" s="14"/>
      <c r="E731" s="14"/>
      <c r="F731" s="14"/>
      <c r="G731" s="14"/>
      <c r="H731" s="14"/>
      <c r="I731" s="14"/>
      <c r="J731" s="19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84"/>
      <c r="D732" s="14"/>
      <c r="E732" s="14"/>
      <c r="F732" s="14"/>
      <c r="G732" s="14"/>
      <c r="H732" s="14"/>
      <c r="I732" s="14"/>
      <c r="J732" s="19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84"/>
      <c r="D733" s="14"/>
      <c r="E733" s="14"/>
      <c r="F733" s="14"/>
      <c r="G733" s="14"/>
      <c r="H733" s="14"/>
      <c r="I733" s="14"/>
      <c r="J733" s="19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84"/>
      <c r="D734" s="14"/>
      <c r="E734" s="14"/>
      <c r="F734" s="14"/>
      <c r="G734" s="14"/>
      <c r="H734" s="14"/>
      <c r="I734" s="14"/>
      <c r="J734" s="19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84"/>
      <c r="D735" s="14"/>
      <c r="E735" s="14"/>
      <c r="F735" s="14"/>
      <c r="G735" s="14"/>
      <c r="H735" s="14"/>
      <c r="I735" s="14"/>
      <c r="J735" s="19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84"/>
      <c r="D736" s="14"/>
      <c r="E736" s="14"/>
      <c r="F736" s="14"/>
      <c r="G736" s="14"/>
      <c r="H736" s="14"/>
      <c r="I736" s="14"/>
      <c r="J736" s="19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84"/>
      <c r="D737" s="14"/>
      <c r="E737" s="14"/>
      <c r="F737" s="14"/>
      <c r="G737" s="14"/>
      <c r="H737" s="14"/>
      <c r="I737" s="14"/>
      <c r="J737" s="19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84"/>
      <c r="D738" s="14"/>
      <c r="E738" s="14"/>
      <c r="F738" s="14"/>
      <c r="G738" s="14"/>
      <c r="H738" s="14"/>
      <c r="I738" s="14"/>
      <c r="J738" s="19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84"/>
      <c r="D739" s="14"/>
      <c r="E739" s="14"/>
      <c r="F739" s="14"/>
      <c r="G739" s="14"/>
      <c r="H739" s="14"/>
      <c r="I739" s="14"/>
      <c r="J739" s="19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84"/>
      <c r="D740" s="14"/>
      <c r="E740" s="14"/>
      <c r="F740" s="14"/>
      <c r="G740" s="14"/>
      <c r="H740" s="14"/>
      <c r="I740" s="14"/>
      <c r="J740" s="19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84"/>
      <c r="D741" s="14"/>
      <c r="E741" s="14"/>
      <c r="F741" s="14"/>
      <c r="G741" s="14"/>
      <c r="H741" s="14"/>
      <c r="I741" s="14"/>
      <c r="J741" s="19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84"/>
      <c r="D742" s="14"/>
      <c r="E742" s="14"/>
      <c r="F742" s="14"/>
      <c r="G742" s="14"/>
      <c r="H742" s="14"/>
      <c r="I742" s="14"/>
      <c r="J742" s="19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84"/>
      <c r="D743" s="14"/>
      <c r="E743" s="14"/>
      <c r="F743" s="14"/>
      <c r="G743" s="14"/>
      <c r="H743" s="14"/>
      <c r="I743" s="14"/>
      <c r="J743" s="19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84"/>
      <c r="D744" s="14"/>
      <c r="E744" s="14"/>
      <c r="F744" s="14"/>
      <c r="G744" s="14"/>
      <c r="H744" s="14"/>
      <c r="I744" s="14"/>
      <c r="J744" s="19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84"/>
      <c r="D745" s="14"/>
      <c r="E745" s="14"/>
      <c r="F745" s="14"/>
      <c r="G745" s="14"/>
      <c r="H745" s="14"/>
      <c r="I745" s="14"/>
      <c r="J745" s="19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84"/>
      <c r="D746" s="14"/>
      <c r="E746" s="14"/>
      <c r="F746" s="14"/>
      <c r="G746" s="14"/>
      <c r="H746" s="14"/>
      <c r="I746" s="14"/>
      <c r="J746" s="19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84"/>
      <c r="D747" s="14"/>
      <c r="E747" s="14"/>
      <c r="F747" s="14"/>
      <c r="G747" s="14"/>
      <c r="H747" s="14"/>
      <c r="I747" s="14"/>
      <c r="J747" s="19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84"/>
      <c r="D748" s="14"/>
      <c r="E748" s="14"/>
      <c r="F748" s="14"/>
      <c r="G748" s="14"/>
      <c r="H748" s="14"/>
      <c r="I748" s="14"/>
      <c r="J748" s="19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84"/>
      <c r="D749" s="14"/>
      <c r="E749" s="14"/>
      <c r="F749" s="14"/>
      <c r="G749" s="14"/>
      <c r="H749" s="14"/>
      <c r="I749" s="14"/>
      <c r="J749" s="19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84"/>
      <c r="D750" s="14"/>
      <c r="E750" s="14"/>
      <c r="F750" s="14"/>
      <c r="G750" s="14"/>
      <c r="H750" s="14"/>
      <c r="I750" s="14"/>
      <c r="J750" s="19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84"/>
      <c r="D751" s="14"/>
      <c r="E751" s="14"/>
      <c r="F751" s="14"/>
      <c r="G751" s="14"/>
      <c r="H751" s="14"/>
      <c r="I751" s="14"/>
      <c r="J751" s="19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84"/>
      <c r="D752" s="14"/>
      <c r="E752" s="14"/>
      <c r="F752" s="14"/>
      <c r="G752" s="14"/>
      <c r="H752" s="14"/>
      <c r="I752" s="14"/>
      <c r="J752" s="19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84"/>
      <c r="D753" s="14"/>
      <c r="E753" s="14"/>
      <c r="F753" s="14"/>
      <c r="G753" s="14"/>
      <c r="H753" s="14"/>
      <c r="I753" s="14"/>
      <c r="J753" s="19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84"/>
      <c r="D754" s="14"/>
      <c r="E754" s="14"/>
      <c r="F754" s="14"/>
      <c r="G754" s="14"/>
      <c r="H754" s="14"/>
      <c r="I754" s="14"/>
      <c r="J754" s="19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84"/>
      <c r="D755" s="14"/>
      <c r="E755" s="14"/>
      <c r="F755" s="14"/>
      <c r="G755" s="14"/>
      <c r="H755" s="14"/>
      <c r="I755" s="14"/>
      <c r="J755" s="19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84"/>
      <c r="D756" s="14"/>
      <c r="E756" s="14"/>
      <c r="F756" s="14"/>
      <c r="G756" s="14"/>
      <c r="H756" s="14"/>
      <c r="I756" s="14"/>
      <c r="J756" s="19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84"/>
      <c r="D757" s="14"/>
      <c r="E757" s="14"/>
      <c r="F757" s="14"/>
      <c r="G757" s="14"/>
      <c r="H757" s="14"/>
      <c r="I757" s="14"/>
      <c r="J757" s="19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84"/>
      <c r="D758" s="14"/>
      <c r="E758" s="14"/>
      <c r="F758" s="14"/>
      <c r="G758" s="14"/>
      <c r="H758" s="14"/>
      <c r="I758" s="14"/>
      <c r="J758" s="19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84"/>
      <c r="D759" s="14"/>
      <c r="E759" s="14"/>
      <c r="F759" s="14"/>
      <c r="G759" s="14"/>
      <c r="H759" s="14"/>
      <c r="I759" s="14"/>
      <c r="J759" s="19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84"/>
      <c r="D760" s="14"/>
      <c r="E760" s="14"/>
      <c r="F760" s="14"/>
      <c r="G760" s="14"/>
      <c r="H760" s="14"/>
      <c r="I760" s="14"/>
      <c r="J760" s="19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84"/>
      <c r="D761" s="14"/>
      <c r="E761" s="14"/>
      <c r="F761" s="14"/>
      <c r="G761" s="14"/>
      <c r="H761" s="14"/>
      <c r="I761" s="14"/>
      <c r="J761" s="19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84"/>
      <c r="D762" s="14"/>
      <c r="E762" s="14"/>
      <c r="F762" s="14"/>
      <c r="G762" s="14"/>
      <c r="H762" s="14"/>
      <c r="I762" s="14"/>
      <c r="J762" s="19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84"/>
      <c r="D763" s="14"/>
      <c r="E763" s="14"/>
      <c r="F763" s="14"/>
      <c r="G763" s="14"/>
      <c r="H763" s="14"/>
      <c r="I763" s="14"/>
      <c r="J763" s="19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84"/>
      <c r="D764" s="14"/>
      <c r="E764" s="14"/>
      <c r="F764" s="14"/>
      <c r="G764" s="14"/>
      <c r="H764" s="14"/>
      <c r="I764" s="14"/>
      <c r="J764" s="19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84"/>
      <c r="D765" s="14"/>
      <c r="E765" s="14"/>
      <c r="F765" s="14"/>
      <c r="G765" s="14"/>
      <c r="H765" s="14"/>
      <c r="I765" s="14"/>
      <c r="J765" s="19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84"/>
      <c r="D766" s="14"/>
      <c r="E766" s="14"/>
      <c r="F766" s="14"/>
      <c r="G766" s="14"/>
      <c r="H766" s="14"/>
      <c r="I766" s="14"/>
      <c r="J766" s="19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84"/>
      <c r="D767" s="14"/>
      <c r="E767" s="14"/>
      <c r="F767" s="14"/>
      <c r="G767" s="14"/>
      <c r="H767" s="14"/>
      <c r="I767" s="14"/>
      <c r="J767" s="19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84"/>
      <c r="D768" s="14"/>
      <c r="E768" s="14"/>
      <c r="F768" s="14"/>
      <c r="G768" s="14"/>
      <c r="H768" s="14"/>
      <c r="I768" s="14"/>
      <c r="J768" s="19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84"/>
      <c r="D769" s="14"/>
      <c r="E769" s="14"/>
      <c r="F769" s="14"/>
      <c r="G769" s="14"/>
      <c r="H769" s="14"/>
      <c r="I769" s="14"/>
      <c r="J769" s="19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84"/>
      <c r="D770" s="14"/>
      <c r="E770" s="14"/>
      <c r="F770" s="14"/>
      <c r="G770" s="14"/>
      <c r="H770" s="14"/>
      <c r="I770" s="14"/>
      <c r="J770" s="19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84"/>
      <c r="D771" s="14"/>
      <c r="E771" s="14"/>
      <c r="F771" s="14"/>
      <c r="G771" s="14"/>
      <c r="H771" s="14"/>
      <c r="I771" s="14"/>
      <c r="J771" s="19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84"/>
      <c r="D772" s="14"/>
      <c r="E772" s="14"/>
      <c r="F772" s="14"/>
      <c r="G772" s="14"/>
      <c r="H772" s="14"/>
      <c r="I772" s="14"/>
      <c r="J772" s="19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84"/>
      <c r="D773" s="14"/>
      <c r="E773" s="14"/>
      <c r="F773" s="14"/>
      <c r="G773" s="14"/>
      <c r="H773" s="14"/>
      <c r="I773" s="14"/>
      <c r="J773" s="19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84"/>
      <c r="D774" s="14"/>
      <c r="E774" s="14"/>
      <c r="F774" s="14"/>
      <c r="G774" s="14"/>
      <c r="H774" s="14"/>
      <c r="I774" s="14"/>
      <c r="J774" s="19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84"/>
      <c r="D775" s="14"/>
      <c r="E775" s="14"/>
      <c r="F775" s="14"/>
      <c r="G775" s="14"/>
      <c r="H775" s="14"/>
      <c r="I775" s="14"/>
      <c r="J775" s="19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84"/>
      <c r="D776" s="14"/>
      <c r="E776" s="14"/>
      <c r="F776" s="14"/>
      <c r="G776" s="14"/>
      <c r="H776" s="14"/>
      <c r="I776" s="14"/>
      <c r="J776" s="19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84"/>
      <c r="D777" s="14"/>
      <c r="E777" s="14"/>
      <c r="F777" s="14"/>
      <c r="G777" s="14"/>
      <c r="H777" s="14"/>
      <c r="I777" s="14"/>
      <c r="J777" s="19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84"/>
      <c r="D778" s="14"/>
      <c r="E778" s="14"/>
      <c r="F778" s="14"/>
      <c r="G778" s="14"/>
      <c r="H778" s="14"/>
      <c r="I778" s="14"/>
      <c r="J778" s="19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84"/>
      <c r="D779" s="14"/>
      <c r="E779" s="14"/>
      <c r="F779" s="14"/>
      <c r="G779" s="14"/>
      <c r="H779" s="14"/>
      <c r="I779" s="14"/>
      <c r="J779" s="19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84"/>
      <c r="D780" s="14"/>
      <c r="E780" s="14"/>
      <c r="F780" s="14"/>
      <c r="G780" s="14"/>
      <c r="H780" s="14"/>
      <c r="I780" s="14"/>
      <c r="J780" s="19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84"/>
      <c r="D781" s="14"/>
      <c r="E781" s="14"/>
      <c r="F781" s="14"/>
      <c r="G781" s="14"/>
      <c r="H781" s="14"/>
      <c r="I781" s="14"/>
      <c r="J781" s="19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84"/>
      <c r="D782" s="14"/>
      <c r="E782" s="14"/>
      <c r="F782" s="14"/>
      <c r="G782" s="14"/>
      <c r="H782" s="14"/>
      <c r="I782" s="14"/>
      <c r="J782" s="19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84"/>
      <c r="D783" s="14"/>
      <c r="E783" s="14"/>
      <c r="F783" s="14"/>
      <c r="G783" s="14"/>
      <c r="H783" s="14"/>
      <c r="I783" s="14"/>
      <c r="J783" s="19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84"/>
      <c r="D784" s="14"/>
      <c r="E784" s="14"/>
      <c r="F784" s="14"/>
      <c r="G784" s="14"/>
      <c r="H784" s="14"/>
      <c r="I784" s="14"/>
      <c r="J784" s="19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84"/>
      <c r="D785" s="14"/>
      <c r="E785" s="14"/>
      <c r="F785" s="14"/>
      <c r="G785" s="14"/>
      <c r="H785" s="14"/>
      <c r="I785" s="14"/>
      <c r="J785" s="19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84"/>
      <c r="D786" s="14"/>
      <c r="E786" s="14"/>
      <c r="F786" s="14"/>
      <c r="G786" s="14"/>
      <c r="H786" s="14"/>
      <c r="I786" s="14"/>
      <c r="J786" s="19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84"/>
      <c r="D787" s="14"/>
      <c r="E787" s="14"/>
      <c r="F787" s="14"/>
      <c r="G787" s="14"/>
      <c r="H787" s="14"/>
      <c r="I787" s="14"/>
      <c r="J787" s="19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84"/>
      <c r="D788" s="14"/>
      <c r="E788" s="14"/>
      <c r="F788" s="14"/>
      <c r="G788" s="14"/>
      <c r="H788" s="14"/>
      <c r="I788" s="14"/>
      <c r="J788" s="19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84"/>
      <c r="D789" s="14"/>
      <c r="E789" s="14"/>
      <c r="F789" s="14"/>
      <c r="G789" s="14"/>
      <c r="H789" s="14"/>
      <c r="I789" s="14"/>
      <c r="J789" s="19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84"/>
      <c r="D790" s="14"/>
      <c r="E790" s="14"/>
      <c r="F790" s="14"/>
      <c r="G790" s="14"/>
      <c r="H790" s="14"/>
      <c r="I790" s="14"/>
      <c r="J790" s="19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84"/>
      <c r="D791" s="14"/>
      <c r="E791" s="14"/>
      <c r="F791" s="14"/>
      <c r="G791" s="14"/>
      <c r="H791" s="14"/>
      <c r="I791" s="14"/>
      <c r="J791" s="19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84"/>
      <c r="D792" s="14"/>
      <c r="E792" s="14"/>
      <c r="F792" s="14"/>
      <c r="G792" s="14"/>
      <c r="H792" s="14"/>
      <c r="I792" s="14"/>
      <c r="J792" s="19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84"/>
      <c r="D793" s="14"/>
      <c r="E793" s="14"/>
      <c r="F793" s="14"/>
      <c r="G793" s="14"/>
      <c r="H793" s="14"/>
      <c r="I793" s="14"/>
      <c r="J793" s="19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84"/>
      <c r="D794" s="14"/>
      <c r="E794" s="14"/>
      <c r="F794" s="14"/>
      <c r="G794" s="14"/>
      <c r="H794" s="14"/>
      <c r="I794" s="14"/>
      <c r="J794" s="19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84"/>
      <c r="D795" s="14"/>
      <c r="E795" s="14"/>
      <c r="F795" s="14"/>
      <c r="G795" s="14"/>
      <c r="H795" s="14"/>
      <c r="I795" s="14"/>
      <c r="J795" s="19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84"/>
      <c r="D796" s="14"/>
      <c r="E796" s="14"/>
      <c r="F796" s="14"/>
      <c r="G796" s="14"/>
      <c r="H796" s="14"/>
      <c r="I796" s="14"/>
      <c r="J796" s="19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84"/>
      <c r="D797" s="14"/>
      <c r="E797" s="14"/>
      <c r="F797" s="14"/>
      <c r="G797" s="14"/>
      <c r="H797" s="14"/>
      <c r="I797" s="14"/>
      <c r="J797" s="19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84"/>
      <c r="D798" s="14"/>
      <c r="E798" s="14"/>
      <c r="F798" s="14"/>
      <c r="G798" s="14"/>
      <c r="H798" s="14"/>
      <c r="I798" s="14"/>
      <c r="J798" s="19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84"/>
      <c r="D799" s="14"/>
      <c r="E799" s="14"/>
      <c r="F799" s="14"/>
      <c r="G799" s="14"/>
      <c r="H799" s="14"/>
      <c r="I799" s="14"/>
      <c r="J799" s="19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84"/>
      <c r="D800" s="14"/>
      <c r="E800" s="14"/>
      <c r="F800" s="14"/>
      <c r="G800" s="14"/>
      <c r="H800" s="14"/>
      <c r="I800" s="14"/>
      <c r="J800" s="19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84"/>
      <c r="D801" s="14"/>
      <c r="E801" s="14"/>
      <c r="F801" s="14"/>
      <c r="G801" s="14"/>
      <c r="H801" s="14"/>
      <c r="I801" s="14"/>
      <c r="J801" s="19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84"/>
      <c r="D802" s="14"/>
      <c r="E802" s="14"/>
      <c r="F802" s="14"/>
      <c r="G802" s="14"/>
      <c r="H802" s="14"/>
      <c r="I802" s="14"/>
      <c r="J802" s="19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84"/>
      <c r="D803" s="14"/>
      <c r="E803" s="14"/>
      <c r="F803" s="14"/>
      <c r="G803" s="14"/>
      <c r="H803" s="14"/>
      <c r="I803" s="14"/>
      <c r="J803" s="19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84"/>
      <c r="D804" s="14"/>
      <c r="E804" s="14"/>
      <c r="F804" s="14"/>
      <c r="G804" s="14"/>
      <c r="H804" s="14"/>
      <c r="I804" s="14"/>
      <c r="J804" s="19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84"/>
      <c r="D805" s="14"/>
      <c r="E805" s="14"/>
      <c r="F805" s="14"/>
      <c r="G805" s="14"/>
      <c r="H805" s="14"/>
      <c r="I805" s="14"/>
      <c r="J805" s="19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84"/>
      <c r="D806" s="14"/>
      <c r="E806" s="14"/>
      <c r="F806" s="14"/>
      <c r="G806" s="14"/>
      <c r="H806" s="14"/>
      <c r="I806" s="14"/>
      <c r="J806" s="19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84"/>
      <c r="D807" s="14"/>
      <c r="E807" s="14"/>
      <c r="F807" s="14"/>
      <c r="G807" s="14"/>
      <c r="H807" s="14"/>
      <c r="I807" s="14"/>
      <c r="J807" s="19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84"/>
      <c r="D808" s="14"/>
      <c r="E808" s="14"/>
      <c r="F808" s="14"/>
      <c r="G808" s="14"/>
      <c r="H808" s="14"/>
      <c r="I808" s="14"/>
      <c r="J808" s="19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84"/>
      <c r="D809" s="14"/>
      <c r="E809" s="14"/>
      <c r="F809" s="14"/>
      <c r="G809" s="14"/>
      <c r="H809" s="14"/>
      <c r="I809" s="14"/>
      <c r="J809" s="19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84"/>
      <c r="D810" s="14"/>
      <c r="E810" s="14"/>
      <c r="F810" s="14"/>
      <c r="G810" s="14"/>
      <c r="H810" s="14"/>
      <c r="I810" s="14"/>
      <c r="J810" s="19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84"/>
      <c r="D811" s="14"/>
      <c r="E811" s="14"/>
      <c r="F811" s="14"/>
      <c r="G811" s="14"/>
      <c r="H811" s="14"/>
      <c r="I811" s="14"/>
      <c r="J811" s="19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84"/>
      <c r="D812" s="14"/>
      <c r="E812" s="14"/>
      <c r="F812" s="14"/>
      <c r="G812" s="14"/>
      <c r="H812" s="14"/>
      <c r="I812" s="14"/>
      <c r="J812" s="19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84"/>
      <c r="D813" s="14"/>
      <c r="E813" s="14"/>
      <c r="F813" s="14"/>
      <c r="G813" s="14"/>
      <c r="H813" s="14"/>
      <c r="I813" s="14"/>
      <c r="J813" s="19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84"/>
      <c r="D814" s="14"/>
      <c r="E814" s="14"/>
      <c r="F814" s="14"/>
      <c r="G814" s="14"/>
      <c r="H814" s="14"/>
      <c r="I814" s="14"/>
      <c r="J814" s="19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84"/>
      <c r="D815" s="14"/>
      <c r="E815" s="14"/>
      <c r="F815" s="14"/>
      <c r="G815" s="14"/>
      <c r="H815" s="14"/>
      <c r="I815" s="14"/>
      <c r="J815" s="19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84"/>
      <c r="D816" s="14"/>
      <c r="E816" s="14"/>
      <c r="F816" s="14"/>
      <c r="G816" s="14"/>
      <c r="H816" s="14"/>
      <c r="I816" s="14"/>
      <c r="J816" s="19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84"/>
      <c r="D817" s="14"/>
      <c r="E817" s="14"/>
      <c r="F817" s="14"/>
      <c r="G817" s="14"/>
      <c r="H817" s="14"/>
      <c r="I817" s="14"/>
      <c r="J817" s="19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84"/>
      <c r="D818" s="14"/>
      <c r="E818" s="14"/>
      <c r="F818" s="14"/>
      <c r="G818" s="14"/>
      <c r="H818" s="14"/>
      <c r="I818" s="14"/>
      <c r="J818" s="19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84"/>
      <c r="D819" s="14"/>
      <c r="E819" s="14"/>
      <c r="F819" s="14"/>
      <c r="G819" s="14"/>
      <c r="H819" s="14"/>
      <c r="I819" s="14"/>
      <c r="J819" s="19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84"/>
      <c r="D820" s="14"/>
      <c r="E820" s="14"/>
      <c r="F820" s="14"/>
      <c r="G820" s="14"/>
      <c r="H820" s="14"/>
      <c r="I820" s="14"/>
      <c r="J820" s="19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84"/>
      <c r="D821" s="14"/>
      <c r="E821" s="14"/>
      <c r="F821" s="14"/>
      <c r="G821" s="14"/>
      <c r="H821" s="14"/>
      <c r="I821" s="14"/>
      <c r="J821" s="19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84"/>
      <c r="D822" s="14"/>
      <c r="E822" s="14"/>
      <c r="F822" s="14"/>
      <c r="G822" s="14"/>
      <c r="H822" s="14"/>
      <c r="I822" s="14"/>
      <c r="J822" s="19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84"/>
      <c r="D823" s="14"/>
      <c r="E823" s="14"/>
      <c r="F823" s="14"/>
      <c r="G823" s="14"/>
      <c r="H823" s="14"/>
      <c r="I823" s="14"/>
      <c r="J823" s="19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84"/>
      <c r="D824" s="14"/>
      <c r="E824" s="14"/>
      <c r="F824" s="14"/>
      <c r="G824" s="14"/>
      <c r="H824" s="14"/>
      <c r="I824" s="14"/>
      <c r="J824" s="19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84"/>
      <c r="D825" s="14"/>
      <c r="E825" s="14"/>
      <c r="F825" s="14"/>
      <c r="G825" s="14"/>
      <c r="H825" s="14"/>
      <c r="I825" s="14"/>
      <c r="J825" s="19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84"/>
      <c r="D826" s="14"/>
      <c r="E826" s="14"/>
      <c r="F826" s="14"/>
      <c r="G826" s="14"/>
      <c r="H826" s="14"/>
      <c r="I826" s="14"/>
      <c r="J826" s="19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84"/>
      <c r="D827" s="14"/>
      <c r="E827" s="14"/>
      <c r="F827" s="14"/>
      <c r="G827" s="14"/>
      <c r="H827" s="14"/>
      <c r="I827" s="14"/>
      <c r="J827" s="19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84"/>
      <c r="D828" s="14"/>
      <c r="E828" s="14"/>
      <c r="F828" s="14"/>
      <c r="G828" s="14"/>
      <c r="H828" s="14"/>
      <c r="I828" s="14"/>
      <c r="J828" s="19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</sheetData>
  <autoFilter ref="$A$2:$Y$15"/>
  <mergeCells count="2">
    <mergeCell ref="A1:H1"/>
    <mergeCell ref="I1:J1"/>
  </mergeCells>
  <conditionalFormatting sqref="F2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3.63"/>
    <col customWidth="1" min="3" max="3" width="25.63"/>
    <col customWidth="1" min="4" max="4" width="8.88"/>
    <col customWidth="1" min="5" max="5" width="9.0"/>
    <col customWidth="1" min="6" max="6" width="9.13"/>
    <col customWidth="1" min="7" max="8" width="16.38"/>
    <col customWidth="1" min="9" max="9" width="13.13"/>
    <col customWidth="1" min="10" max="10" width="17.88"/>
    <col customWidth="1" min="11" max="11" width="34.63"/>
    <col customWidth="1" min="12" max="12" width="20.88"/>
    <col customWidth="1" min="13" max="13" width="102.88"/>
    <col customWidth="1" min="14" max="14" width="14.5"/>
    <col customWidth="1" min="15" max="15" width="51.0"/>
    <col customWidth="1" min="16" max="16" width="9.0"/>
    <col customWidth="1" min="17" max="17" width="15.5"/>
    <col customWidth="1" min="18" max="18" width="58.63"/>
    <col customWidth="1" min="19" max="26" width="9.0"/>
  </cols>
  <sheetData>
    <row r="1">
      <c r="A1" s="10">
        <v>120.0</v>
      </c>
      <c r="B1" s="12"/>
      <c r="C1" s="12" t="s">
        <v>13</v>
      </c>
      <c r="D1" s="15"/>
      <c r="E1" s="16" t="s">
        <v>17</v>
      </c>
      <c r="F1" s="15"/>
      <c r="G1" s="17"/>
      <c r="H1" s="17"/>
      <c r="I1" s="17"/>
      <c r="J1" s="14"/>
      <c r="K1" s="19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4"/>
      <c r="H2" s="24" t="s">
        <v>26</v>
      </c>
      <c r="I2" s="24" t="s">
        <v>27</v>
      </c>
      <c r="J2" s="22" t="s">
        <v>28</v>
      </c>
      <c r="K2" s="22" t="s">
        <v>14</v>
      </c>
      <c r="L2" s="25"/>
      <c r="M2" s="22" t="s">
        <v>16</v>
      </c>
      <c r="N2" s="22" t="s">
        <v>29</v>
      </c>
      <c r="O2" s="22" t="s">
        <v>30</v>
      </c>
      <c r="P2" s="22" t="s">
        <v>20</v>
      </c>
      <c r="Q2" s="30" t="s">
        <v>21</v>
      </c>
      <c r="R2" s="30" t="s">
        <v>34</v>
      </c>
      <c r="S2" s="14"/>
      <c r="T2" s="14"/>
      <c r="U2" s="14"/>
      <c r="V2" s="14"/>
      <c r="W2" s="14"/>
      <c r="X2" s="14"/>
      <c r="Y2" s="14"/>
      <c r="Z2" s="14"/>
    </row>
    <row r="3" ht="29.25" customHeight="1">
      <c r="A3" s="33" t="s">
        <v>38</v>
      </c>
      <c r="B3" s="33" t="s">
        <v>40</v>
      </c>
      <c r="C3" s="33" t="s">
        <v>41</v>
      </c>
      <c r="D3" s="33">
        <v>1.0</v>
      </c>
      <c r="E3" s="33">
        <v>1.0</v>
      </c>
      <c r="F3" s="35">
        <f t="shared" ref="F3:F291" si="1">D3-E3</f>
        <v>0</v>
      </c>
      <c r="G3" s="37"/>
      <c r="H3" s="37">
        <v>343460.0</v>
      </c>
      <c r="I3" s="40">
        <f t="shared" ref="I3:I291" si="2">H3*D3</f>
        <v>343460</v>
      </c>
      <c r="J3" s="41" t="s">
        <v>58</v>
      </c>
      <c r="K3" s="33" t="s">
        <v>60</v>
      </c>
      <c r="L3" s="42" t="s">
        <v>61</v>
      </c>
      <c r="M3" s="43" t="s">
        <v>62</v>
      </c>
      <c r="N3" s="44"/>
      <c r="O3" s="44"/>
      <c r="P3" s="44"/>
      <c r="Q3" s="47">
        <v>46351.0</v>
      </c>
      <c r="R3" s="48" t="s">
        <v>67</v>
      </c>
      <c r="S3" s="14"/>
      <c r="T3" s="14"/>
      <c r="U3" s="14"/>
      <c r="V3" s="14"/>
      <c r="W3" s="14"/>
      <c r="X3" s="14"/>
      <c r="Y3" s="14"/>
      <c r="Z3" s="14"/>
    </row>
    <row r="4">
      <c r="A4" s="49" t="s">
        <v>38</v>
      </c>
      <c r="B4" s="49" t="s">
        <v>40</v>
      </c>
      <c r="C4" s="49" t="s">
        <v>41</v>
      </c>
      <c r="D4" s="49">
        <v>1.0</v>
      </c>
      <c r="E4" s="49">
        <v>1.0</v>
      </c>
      <c r="F4" s="52">
        <f t="shared" si="1"/>
        <v>0</v>
      </c>
      <c r="G4" s="53"/>
      <c r="H4" s="53">
        <v>343460.0</v>
      </c>
      <c r="I4" s="54">
        <f t="shared" si="2"/>
        <v>343460</v>
      </c>
      <c r="J4" s="55" t="s">
        <v>85</v>
      </c>
      <c r="K4" s="49" t="s">
        <v>86</v>
      </c>
      <c r="L4" s="57" t="s">
        <v>61</v>
      </c>
      <c r="M4" s="58" t="s">
        <v>62</v>
      </c>
      <c r="N4" s="59"/>
      <c r="O4" s="59"/>
      <c r="P4" s="59"/>
      <c r="Q4" s="60">
        <v>46351.0</v>
      </c>
      <c r="R4" s="61"/>
      <c r="S4" s="14"/>
      <c r="T4" s="14"/>
      <c r="U4" s="14"/>
      <c r="V4" s="14"/>
      <c r="W4" s="14"/>
      <c r="X4" s="14"/>
      <c r="Y4" s="14"/>
      <c r="Z4" s="14"/>
    </row>
    <row r="5">
      <c r="A5" s="33" t="s">
        <v>38</v>
      </c>
      <c r="B5" s="33" t="s">
        <v>40</v>
      </c>
      <c r="C5" s="33" t="s">
        <v>41</v>
      </c>
      <c r="D5" s="33">
        <v>1.0</v>
      </c>
      <c r="E5" s="43">
        <v>1.0</v>
      </c>
      <c r="F5" s="35">
        <f t="shared" si="1"/>
        <v>0</v>
      </c>
      <c r="G5" s="37"/>
      <c r="H5" s="37">
        <v>343460.0</v>
      </c>
      <c r="I5" s="40">
        <f t="shared" si="2"/>
        <v>343460</v>
      </c>
      <c r="J5" s="64" t="s">
        <v>103</v>
      </c>
      <c r="K5" s="33" t="s">
        <v>105</v>
      </c>
      <c r="L5" s="42" t="s">
        <v>61</v>
      </c>
      <c r="M5" s="43" t="s">
        <v>62</v>
      </c>
      <c r="N5" s="44"/>
      <c r="O5" s="44"/>
      <c r="P5" s="44"/>
      <c r="Q5" s="47">
        <v>46351.0</v>
      </c>
      <c r="R5" s="66"/>
      <c r="S5" s="14"/>
      <c r="T5" s="14"/>
      <c r="U5" s="14"/>
      <c r="V5" s="14"/>
      <c r="W5" s="14"/>
      <c r="X5" s="14"/>
      <c r="Y5" s="14"/>
      <c r="Z5" s="14"/>
    </row>
    <row r="6">
      <c r="A6" s="49" t="s">
        <v>38</v>
      </c>
      <c r="B6" s="49" t="s">
        <v>40</v>
      </c>
      <c r="C6" s="49" t="s">
        <v>41</v>
      </c>
      <c r="D6" s="49">
        <v>1.0</v>
      </c>
      <c r="E6" s="58">
        <v>0.0</v>
      </c>
      <c r="F6" s="52">
        <f t="shared" si="1"/>
        <v>1</v>
      </c>
      <c r="G6" s="53"/>
      <c r="H6" s="53">
        <v>343460.0</v>
      </c>
      <c r="I6" s="54">
        <f t="shared" si="2"/>
        <v>343460</v>
      </c>
      <c r="J6" s="55" t="s">
        <v>117</v>
      </c>
      <c r="K6" s="49" t="s">
        <v>118</v>
      </c>
      <c r="L6" s="57" t="s">
        <v>61</v>
      </c>
      <c r="M6" s="58" t="s">
        <v>62</v>
      </c>
      <c r="N6" s="59"/>
      <c r="O6" s="59"/>
      <c r="P6" s="59"/>
      <c r="Q6" s="60">
        <v>46351.0</v>
      </c>
      <c r="R6" s="61"/>
      <c r="S6" s="14"/>
      <c r="T6" s="14"/>
      <c r="U6" s="14"/>
      <c r="V6" s="14"/>
      <c r="W6" s="14"/>
      <c r="X6" s="14"/>
      <c r="Y6" s="14"/>
      <c r="Z6" s="14"/>
    </row>
    <row r="7">
      <c r="A7" s="33" t="s">
        <v>38</v>
      </c>
      <c r="B7" s="33" t="s">
        <v>40</v>
      </c>
      <c r="C7" s="33" t="s">
        <v>41</v>
      </c>
      <c r="D7" s="33">
        <v>1.0</v>
      </c>
      <c r="E7" s="33">
        <v>1.0</v>
      </c>
      <c r="F7" s="35">
        <f t="shared" si="1"/>
        <v>0</v>
      </c>
      <c r="G7" s="37"/>
      <c r="H7" s="37">
        <v>343460.0</v>
      </c>
      <c r="I7" s="40">
        <f t="shared" si="2"/>
        <v>343460</v>
      </c>
      <c r="J7" s="68" t="s">
        <v>142</v>
      </c>
      <c r="K7" s="33" t="s">
        <v>143</v>
      </c>
      <c r="L7" s="42" t="s">
        <v>61</v>
      </c>
      <c r="M7" s="43" t="s">
        <v>62</v>
      </c>
      <c r="N7" s="44"/>
      <c r="O7" s="44"/>
      <c r="P7" s="44"/>
      <c r="Q7" s="47">
        <v>46351.0</v>
      </c>
      <c r="R7" s="66"/>
      <c r="S7" s="14"/>
      <c r="T7" s="14"/>
      <c r="U7" s="14"/>
      <c r="V7" s="14"/>
      <c r="W7" s="14"/>
      <c r="X7" s="14"/>
      <c r="Y7" s="14"/>
      <c r="Z7" s="14"/>
    </row>
    <row r="8">
      <c r="A8" s="49" t="s">
        <v>38</v>
      </c>
      <c r="B8" s="49" t="s">
        <v>40</v>
      </c>
      <c r="C8" s="49" t="s">
        <v>41</v>
      </c>
      <c r="D8" s="49">
        <v>1.0</v>
      </c>
      <c r="E8" s="58">
        <v>0.0</v>
      </c>
      <c r="F8" s="52">
        <f t="shared" si="1"/>
        <v>1</v>
      </c>
      <c r="G8" s="53"/>
      <c r="H8" s="53">
        <v>343460.0</v>
      </c>
      <c r="I8" s="54">
        <f t="shared" si="2"/>
        <v>343460</v>
      </c>
      <c r="J8" s="55" t="s">
        <v>154</v>
      </c>
      <c r="K8" s="49" t="s">
        <v>155</v>
      </c>
      <c r="L8" s="57" t="s">
        <v>61</v>
      </c>
      <c r="M8" s="58" t="s">
        <v>62</v>
      </c>
      <c r="N8" s="59"/>
      <c r="O8" s="59"/>
      <c r="P8" s="59"/>
      <c r="Q8" s="60">
        <v>46351.0</v>
      </c>
      <c r="R8" s="61"/>
      <c r="S8" s="14"/>
      <c r="T8" s="14"/>
      <c r="U8" s="14"/>
      <c r="V8" s="14"/>
      <c r="W8" s="14"/>
      <c r="X8" s="14"/>
      <c r="Y8" s="14"/>
      <c r="Z8" s="14"/>
    </row>
    <row r="9">
      <c r="A9" s="33" t="s">
        <v>38</v>
      </c>
      <c r="B9" s="33" t="s">
        <v>40</v>
      </c>
      <c r="C9" s="33" t="s">
        <v>41</v>
      </c>
      <c r="D9" s="33">
        <v>1.0</v>
      </c>
      <c r="E9" s="43">
        <v>0.0</v>
      </c>
      <c r="F9" s="35">
        <f t="shared" si="1"/>
        <v>1</v>
      </c>
      <c r="G9" s="37"/>
      <c r="H9" s="37">
        <v>343460.0</v>
      </c>
      <c r="I9" s="40">
        <f t="shared" si="2"/>
        <v>343460</v>
      </c>
      <c r="J9" s="64" t="s">
        <v>160</v>
      </c>
      <c r="K9" s="33" t="s">
        <v>163</v>
      </c>
      <c r="L9" s="42" t="s">
        <v>61</v>
      </c>
      <c r="M9" s="43" t="s">
        <v>62</v>
      </c>
      <c r="N9" s="44"/>
      <c r="O9" s="43"/>
      <c r="P9" s="44"/>
      <c r="Q9" s="47">
        <v>46351.0</v>
      </c>
      <c r="R9" s="66"/>
      <c r="S9" s="71"/>
      <c r="T9" s="71"/>
      <c r="U9" s="71"/>
      <c r="V9" s="71"/>
      <c r="W9" s="71"/>
      <c r="X9" s="71"/>
      <c r="Y9" s="71"/>
      <c r="Z9" s="71"/>
    </row>
    <row r="10">
      <c r="A10" s="49" t="s">
        <v>38</v>
      </c>
      <c r="B10" s="49" t="s">
        <v>40</v>
      </c>
      <c r="C10" s="49" t="s">
        <v>41</v>
      </c>
      <c r="D10" s="49">
        <v>1.0</v>
      </c>
      <c r="E10" s="49">
        <v>0.0</v>
      </c>
      <c r="F10" s="52">
        <f t="shared" si="1"/>
        <v>1</v>
      </c>
      <c r="G10" s="53"/>
      <c r="H10" s="53">
        <v>343460.0</v>
      </c>
      <c r="I10" s="54">
        <f t="shared" si="2"/>
        <v>343460</v>
      </c>
      <c r="J10" s="55" t="s">
        <v>178</v>
      </c>
      <c r="K10" s="49" t="s">
        <v>181</v>
      </c>
      <c r="L10" s="57" t="s">
        <v>61</v>
      </c>
      <c r="M10" s="58" t="s">
        <v>62</v>
      </c>
      <c r="N10" s="58"/>
      <c r="O10" s="58"/>
      <c r="P10" s="59"/>
      <c r="Q10" s="60">
        <v>46351.0</v>
      </c>
      <c r="R10" s="72"/>
      <c r="S10" s="71"/>
      <c r="T10" s="71"/>
      <c r="U10" s="71"/>
      <c r="V10" s="71"/>
      <c r="W10" s="71"/>
      <c r="X10" s="71"/>
      <c r="Y10" s="71"/>
      <c r="Z10" s="71"/>
    </row>
    <row r="11">
      <c r="A11" s="33" t="s">
        <v>38</v>
      </c>
      <c r="B11" s="33" t="s">
        <v>40</v>
      </c>
      <c r="C11" s="33" t="s">
        <v>41</v>
      </c>
      <c r="D11" s="33">
        <v>1.0</v>
      </c>
      <c r="E11" s="43">
        <v>0.0</v>
      </c>
      <c r="F11" s="35">
        <f t="shared" si="1"/>
        <v>1</v>
      </c>
      <c r="G11" s="37"/>
      <c r="H11" s="37">
        <v>343460.0</v>
      </c>
      <c r="I11" s="40">
        <f t="shared" si="2"/>
        <v>343460</v>
      </c>
      <c r="J11" s="64" t="s">
        <v>189</v>
      </c>
      <c r="K11" s="33" t="s">
        <v>190</v>
      </c>
      <c r="L11" s="42" t="s">
        <v>61</v>
      </c>
      <c r="M11" s="43" t="s">
        <v>62</v>
      </c>
      <c r="N11" s="43"/>
      <c r="O11" s="43"/>
      <c r="P11" s="44"/>
      <c r="Q11" s="47">
        <v>46351.0</v>
      </c>
      <c r="R11" s="48"/>
      <c r="S11" s="71"/>
      <c r="T11" s="71"/>
      <c r="U11" s="71"/>
      <c r="V11" s="71"/>
      <c r="W11" s="71"/>
      <c r="X11" s="71"/>
      <c r="Y11" s="71"/>
      <c r="Z11" s="71"/>
    </row>
    <row r="12">
      <c r="A12" s="49" t="s">
        <v>38</v>
      </c>
      <c r="B12" s="49" t="s">
        <v>40</v>
      </c>
      <c r="C12" s="49" t="s">
        <v>41</v>
      </c>
      <c r="D12" s="49">
        <v>1.0</v>
      </c>
      <c r="E12" s="58">
        <v>0.0</v>
      </c>
      <c r="F12" s="52">
        <f t="shared" si="1"/>
        <v>1</v>
      </c>
      <c r="G12" s="53"/>
      <c r="H12" s="53">
        <v>343460.0</v>
      </c>
      <c r="I12" s="54">
        <f t="shared" si="2"/>
        <v>343460</v>
      </c>
      <c r="J12" s="55" t="s">
        <v>192</v>
      </c>
      <c r="K12" s="49" t="s">
        <v>193</v>
      </c>
      <c r="L12" s="57" t="s">
        <v>61</v>
      </c>
      <c r="M12" s="58" t="s">
        <v>62</v>
      </c>
      <c r="N12" s="58"/>
      <c r="O12" s="58"/>
      <c r="P12" s="59"/>
      <c r="Q12" s="60">
        <v>46351.0</v>
      </c>
      <c r="R12" s="72"/>
      <c r="S12" s="71"/>
      <c r="T12" s="71"/>
      <c r="U12" s="71"/>
      <c r="V12" s="71"/>
      <c r="W12" s="71"/>
      <c r="X12" s="71"/>
      <c r="Y12" s="71"/>
      <c r="Z12" s="71"/>
    </row>
    <row r="13">
      <c r="A13" s="33" t="s">
        <v>38</v>
      </c>
      <c r="B13" s="33" t="s">
        <v>40</v>
      </c>
      <c r="C13" s="33" t="s">
        <v>41</v>
      </c>
      <c r="D13" s="33">
        <v>1.0</v>
      </c>
      <c r="E13" s="43">
        <v>1.0</v>
      </c>
      <c r="F13" s="35">
        <f t="shared" si="1"/>
        <v>0</v>
      </c>
      <c r="G13" s="37"/>
      <c r="H13" s="37">
        <v>343460.0</v>
      </c>
      <c r="I13" s="40">
        <f t="shared" si="2"/>
        <v>343460</v>
      </c>
      <c r="J13" s="64" t="s">
        <v>194</v>
      </c>
      <c r="K13" s="33" t="s">
        <v>195</v>
      </c>
      <c r="L13" s="42" t="s">
        <v>61</v>
      </c>
      <c r="M13" s="43" t="s">
        <v>62</v>
      </c>
      <c r="N13" s="43"/>
      <c r="O13" s="43"/>
      <c r="P13" s="44"/>
      <c r="Q13" s="47">
        <v>46351.0</v>
      </c>
      <c r="R13" s="48"/>
      <c r="S13" s="71"/>
      <c r="T13" s="71"/>
      <c r="U13" s="71"/>
      <c r="V13" s="71"/>
      <c r="W13" s="71"/>
      <c r="X13" s="71"/>
      <c r="Y13" s="71"/>
      <c r="Z13" s="71"/>
    </row>
    <row r="14">
      <c r="A14" s="49" t="s">
        <v>38</v>
      </c>
      <c r="B14" s="49" t="s">
        <v>40</v>
      </c>
      <c r="C14" s="49" t="s">
        <v>41</v>
      </c>
      <c r="D14" s="49">
        <v>1.0</v>
      </c>
      <c r="E14" s="58">
        <v>0.0</v>
      </c>
      <c r="F14" s="52">
        <f t="shared" si="1"/>
        <v>1</v>
      </c>
      <c r="G14" s="53"/>
      <c r="H14" s="53">
        <v>343460.0</v>
      </c>
      <c r="I14" s="54">
        <f t="shared" si="2"/>
        <v>343460</v>
      </c>
      <c r="J14" s="55" t="s">
        <v>199</v>
      </c>
      <c r="K14" s="49" t="s">
        <v>200</v>
      </c>
      <c r="L14" s="57" t="s">
        <v>61</v>
      </c>
      <c r="M14" s="58" t="s">
        <v>62</v>
      </c>
      <c r="N14" s="58"/>
      <c r="O14" s="58"/>
      <c r="P14" s="59"/>
      <c r="Q14" s="60">
        <v>46351.0</v>
      </c>
      <c r="R14" s="72"/>
      <c r="S14" s="71"/>
      <c r="T14" s="71"/>
      <c r="U14" s="71"/>
      <c r="V14" s="71"/>
      <c r="W14" s="71"/>
      <c r="X14" s="71"/>
      <c r="Y14" s="71"/>
      <c r="Z14" s="71"/>
    </row>
    <row r="15">
      <c r="A15" s="33" t="s">
        <v>38</v>
      </c>
      <c r="B15" s="33" t="s">
        <v>40</v>
      </c>
      <c r="C15" s="33" t="s">
        <v>41</v>
      </c>
      <c r="D15" s="33">
        <v>1.0</v>
      </c>
      <c r="E15" s="33">
        <v>0.0</v>
      </c>
      <c r="F15" s="35">
        <f t="shared" si="1"/>
        <v>1</v>
      </c>
      <c r="G15" s="37"/>
      <c r="H15" s="37">
        <v>343460.0</v>
      </c>
      <c r="I15" s="40">
        <f t="shared" si="2"/>
        <v>343460</v>
      </c>
      <c r="J15" s="64" t="s">
        <v>210</v>
      </c>
      <c r="K15" s="33" t="s">
        <v>211</v>
      </c>
      <c r="L15" s="42" t="s">
        <v>61</v>
      </c>
      <c r="M15" s="43" t="s">
        <v>62</v>
      </c>
      <c r="N15" s="44"/>
      <c r="O15" s="44"/>
      <c r="P15" s="44"/>
      <c r="Q15" s="47">
        <v>46351.0</v>
      </c>
      <c r="R15" s="66"/>
      <c r="S15" s="71"/>
      <c r="T15" s="71"/>
      <c r="U15" s="71"/>
      <c r="V15" s="71"/>
      <c r="W15" s="71"/>
      <c r="X15" s="71"/>
      <c r="Y15" s="71"/>
      <c r="Z15" s="71"/>
    </row>
    <row r="16">
      <c r="A16" s="49" t="s">
        <v>38</v>
      </c>
      <c r="B16" s="49" t="s">
        <v>40</v>
      </c>
      <c r="C16" s="49" t="s">
        <v>41</v>
      </c>
      <c r="D16" s="49">
        <v>1.0</v>
      </c>
      <c r="E16" s="58">
        <v>0.0</v>
      </c>
      <c r="F16" s="52">
        <f t="shared" si="1"/>
        <v>1</v>
      </c>
      <c r="G16" s="53"/>
      <c r="H16" s="53">
        <v>343460.0</v>
      </c>
      <c r="I16" s="54">
        <f t="shared" si="2"/>
        <v>343460</v>
      </c>
      <c r="J16" s="55" t="s">
        <v>214</v>
      </c>
      <c r="K16" s="49" t="s">
        <v>216</v>
      </c>
      <c r="L16" s="57" t="s">
        <v>61</v>
      </c>
      <c r="M16" s="58" t="s">
        <v>62</v>
      </c>
      <c r="N16" s="59"/>
      <c r="O16" s="59"/>
      <c r="P16" s="59"/>
      <c r="Q16" s="60">
        <v>46351.0</v>
      </c>
      <c r="R16" s="61"/>
      <c r="S16" s="71"/>
      <c r="T16" s="71"/>
      <c r="U16" s="71"/>
      <c r="V16" s="71"/>
      <c r="W16" s="71"/>
      <c r="X16" s="71"/>
      <c r="Y16" s="71"/>
      <c r="Z16" s="71"/>
    </row>
    <row r="17">
      <c r="A17" s="33" t="s">
        <v>218</v>
      </c>
      <c r="B17" s="33" t="s">
        <v>219</v>
      </c>
      <c r="C17" s="33" t="s">
        <v>220</v>
      </c>
      <c r="D17" s="80">
        <v>1.0</v>
      </c>
      <c r="E17" s="43">
        <v>0.0</v>
      </c>
      <c r="F17" s="35">
        <f t="shared" si="1"/>
        <v>1</v>
      </c>
      <c r="G17" s="37"/>
      <c r="H17" s="37">
        <v>437680.0</v>
      </c>
      <c r="I17" s="40">
        <f t="shared" si="2"/>
        <v>437680</v>
      </c>
      <c r="J17" s="87" t="s">
        <v>58</v>
      </c>
      <c r="K17" s="43" t="s">
        <v>226</v>
      </c>
      <c r="L17" s="43" t="s">
        <v>61</v>
      </c>
      <c r="M17" s="91" t="s">
        <v>227</v>
      </c>
      <c r="N17" s="44"/>
      <c r="O17" s="44"/>
      <c r="P17" s="44"/>
      <c r="Q17" s="47">
        <v>46351.0</v>
      </c>
      <c r="R17" s="66"/>
      <c r="S17" s="71"/>
      <c r="T17" s="71"/>
      <c r="U17" s="71"/>
      <c r="V17" s="71"/>
      <c r="W17" s="71"/>
      <c r="X17" s="71"/>
      <c r="Y17" s="71"/>
      <c r="Z17" s="71"/>
    </row>
    <row r="18">
      <c r="A18" s="49" t="s">
        <v>218</v>
      </c>
      <c r="B18" s="49" t="s">
        <v>219</v>
      </c>
      <c r="C18" s="49" t="s">
        <v>220</v>
      </c>
      <c r="D18" s="93">
        <v>1.0</v>
      </c>
      <c r="E18" s="58">
        <v>0.0</v>
      </c>
      <c r="F18" s="52">
        <f t="shared" si="1"/>
        <v>1</v>
      </c>
      <c r="G18" s="53"/>
      <c r="H18" s="53">
        <v>437680.0</v>
      </c>
      <c r="I18" s="54">
        <f t="shared" si="2"/>
        <v>437680</v>
      </c>
      <c r="J18" s="95" t="s">
        <v>96</v>
      </c>
      <c r="K18" s="58" t="s">
        <v>226</v>
      </c>
      <c r="L18" s="58" t="s">
        <v>61</v>
      </c>
      <c r="M18" s="58" t="s">
        <v>229</v>
      </c>
      <c r="N18" s="59"/>
      <c r="O18" s="59"/>
      <c r="P18" s="59"/>
      <c r="Q18" s="60">
        <v>46351.0</v>
      </c>
      <c r="R18" s="61"/>
      <c r="S18" s="71"/>
      <c r="T18" s="71"/>
      <c r="U18" s="71"/>
      <c r="V18" s="71"/>
      <c r="W18" s="71"/>
      <c r="X18" s="71"/>
      <c r="Y18" s="71"/>
      <c r="Z18" s="71"/>
    </row>
    <row r="19">
      <c r="A19" s="33" t="s">
        <v>218</v>
      </c>
      <c r="B19" s="33" t="s">
        <v>219</v>
      </c>
      <c r="C19" s="33" t="s">
        <v>220</v>
      </c>
      <c r="D19" s="96">
        <v>1.0</v>
      </c>
      <c r="E19" s="43">
        <v>0.0</v>
      </c>
      <c r="F19" s="35">
        <f t="shared" si="1"/>
        <v>1</v>
      </c>
      <c r="G19" s="37"/>
      <c r="H19" s="37">
        <v>437680.0</v>
      </c>
      <c r="I19" s="40">
        <f t="shared" si="2"/>
        <v>437680</v>
      </c>
      <c r="J19" s="80" t="s">
        <v>154</v>
      </c>
      <c r="K19" s="43" t="s">
        <v>226</v>
      </c>
      <c r="L19" s="43" t="s">
        <v>61</v>
      </c>
      <c r="M19" s="91" t="s">
        <v>229</v>
      </c>
      <c r="N19" s="44"/>
      <c r="O19" s="44"/>
      <c r="P19" s="44"/>
      <c r="Q19" s="47">
        <v>46351.0</v>
      </c>
      <c r="R19" s="66"/>
      <c r="S19" s="14"/>
      <c r="T19" s="14"/>
      <c r="U19" s="14"/>
      <c r="V19" s="14"/>
      <c r="W19" s="14"/>
      <c r="X19" s="14"/>
      <c r="Y19" s="14"/>
      <c r="Z19" s="14"/>
    </row>
    <row r="20">
      <c r="A20" s="49" t="s">
        <v>218</v>
      </c>
      <c r="B20" s="49" t="s">
        <v>219</v>
      </c>
      <c r="C20" s="49" t="s">
        <v>220</v>
      </c>
      <c r="D20" s="93">
        <v>1.0</v>
      </c>
      <c r="E20" s="58">
        <v>0.0</v>
      </c>
      <c r="F20" s="52">
        <f t="shared" si="1"/>
        <v>1</v>
      </c>
      <c r="G20" s="53"/>
      <c r="H20" s="53">
        <v>437680.0</v>
      </c>
      <c r="I20" s="54">
        <f t="shared" si="2"/>
        <v>437680</v>
      </c>
      <c r="J20" s="97" t="s">
        <v>231</v>
      </c>
      <c r="K20" s="58" t="s">
        <v>226</v>
      </c>
      <c r="L20" s="58" t="s">
        <v>61</v>
      </c>
      <c r="M20" s="58" t="s">
        <v>229</v>
      </c>
      <c r="N20" s="59"/>
      <c r="O20" s="59"/>
      <c r="P20" s="59"/>
      <c r="Q20" s="60">
        <v>46351.0</v>
      </c>
      <c r="R20" s="61"/>
      <c r="S20" s="14"/>
      <c r="T20" s="14"/>
      <c r="U20" s="14"/>
      <c r="V20" s="14"/>
      <c r="W20" s="14"/>
      <c r="X20" s="14"/>
      <c r="Y20" s="14"/>
      <c r="Z20" s="14"/>
    </row>
    <row r="21" ht="15.75" customHeight="1">
      <c r="A21" s="33" t="s">
        <v>218</v>
      </c>
      <c r="B21" s="33" t="s">
        <v>219</v>
      </c>
      <c r="C21" s="33" t="s">
        <v>220</v>
      </c>
      <c r="D21" s="80">
        <v>1.0</v>
      </c>
      <c r="E21" s="43">
        <v>1.0</v>
      </c>
      <c r="F21" s="35">
        <f t="shared" si="1"/>
        <v>0</v>
      </c>
      <c r="G21" s="37"/>
      <c r="H21" s="37">
        <v>437680.0</v>
      </c>
      <c r="I21" s="40">
        <f t="shared" si="2"/>
        <v>437680</v>
      </c>
      <c r="J21" s="80" t="s">
        <v>160</v>
      </c>
      <c r="K21" s="43" t="s">
        <v>226</v>
      </c>
      <c r="L21" s="43" t="s">
        <v>61</v>
      </c>
      <c r="M21" s="91" t="s">
        <v>229</v>
      </c>
      <c r="N21" s="44"/>
      <c r="O21" s="44"/>
      <c r="P21" s="44"/>
      <c r="Q21" s="47">
        <v>46351.0</v>
      </c>
      <c r="R21" s="98"/>
      <c r="S21" s="14"/>
      <c r="T21" s="14"/>
      <c r="U21" s="14"/>
      <c r="V21" s="14"/>
      <c r="W21" s="14"/>
      <c r="X21" s="14"/>
      <c r="Y21" s="14"/>
      <c r="Z21" s="14"/>
    </row>
    <row r="22" ht="15.75" customHeight="1">
      <c r="A22" s="49" t="s">
        <v>218</v>
      </c>
      <c r="B22" s="49" t="s">
        <v>219</v>
      </c>
      <c r="C22" s="49" t="s">
        <v>220</v>
      </c>
      <c r="D22" s="93">
        <v>1.0</v>
      </c>
      <c r="E22" s="58">
        <v>1.0</v>
      </c>
      <c r="F22" s="52">
        <f t="shared" si="1"/>
        <v>0</v>
      </c>
      <c r="G22" s="53"/>
      <c r="H22" s="53">
        <v>437680.0</v>
      </c>
      <c r="I22" s="54">
        <f t="shared" si="2"/>
        <v>437680</v>
      </c>
      <c r="J22" s="93" t="s">
        <v>192</v>
      </c>
      <c r="K22" s="58" t="s">
        <v>226</v>
      </c>
      <c r="L22" s="58" t="s">
        <v>61</v>
      </c>
      <c r="M22" s="58" t="s">
        <v>229</v>
      </c>
      <c r="N22" s="59"/>
      <c r="O22" s="59"/>
      <c r="P22" s="59"/>
      <c r="Q22" s="60">
        <v>46351.0</v>
      </c>
      <c r="R22" s="99"/>
      <c r="S22" s="14"/>
      <c r="T22" s="14"/>
      <c r="U22" s="14"/>
      <c r="V22" s="14"/>
      <c r="W22" s="14"/>
      <c r="X22" s="14"/>
      <c r="Y22" s="14"/>
      <c r="Z22" s="14"/>
    </row>
    <row r="23" ht="15.75" customHeight="1">
      <c r="A23" s="33" t="s">
        <v>218</v>
      </c>
      <c r="B23" s="33" t="s">
        <v>219</v>
      </c>
      <c r="C23" s="33" t="s">
        <v>220</v>
      </c>
      <c r="D23" s="80">
        <v>1.0</v>
      </c>
      <c r="E23" s="43">
        <v>0.0</v>
      </c>
      <c r="F23" s="35">
        <f t="shared" si="1"/>
        <v>1</v>
      </c>
      <c r="G23" s="37"/>
      <c r="H23" s="37">
        <v>437680.0</v>
      </c>
      <c r="I23" s="40">
        <f t="shared" si="2"/>
        <v>437680</v>
      </c>
      <c r="J23" s="80" t="s">
        <v>194</v>
      </c>
      <c r="K23" s="43" t="s">
        <v>226</v>
      </c>
      <c r="L23" s="43" t="s">
        <v>61</v>
      </c>
      <c r="M23" s="91" t="s">
        <v>229</v>
      </c>
      <c r="N23" s="44"/>
      <c r="O23" s="44"/>
      <c r="P23" s="44"/>
      <c r="Q23" s="47">
        <v>46351.0</v>
      </c>
      <c r="R23" s="98"/>
      <c r="S23" s="14"/>
      <c r="T23" s="14"/>
      <c r="U23" s="14"/>
      <c r="V23" s="14"/>
      <c r="W23" s="14"/>
      <c r="X23" s="14"/>
      <c r="Y23" s="14"/>
      <c r="Z23" s="14"/>
    </row>
    <row r="24" ht="15.75" customHeight="1">
      <c r="A24" s="49" t="s">
        <v>218</v>
      </c>
      <c r="B24" s="49" t="s">
        <v>219</v>
      </c>
      <c r="C24" s="49" t="s">
        <v>220</v>
      </c>
      <c r="D24" s="93">
        <v>1.0</v>
      </c>
      <c r="E24" s="43">
        <v>1.0</v>
      </c>
      <c r="F24" s="52">
        <f t="shared" si="1"/>
        <v>0</v>
      </c>
      <c r="G24" s="53"/>
      <c r="H24" s="53">
        <v>437680.0</v>
      </c>
      <c r="I24" s="54">
        <f t="shared" si="2"/>
        <v>437680</v>
      </c>
      <c r="J24" s="93" t="s">
        <v>210</v>
      </c>
      <c r="K24" s="58" t="s">
        <v>226</v>
      </c>
      <c r="L24" s="58" t="s">
        <v>61</v>
      </c>
      <c r="M24" s="58" t="s">
        <v>229</v>
      </c>
      <c r="N24" s="59"/>
      <c r="O24" s="59"/>
      <c r="P24" s="59"/>
      <c r="Q24" s="60">
        <v>46351.0</v>
      </c>
      <c r="R24" s="99"/>
      <c r="S24" s="14"/>
      <c r="T24" s="14"/>
      <c r="U24" s="14"/>
      <c r="V24" s="14"/>
      <c r="W24" s="14"/>
      <c r="X24" s="14"/>
      <c r="Y24" s="14"/>
      <c r="Z24" s="14"/>
    </row>
    <row r="25" ht="15.75" customHeight="1">
      <c r="A25" s="33">
        <v>3.0</v>
      </c>
      <c r="B25" s="33" t="s">
        <v>246</v>
      </c>
      <c r="C25" s="33" t="s">
        <v>247</v>
      </c>
      <c r="D25" s="80">
        <v>1.0</v>
      </c>
      <c r="E25" s="43">
        <v>0.0</v>
      </c>
      <c r="F25" s="35">
        <f t="shared" si="1"/>
        <v>1</v>
      </c>
      <c r="G25" s="37"/>
      <c r="H25" s="37"/>
      <c r="I25" s="40">
        <f t="shared" si="2"/>
        <v>0</v>
      </c>
      <c r="J25" s="80" t="s">
        <v>154</v>
      </c>
      <c r="K25" s="43"/>
      <c r="L25" s="44"/>
      <c r="M25" s="43"/>
      <c r="N25" s="44"/>
      <c r="O25" s="44"/>
      <c r="P25" s="44"/>
      <c r="Q25" s="47"/>
      <c r="R25" s="98"/>
      <c r="S25" s="14"/>
      <c r="T25" s="14"/>
      <c r="U25" s="14"/>
      <c r="V25" s="14"/>
      <c r="W25" s="14"/>
      <c r="X25" s="14"/>
      <c r="Y25" s="14"/>
      <c r="Z25" s="14"/>
    </row>
    <row r="26" ht="15.75" customHeight="1">
      <c r="A26" s="49">
        <v>3.0</v>
      </c>
      <c r="B26" s="49" t="s">
        <v>246</v>
      </c>
      <c r="C26" s="49" t="s">
        <v>247</v>
      </c>
      <c r="D26" s="93">
        <v>1.0</v>
      </c>
      <c r="E26" s="58">
        <v>0.0</v>
      </c>
      <c r="F26" s="52">
        <f t="shared" si="1"/>
        <v>1</v>
      </c>
      <c r="G26" s="53"/>
      <c r="H26" s="53"/>
      <c r="I26" s="54">
        <f t="shared" si="2"/>
        <v>0</v>
      </c>
      <c r="J26" s="93" t="s">
        <v>142</v>
      </c>
      <c r="K26" s="58"/>
      <c r="L26" s="59"/>
      <c r="M26" s="58"/>
      <c r="N26" s="59"/>
      <c r="O26" s="59"/>
      <c r="P26" s="59"/>
      <c r="Q26" s="60"/>
      <c r="R26" s="99"/>
      <c r="S26" s="14"/>
      <c r="T26" s="14"/>
      <c r="U26" s="14"/>
      <c r="V26" s="14"/>
      <c r="W26" s="14"/>
      <c r="X26" s="14"/>
      <c r="Y26" s="14"/>
      <c r="Z26" s="14"/>
    </row>
    <row r="27" ht="15.75" customHeight="1">
      <c r="A27" s="33">
        <v>3.0</v>
      </c>
      <c r="B27" s="33" t="s">
        <v>246</v>
      </c>
      <c r="C27" s="33" t="s">
        <v>247</v>
      </c>
      <c r="D27" s="80">
        <v>1.0</v>
      </c>
      <c r="E27" s="43">
        <v>0.0</v>
      </c>
      <c r="F27" s="35">
        <f t="shared" si="1"/>
        <v>1</v>
      </c>
      <c r="G27" s="37"/>
      <c r="H27" s="37"/>
      <c r="I27" s="40">
        <f t="shared" si="2"/>
        <v>0</v>
      </c>
      <c r="J27" s="80" t="s">
        <v>231</v>
      </c>
      <c r="K27" s="43"/>
      <c r="L27" s="44"/>
      <c r="M27" s="43"/>
      <c r="N27" s="44"/>
      <c r="O27" s="44"/>
      <c r="P27" s="44"/>
      <c r="Q27" s="47"/>
      <c r="R27" s="98"/>
      <c r="S27" s="14"/>
      <c r="T27" s="14"/>
      <c r="U27" s="14"/>
      <c r="V27" s="14"/>
      <c r="W27" s="14"/>
      <c r="X27" s="14"/>
      <c r="Y27" s="14"/>
      <c r="Z27" s="14"/>
    </row>
    <row r="28" ht="15.75" customHeight="1">
      <c r="A28" s="49">
        <v>3.0</v>
      </c>
      <c r="B28" s="49" t="s">
        <v>246</v>
      </c>
      <c r="C28" s="49" t="s">
        <v>247</v>
      </c>
      <c r="D28" s="93">
        <v>1.0</v>
      </c>
      <c r="E28" s="58">
        <v>0.0</v>
      </c>
      <c r="F28" s="52">
        <f t="shared" si="1"/>
        <v>1</v>
      </c>
      <c r="G28" s="53"/>
      <c r="H28" s="53"/>
      <c r="I28" s="54">
        <f t="shared" si="2"/>
        <v>0</v>
      </c>
      <c r="J28" s="93" t="s">
        <v>192</v>
      </c>
      <c r="K28" s="58"/>
      <c r="L28" s="59"/>
      <c r="M28" s="58"/>
      <c r="N28" s="59"/>
      <c r="O28" s="59"/>
      <c r="P28" s="59"/>
      <c r="Q28" s="60"/>
      <c r="R28" s="99"/>
      <c r="S28" s="14"/>
      <c r="T28" s="14"/>
      <c r="U28" s="14"/>
      <c r="V28" s="14"/>
      <c r="W28" s="14"/>
      <c r="X28" s="14"/>
      <c r="Y28" s="14"/>
      <c r="Z28" s="14"/>
    </row>
    <row r="29" ht="15.75" customHeight="1">
      <c r="A29" s="33">
        <v>3.0</v>
      </c>
      <c r="B29" s="33" t="s">
        <v>246</v>
      </c>
      <c r="C29" s="33" t="s">
        <v>247</v>
      </c>
      <c r="D29" s="80">
        <v>1.0</v>
      </c>
      <c r="E29" s="43">
        <v>0.0</v>
      </c>
      <c r="F29" s="35">
        <f t="shared" si="1"/>
        <v>1</v>
      </c>
      <c r="G29" s="37"/>
      <c r="H29" s="37"/>
      <c r="I29" s="40">
        <f t="shared" si="2"/>
        <v>0</v>
      </c>
      <c r="J29" s="80" t="s">
        <v>199</v>
      </c>
      <c r="K29" s="43"/>
      <c r="L29" s="44"/>
      <c r="M29" s="43"/>
      <c r="N29" s="44"/>
      <c r="O29" s="44"/>
      <c r="P29" s="44"/>
      <c r="Q29" s="47"/>
      <c r="R29" s="98"/>
      <c r="S29" s="14"/>
      <c r="T29" s="14"/>
      <c r="U29" s="14"/>
      <c r="V29" s="14"/>
      <c r="W29" s="14"/>
      <c r="X29" s="14"/>
      <c r="Y29" s="14"/>
      <c r="Z29" s="14"/>
    </row>
    <row r="30" ht="15.75" customHeight="1">
      <c r="A30" s="49">
        <v>3.0</v>
      </c>
      <c r="B30" s="49" t="s">
        <v>246</v>
      </c>
      <c r="C30" s="49" t="s">
        <v>247</v>
      </c>
      <c r="D30" s="93">
        <v>1.0</v>
      </c>
      <c r="E30" s="58">
        <v>0.0</v>
      </c>
      <c r="F30" s="52">
        <f t="shared" si="1"/>
        <v>1</v>
      </c>
      <c r="G30" s="53"/>
      <c r="H30" s="53"/>
      <c r="I30" s="54">
        <f t="shared" si="2"/>
        <v>0</v>
      </c>
      <c r="J30" s="95" t="s">
        <v>214</v>
      </c>
      <c r="K30" s="58"/>
      <c r="L30" s="59"/>
      <c r="M30" s="58"/>
      <c r="N30" s="59"/>
      <c r="O30" s="59"/>
      <c r="P30" s="59"/>
      <c r="Q30" s="60"/>
      <c r="R30" s="99"/>
      <c r="S30" s="14"/>
      <c r="T30" s="14"/>
      <c r="U30" s="14"/>
      <c r="V30" s="14"/>
      <c r="W30" s="14"/>
      <c r="X30" s="14"/>
      <c r="Y30" s="14"/>
      <c r="Z30" s="14"/>
    </row>
    <row r="31" ht="15.75" customHeight="1">
      <c r="A31" s="33" t="s">
        <v>254</v>
      </c>
      <c r="B31" s="33" t="s">
        <v>255</v>
      </c>
      <c r="C31" s="33" t="s">
        <v>121</v>
      </c>
      <c r="D31" s="96">
        <v>1.0</v>
      </c>
      <c r="E31" s="43">
        <v>1.0</v>
      </c>
      <c r="F31" s="35">
        <f t="shared" si="1"/>
        <v>0</v>
      </c>
      <c r="G31" s="37"/>
      <c r="H31" s="37">
        <v>290000.0</v>
      </c>
      <c r="I31" s="40">
        <f t="shared" si="2"/>
        <v>290000</v>
      </c>
      <c r="J31" s="64" t="s">
        <v>58</v>
      </c>
      <c r="K31" s="43" t="s">
        <v>256</v>
      </c>
      <c r="L31" s="43" t="s">
        <v>257</v>
      </c>
      <c r="M31" s="43" t="s">
        <v>258</v>
      </c>
      <c r="N31" s="44"/>
      <c r="O31" s="44"/>
      <c r="P31" s="44"/>
      <c r="Q31" s="44"/>
      <c r="R31" s="98"/>
      <c r="S31" s="14"/>
      <c r="T31" s="14"/>
      <c r="U31" s="14"/>
      <c r="V31" s="14"/>
      <c r="W31" s="14"/>
      <c r="X31" s="14"/>
      <c r="Y31" s="14"/>
      <c r="Z31" s="14"/>
    </row>
    <row r="32" ht="26.25" customHeight="1">
      <c r="A32" s="49" t="s">
        <v>254</v>
      </c>
      <c r="B32" s="49" t="s">
        <v>255</v>
      </c>
      <c r="C32" s="49" t="s">
        <v>121</v>
      </c>
      <c r="D32" s="106">
        <v>1.0</v>
      </c>
      <c r="E32" s="58">
        <v>1.0</v>
      </c>
      <c r="F32" s="52">
        <f t="shared" si="1"/>
        <v>0</v>
      </c>
      <c r="G32" s="53"/>
      <c r="H32" s="53">
        <v>290000.0</v>
      </c>
      <c r="I32" s="54">
        <f t="shared" si="2"/>
        <v>290000</v>
      </c>
      <c r="J32" s="55" t="s">
        <v>85</v>
      </c>
      <c r="K32" s="58" t="s">
        <v>256</v>
      </c>
      <c r="L32" s="58" t="s">
        <v>257</v>
      </c>
      <c r="M32" s="58" t="s">
        <v>259</v>
      </c>
      <c r="N32" s="59"/>
      <c r="O32" s="59"/>
      <c r="P32" s="59"/>
      <c r="Q32" s="60">
        <v>46347.0</v>
      </c>
      <c r="R32" s="61"/>
      <c r="S32" s="14"/>
      <c r="T32" s="14"/>
      <c r="U32" s="14"/>
      <c r="V32" s="14"/>
      <c r="W32" s="14"/>
      <c r="X32" s="14"/>
      <c r="Y32" s="14"/>
      <c r="Z32" s="14"/>
    </row>
    <row r="33" ht="15.75" customHeight="1">
      <c r="A33" s="33" t="s">
        <v>254</v>
      </c>
      <c r="B33" s="33" t="s">
        <v>255</v>
      </c>
      <c r="C33" s="33" t="s">
        <v>121</v>
      </c>
      <c r="D33" s="96">
        <v>1.0</v>
      </c>
      <c r="E33" s="43">
        <v>1.0</v>
      </c>
      <c r="F33" s="35">
        <f t="shared" si="1"/>
        <v>0</v>
      </c>
      <c r="G33" s="37"/>
      <c r="H33" s="37">
        <v>290000.0</v>
      </c>
      <c r="I33" s="40">
        <f t="shared" si="2"/>
        <v>290000</v>
      </c>
      <c r="J33" s="64" t="s">
        <v>134</v>
      </c>
      <c r="K33" s="43" t="s">
        <v>256</v>
      </c>
      <c r="L33" s="43" t="s">
        <v>257</v>
      </c>
      <c r="M33" s="43" t="s">
        <v>259</v>
      </c>
      <c r="N33" s="44"/>
      <c r="O33" s="44"/>
      <c r="P33" s="44"/>
      <c r="Q33" s="47">
        <v>46347.0</v>
      </c>
      <c r="R33" s="66"/>
      <c r="S33" s="71"/>
      <c r="T33" s="71"/>
      <c r="U33" s="71"/>
      <c r="V33" s="71"/>
      <c r="W33" s="71"/>
      <c r="X33" s="71"/>
      <c r="Y33" s="71"/>
      <c r="Z33" s="71"/>
    </row>
    <row r="34" ht="15.75" customHeight="1">
      <c r="A34" s="49" t="s">
        <v>254</v>
      </c>
      <c r="B34" s="49" t="s">
        <v>255</v>
      </c>
      <c r="C34" s="49" t="s">
        <v>121</v>
      </c>
      <c r="D34" s="106">
        <v>1.0</v>
      </c>
      <c r="E34" s="58">
        <v>1.0</v>
      </c>
      <c r="F34" s="52">
        <f t="shared" si="1"/>
        <v>0</v>
      </c>
      <c r="G34" s="53"/>
      <c r="H34" s="53">
        <v>290000.0</v>
      </c>
      <c r="I34" s="54">
        <f t="shared" si="2"/>
        <v>290000</v>
      </c>
      <c r="J34" s="55" t="s">
        <v>142</v>
      </c>
      <c r="K34" s="58" t="s">
        <v>256</v>
      </c>
      <c r="L34" s="58" t="s">
        <v>257</v>
      </c>
      <c r="M34" s="58" t="s">
        <v>259</v>
      </c>
      <c r="N34" s="59"/>
      <c r="O34" s="59"/>
      <c r="P34" s="59"/>
      <c r="Q34" s="60">
        <v>46347.0</v>
      </c>
      <c r="R34" s="61"/>
      <c r="S34" s="71"/>
      <c r="T34" s="71"/>
      <c r="U34" s="71"/>
      <c r="V34" s="71"/>
      <c r="W34" s="71"/>
      <c r="X34" s="71"/>
      <c r="Y34" s="71"/>
      <c r="Z34" s="71"/>
    </row>
    <row r="35" ht="15.75" customHeight="1">
      <c r="A35" s="33" t="s">
        <v>254</v>
      </c>
      <c r="B35" s="33" t="s">
        <v>255</v>
      </c>
      <c r="C35" s="33" t="s">
        <v>121</v>
      </c>
      <c r="D35" s="96">
        <v>1.0</v>
      </c>
      <c r="E35" s="43">
        <v>1.0</v>
      </c>
      <c r="F35" s="35">
        <f t="shared" si="1"/>
        <v>0</v>
      </c>
      <c r="G35" s="37"/>
      <c r="H35" s="37">
        <v>290000.0</v>
      </c>
      <c r="I35" s="40">
        <f t="shared" si="2"/>
        <v>290000</v>
      </c>
      <c r="J35" s="64" t="s">
        <v>154</v>
      </c>
      <c r="K35" s="43" t="s">
        <v>256</v>
      </c>
      <c r="L35" s="43" t="s">
        <v>257</v>
      </c>
      <c r="M35" s="43" t="s">
        <v>259</v>
      </c>
      <c r="N35" s="44"/>
      <c r="O35" s="44"/>
      <c r="P35" s="44"/>
      <c r="Q35" s="47">
        <v>46347.0</v>
      </c>
      <c r="R35" s="66"/>
      <c r="S35" s="71"/>
      <c r="T35" s="71"/>
      <c r="U35" s="71"/>
      <c r="V35" s="71"/>
      <c r="W35" s="71"/>
      <c r="X35" s="71"/>
      <c r="Y35" s="71"/>
      <c r="Z35" s="71"/>
    </row>
    <row r="36" ht="15.75" customHeight="1">
      <c r="A36" s="49" t="s">
        <v>254</v>
      </c>
      <c r="B36" s="49" t="s">
        <v>255</v>
      </c>
      <c r="C36" s="49" t="s">
        <v>121</v>
      </c>
      <c r="D36" s="106">
        <v>1.0</v>
      </c>
      <c r="E36" s="106">
        <v>1.0</v>
      </c>
      <c r="F36" s="52">
        <f t="shared" si="1"/>
        <v>0</v>
      </c>
      <c r="G36" s="53"/>
      <c r="H36" s="53">
        <v>290000.0</v>
      </c>
      <c r="I36" s="54">
        <f t="shared" si="2"/>
        <v>290000</v>
      </c>
      <c r="J36" s="55" t="s">
        <v>221</v>
      </c>
      <c r="K36" s="58" t="s">
        <v>256</v>
      </c>
      <c r="L36" s="58" t="s">
        <v>257</v>
      </c>
      <c r="M36" s="58" t="s">
        <v>259</v>
      </c>
      <c r="N36" s="59"/>
      <c r="O36" s="59"/>
      <c r="P36" s="59"/>
      <c r="Q36" s="60">
        <v>46347.0</v>
      </c>
      <c r="R36" s="61"/>
      <c r="S36" s="71"/>
      <c r="T36" s="71"/>
      <c r="U36" s="71"/>
      <c r="V36" s="71"/>
      <c r="W36" s="71"/>
      <c r="X36" s="71"/>
      <c r="Y36" s="71"/>
      <c r="Z36" s="71"/>
    </row>
    <row r="37" ht="15.75" customHeight="1">
      <c r="A37" s="33" t="s">
        <v>254</v>
      </c>
      <c r="B37" s="33" t="s">
        <v>255</v>
      </c>
      <c r="C37" s="33" t="s">
        <v>121</v>
      </c>
      <c r="D37" s="96">
        <v>1.0</v>
      </c>
      <c r="E37" s="43">
        <v>0.0</v>
      </c>
      <c r="F37" s="35">
        <f t="shared" si="1"/>
        <v>1</v>
      </c>
      <c r="G37" s="37"/>
      <c r="H37" s="37">
        <v>290000.0</v>
      </c>
      <c r="I37" s="40">
        <f t="shared" si="2"/>
        <v>290000</v>
      </c>
      <c r="J37" s="64" t="s">
        <v>188</v>
      </c>
      <c r="K37" s="43" t="s">
        <v>256</v>
      </c>
      <c r="L37" s="43" t="s">
        <v>257</v>
      </c>
      <c r="M37" s="43" t="s">
        <v>259</v>
      </c>
      <c r="N37" s="109"/>
      <c r="O37" s="109"/>
      <c r="P37" s="109"/>
      <c r="Q37" s="47">
        <v>46347.0</v>
      </c>
      <c r="R37" s="66"/>
      <c r="S37" s="71"/>
      <c r="T37" s="71"/>
      <c r="U37" s="71"/>
      <c r="V37" s="71"/>
      <c r="W37" s="71"/>
      <c r="X37" s="71"/>
      <c r="Y37" s="71"/>
      <c r="Z37" s="71"/>
    </row>
    <row r="38" ht="15.75" customHeight="1">
      <c r="A38" s="49" t="s">
        <v>254</v>
      </c>
      <c r="B38" s="49" t="s">
        <v>255</v>
      </c>
      <c r="C38" s="49" t="s">
        <v>121</v>
      </c>
      <c r="D38" s="106">
        <v>1.0</v>
      </c>
      <c r="E38" s="111">
        <v>1.0</v>
      </c>
      <c r="F38" s="52">
        <f t="shared" si="1"/>
        <v>0</v>
      </c>
      <c r="G38" s="53"/>
      <c r="H38" s="53">
        <v>290000.0</v>
      </c>
      <c r="I38" s="54">
        <f t="shared" si="2"/>
        <v>290000</v>
      </c>
      <c r="J38" s="55" t="s">
        <v>160</v>
      </c>
      <c r="K38" s="58" t="s">
        <v>256</v>
      </c>
      <c r="L38" s="58" t="s">
        <v>257</v>
      </c>
      <c r="M38" s="58" t="s">
        <v>258</v>
      </c>
      <c r="N38" s="59"/>
      <c r="O38" s="59"/>
      <c r="P38" s="59"/>
      <c r="Q38" s="60">
        <v>46347.0</v>
      </c>
      <c r="R38" s="61"/>
      <c r="S38" s="71"/>
      <c r="T38" s="71"/>
      <c r="U38" s="71"/>
      <c r="V38" s="71"/>
      <c r="W38" s="71"/>
      <c r="X38" s="71"/>
      <c r="Y38" s="71"/>
      <c r="Z38" s="71"/>
    </row>
    <row r="39" ht="15.75" customHeight="1">
      <c r="A39" s="33" t="s">
        <v>254</v>
      </c>
      <c r="B39" s="33" t="s">
        <v>255</v>
      </c>
      <c r="C39" s="33" t="s">
        <v>121</v>
      </c>
      <c r="D39" s="96">
        <v>1.0</v>
      </c>
      <c r="E39" s="43">
        <v>1.0</v>
      </c>
      <c r="F39" s="35">
        <f t="shared" si="1"/>
        <v>0</v>
      </c>
      <c r="G39" s="37"/>
      <c r="H39" s="37">
        <v>290000.0</v>
      </c>
      <c r="I39" s="40">
        <f t="shared" si="2"/>
        <v>290000</v>
      </c>
      <c r="J39" s="68" t="s">
        <v>197</v>
      </c>
      <c r="K39" s="43" t="s">
        <v>256</v>
      </c>
      <c r="L39" s="43" t="s">
        <v>257</v>
      </c>
      <c r="M39" s="43" t="s">
        <v>259</v>
      </c>
      <c r="N39" s="44"/>
      <c r="O39" s="44"/>
      <c r="P39" s="44"/>
      <c r="Q39" s="47">
        <v>46347.0</v>
      </c>
      <c r="R39" s="66"/>
      <c r="S39" s="14"/>
      <c r="T39" s="14"/>
      <c r="U39" s="14"/>
      <c r="V39" s="14"/>
      <c r="W39" s="14"/>
      <c r="X39" s="14"/>
      <c r="Y39" s="14"/>
      <c r="Z39" s="14"/>
    </row>
    <row r="40" ht="15.75" customHeight="1">
      <c r="A40" s="49" t="s">
        <v>254</v>
      </c>
      <c r="B40" s="49" t="s">
        <v>255</v>
      </c>
      <c r="C40" s="49" t="s">
        <v>121</v>
      </c>
      <c r="D40" s="106">
        <v>1.0</v>
      </c>
      <c r="E40" s="111">
        <v>1.0</v>
      </c>
      <c r="F40" s="52">
        <f t="shared" si="1"/>
        <v>0</v>
      </c>
      <c r="G40" s="53"/>
      <c r="H40" s="53">
        <v>290000.0</v>
      </c>
      <c r="I40" s="54">
        <f t="shared" si="2"/>
        <v>290000</v>
      </c>
      <c r="J40" s="55" t="s">
        <v>178</v>
      </c>
      <c r="K40" s="58" t="s">
        <v>256</v>
      </c>
      <c r="L40" s="58" t="s">
        <v>257</v>
      </c>
      <c r="M40" s="58" t="s">
        <v>259</v>
      </c>
      <c r="N40" s="113"/>
      <c r="O40" s="113"/>
      <c r="P40" s="113"/>
      <c r="Q40" s="60">
        <v>46347.0</v>
      </c>
      <c r="R40" s="61"/>
      <c r="S40" s="14"/>
      <c r="T40" s="14"/>
      <c r="U40" s="14"/>
      <c r="V40" s="14"/>
      <c r="W40" s="14"/>
      <c r="X40" s="14"/>
      <c r="Y40" s="14"/>
      <c r="Z40" s="14"/>
    </row>
    <row r="41" ht="35.25" customHeight="1">
      <c r="A41" s="33" t="s">
        <v>254</v>
      </c>
      <c r="B41" s="33" t="s">
        <v>255</v>
      </c>
      <c r="C41" s="33" t="s">
        <v>121</v>
      </c>
      <c r="D41" s="96">
        <v>1.0</v>
      </c>
      <c r="E41" s="43">
        <v>0.0</v>
      </c>
      <c r="F41" s="35">
        <f t="shared" si="1"/>
        <v>1</v>
      </c>
      <c r="G41" s="37"/>
      <c r="H41" s="37">
        <v>290000.0</v>
      </c>
      <c r="I41" s="40">
        <f t="shared" si="2"/>
        <v>290000</v>
      </c>
      <c r="J41" s="64" t="s">
        <v>189</v>
      </c>
      <c r="K41" s="43" t="s">
        <v>256</v>
      </c>
      <c r="L41" s="43" t="s">
        <v>257</v>
      </c>
      <c r="M41" s="43" t="s">
        <v>259</v>
      </c>
      <c r="N41" s="44"/>
      <c r="O41" s="44"/>
      <c r="P41" s="44"/>
      <c r="Q41" s="47">
        <v>46347.0</v>
      </c>
      <c r="R41" s="66"/>
      <c r="S41" s="14"/>
      <c r="T41" s="14"/>
      <c r="U41" s="14"/>
      <c r="V41" s="14"/>
      <c r="W41" s="14"/>
      <c r="X41" s="14"/>
      <c r="Y41" s="14"/>
      <c r="Z41" s="14"/>
    </row>
    <row r="42" ht="15.75" customHeight="1">
      <c r="A42" s="49" t="s">
        <v>254</v>
      </c>
      <c r="B42" s="49" t="s">
        <v>255</v>
      </c>
      <c r="C42" s="49" t="s">
        <v>121</v>
      </c>
      <c r="D42" s="106">
        <v>1.0</v>
      </c>
      <c r="E42" s="58">
        <v>0.0</v>
      </c>
      <c r="F42" s="52">
        <f t="shared" si="1"/>
        <v>1</v>
      </c>
      <c r="G42" s="53"/>
      <c r="H42" s="53">
        <v>290000.0</v>
      </c>
      <c r="I42" s="54">
        <f t="shared" si="2"/>
        <v>290000</v>
      </c>
      <c r="J42" s="55" t="s">
        <v>192</v>
      </c>
      <c r="K42" s="58" t="s">
        <v>281</v>
      </c>
      <c r="L42" s="58" t="s">
        <v>257</v>
      </c>
      <c r="M42" s="58" t="s">
        <v>259</v>
      </c>
      <c r="N42" s="59"/>
      <c r="O42" s="59"/>
      <c r="P42" s="59"/>
      <c r="Q42" s="60">
        <v>46347.0</v>
      </c>
      <c r="R42" s="61"/>
      <c r="S42" s="14"/>
      <c r="T42" s="14"/>
      <c r="U42" s="14"/>
      <c r="V42" s="14"/>
      <c r="W42" s="14"/>
      <c r="X42" s="14"/>
      <c r="Y42" s="14"/>
      <c r="Z42" s="14"/>
    </row>
    <row r="43" ht="15.75" customHeight="1">
      <c r="A43" s="33" t="s">
        <v>254</v>
      </c>
      <c r="B43" s="33" t="s">
        <v>255</v>
      </c>
      <c r="C43" s="33" t="s">
        <v>121</v>
      </c>
      <c r="D43" s="96">
        <v>1.0</v>
      </c>
      <c r="E43" s="96">
        <v>1.0</v>
      </c>
      <c r="F43" s="35">
        <f t="shared" si="1"/>
        <v>0</v>
      </c>
      <c r="G43" s="37"/>
      <c r="H43" s="37">
        <v>290000.0</v>
      </c>
      <c r="I43" s="40">
        <f t="shared" si="2"/>
        <v>290000</v>
      </c>
      <c r="J43" s="64" t="s">
        <v>210</v>
      </c>
      <c r="K43" s="43" t="s">
        <v>256</v>
      </c>
      <c r="L43" s="43" t="s">
        <v>257</v>
      </c>
      <c r="M43" s="43" t="s">
        <v>259</v>
      </c>
      <c r="N43" s="44"/>
      <c r="O43" s="44"/>
      <c r="P43" s="44"/>
      <c r="Q43" s="47">
        <v>46347.0</v>
      </c>
      <c r="R43" s="66"/>
      <c r="S43" s="14"/>
      <c r="T43" s="14"/>
      <c r="U43" s="14"/>
      <c r="V43" s="14"/>
      <c r="W43" s="14"/>
      <c r="X43" s="14"/>
      <c r="Y43" s="14"/>
      <c r="Z43" s="14"/>
    </row>
    <row r="44" ht="15.75" customHeight="1">
      <c r="A44" s="49" t="s">
        <v>254</v>
      </c>
      <c r="B44" s="49" t="s">
        <v>255</v>
      </c>
      <c r="C44" s="49" t="s">
        <v>121</v>
      </c>
      <c r="D44" s="106">
        <v>1.0</v>
      </c>
      <c r="E44" s="111">
        <v>1.0</v>
      </c>
      <c r="F44" s="52">
        <f t="shared" si="1"/>
        <v>0</v>
      </c>
      <c r="G44" s="53"/>
      <c r="H44" s="53">
        <v>290000.0</v>
      </c>
      <c r="I44" s="54">
        <f t="shared" si="2"/>
        <v>290000</v>
      </c>
      <c r="J44" s="55" t="s">
        <v>214</v>
      </c>
      <c r="K44" s="58" t="s">
        <v>256</v>
      </c>
      <c r="L44" s="58" t="s">
        <v>257</v>
      </c>
      <c r="M44" s="58" t="s">
        <v>259</v>
      </c>
      <c r="N44" s="59"/>
      <c r="O44" s="59"/>
      <c r="P44" s="59"/>
      <c r="Q44" s="60">
        <v>46347.0</v>
      </c>
      <c r="R44" s="61"/>
      <c r="S44" s="71"/>
      <c r="T44" s="71"/>
      <c r="U44" s="71"/>
      <c r="V44" s="71"/>
      <c r="W44" s="71"/>
      <c r="X44" s="71"/>
      <c r="Y44" s="71"/>
      <c r="Z44" s="71"/>
    </row>
    <row r="45" ht="15.75" customHeight="1">
      <c r="A45" s="33" t="s">
        <v>254</v>
      </c>
      <c r="B45" s="33" t="s">
        <v>255</v>
      </c>
      <c r="C45" s="33" t="s">
        <v>121</v>
      </c>
      <c r="D45" s="116">
        <v>1.0</v>
      </c>
      <c r="E45" s="43">
        <v>0.0</v>
      </c>
      <c r="F45" s="35">
        <f t="shared" si="1"/>
        <v>1</v>
      </c>
      <c r="G45" s="37"/>
      <c r="H45" s="37">
        <v>290000.0</v>
      </c>
      <c r="I45" s="40">
        <f t="shared" si="2"/>
        <v>290000</v>
      </c>
      <c r="J45" s="118" t="s">
        <v>282</v>
      </c>
      <c r="K45" s="43" t="s">
        <v>256</v>
      </c>
      <c r="L45" s="43" t="s">
        <v>257</v>
      </c>
      <c r="M45" s="43" t="s">
        <v>259</v>
      </c>
      <c r="N45" s="44"/>
      <c r="O45" s="44"/>
      <c r="P45" s="44"/>
      <c r="Q45" s="47">
        <v>46347.0</v>
      </c>
      <c r="R45" s="66"/>
      <c r="S45" s="71"/>
      <c r="T45" s="71"/>
      <c r="U45" s="71"/>
      <c r="V45" s="71"/>
      <c r="W45" s="71"/>
      <c r="X45" s="71"/>
      <c r="Y45" s="71"/>
      <c r="Z45" s="71"/>
    </row>
    <row r="46" ht="15.75" customHeight="1">
      <c r="A46" s="49">
        <v>5.0</v>
      </c>
      <c r="B46" s="49" t="s">
        <v>283</v>
      </c>
      <c r="C46" s="49" t="s">
        <v>198</v>
      </c>
      <c r="D46" s="55">
        <v>1.0</v>
      </c>
      <c r="E46" s="58">
        <v>0.0</v>
      </c>
      <c r="F46" s="52">
        <f t="shared" si="1"/>
        <v>1</v>
      </c>
      <c r="G46" s="54"/>
      <c r="H46" s="54"/>
      <c r="I46" s="54">
        <f t="shared" si="2"/>
        <v>0</v>
      </c>
      <c r="J46" s="55" t="s">
        <v>58</v>
      </c>
      <c r="K46" s="58"/>
      <c r="L46" s="58"/>
      <c r="M46" s="58"/>
      <c r="N46" s="59"/>
      <c r="O46" s="59"/>
      <c r="P46" s="59"/>
      <c r="Q46" s="59"/>
      <c r="R46" s="61"/>
      <c r="S46" s="71"/>
      <c r="T46" s="71"/>
      <c r="U46" s="71"/>
      <c r="V46" s="71"/>
      <c r="W46" s="71"/>
      <c r="X46" s="71"/>
      <c r="Y46" s="71"/>
      <c r="Z46" s="71"/>
    </row>
    <row r="47" ht="15.75" customHeight="1">
      <c r="A47" s="33">
        <v>5.0</v>
      </c>
      <c r="B47" s="33" t="s">
        <v>283</v>
      </c>
      <c r="C47" s="33" t="s">
        <v>198</v>
      </c>
      <c r="D47" s="64">
        <v>1.0</v>
      </c>
      <c r="E47" s="43">
        <v>0.0</v>
      </c>
      <c r="F47" s="35">
        <f t="shared" si="1"/>
        <v>1</v>
      </c>
      <c r="G47" s="40"/>
      <c r="H47" s="40"/>
      <c r="I47" s="40">
        <f t="shared" si="2"/>
        <v>0</v>
      </c>
      <c r="J47" s="64" t="s">
        <v>103</v>
      </c>
      <c r="K47" s="44"/>
      <c r="L47" s="43"/>
      <c r="M47" s="43"/>
      <c r="N47" s="44"/>
      <c r="O47" s="44"/>
      <c r="P47" s="44"/>
      <c r="Q47" s="119"/>
      <c r="R47" s="66"/>
      <c r="S47" s="14"/>
      <c r="T47" s="14"/>
      <c r="U47" s="14"/>
      <c r="V47" s="14"/>
      <c r="W47" s="14"/>
      <c r="X47" s="14"/>
      <c r="Y47" s="14"/>
      <c r="Z47" s="14"/>
    </row>
    <row r="48" ht="15.75" customHeight="1">
      <c r="A48" s="49">
        <v>5.0</v>
      </c>
      <c r="B48" s="49" t="s">
        <v>283</v>
      </c>
      <c r="C48" s="49" t="s">
        <v>198</v>
      </c>
      <c r="D48" s="55">
        <v>1.0</v>
      </c>
      <c r="E48" s="58">
        <v>0.0</v>
      </c>
      <c r="F48" s="52">
        <f t="shared" si="1"/>
        <v>1</v>
      </c>
      <c r="G48" s="54"/>
      <c r="H48" s="54"/>
      <c r="I48" s="54">
        <f t="shared" si="2"/>
        <v>0</v>
      </c>
      <c r="J48" s="55" t="s">
        <v>142</v>
      </c>
      <c r="K48" s="59"/>
      <c r="L48" s="58"/>
      <c r="M48" s="58"/>
      <c r="N48" s="59"/>
      <c r="O48" s="59"/>
      <c r="P48" s="59"/>
      <c r="Q48" s="120"/>
      <c r="R48" s="61"/>
      <c r="S48" s="14"/>
      <c r="T48" s="14"/>
      <c r="U48" s="14"/>
      <c r="V48" s="14"/>
      <c r="W48" s="14"/>
      <c r="X48" s="14"/>
      <c r="Y48" s="14"/>
      <c r="Z48" s="14"/>
    </row>
    <row r="49" ht="15.75" customHeight="1">
      <c r="A49" s="33">
        <v>5.0</v>
      </c>
      <c r="B49" s="33" t="s">
        <v>283</v>
      </c>
      <c r="C49" s="33" t="s">
        <v>198</v>
      </c>
      <c r="D49" s="64">
        <v>1.0</v>
      </c>
      <c r="E49" s="43">
        <v>0.0</v>
      </c>
      <c r="F49" s="35">
        <f t="shared" si="1"/>
        <v>1</v>
      </c>
      <c r="G49" s="40"/>
      <c r="H49" s="40"/>
      <c r="I49" s="40">
        <f t="shared" si="2"/>
        <v>0</v>
      </c>
      <c r="J49" s="64" t="s">
        <v>228</v>
      </c>
      <c r="K49" s="44"/>
      <c r="L49" s="43"/>
      <c r="M49" s="43"/>
      <c r="N49" s="43"/>
      <c r="O49" s="43"/>
      <c r="P49" s="44"/>
      <c r="Q49" s="119"/>
      <c r="R49" s="44"/>
      <c r="S49" s="14"/>
      <c r="T49" s="14"/>
      <c r="U49" s="14"/>
      <c r="V49" s="14"/>
      <c r="W49" s="14"/>
      <c r="X49" s="14"/>
      <c r="Y49" s="14"/>
      <c r="Z49" s="14"/>
    </row>
    <row r="50" ht="15.75" customHeight="1">
      <c r="A50" s="49">
        <v>5.0</v>
      </c>
      <c r="B50" s="49" t="s">
        <v>283</v>
      </c>
      <c r="C50" s="49" t="s">
        <v>198</v>
      </c>
      <c r="D50" s="55">
        <v>1.0</v>
      </c>
      <c r="E50" s="58">
        <v>0.0</v>
      </c>
      <c r="F50" s="52">
        <f t="shared" si="1"/>
        <v>1</v>
      </c>
      <c r="G50" s="54"/>
      <c r="H50" s="54"/>
      <c r="I50" s="54">
        <f t="shared" si="2"/>
        <v>0</v>
      </c>
      <c r="J50" s="55" t="s">
        <v>111</v>
      </c>
      <c r="K50" s="59"/>
      <c r="L50" s="58"/>
      <c r="M50" s="58"/>
      <c r="N50" s="58"/>
      <c r="O50" s="58"/>
      <c r="P50" s="59"/>
      <c r="Q50" s="120"/>
      <c r="R50" s="61"/>
      <c r="S50" s="14"/>
      <c r="T50" s="14"/>
      <c r="U50" s="14"/>
      <c r="V50" s="14"/>
      <c r="W50" s="14"/>
      <c r="X50" s="14"/>
      <c r="Y50" s="14"/>
      <c r="Z50" s="14"/>
    </row>
    <row r="51" ht="15.75" customHeight="1">
      <c r="A51" s="33">
        <v>5.0</v>
      </c>
      <c r="B51" s="33" t="s">
        <v>283</v>
      </c>
      <c r="C51" s="33" t="s">
        <v>198</v>
      </c>
      <c r="D51" s="64">
        <v>1.0</v>
      </c>
      <c r="E51" s="43">
        <v>0.0</v>
      </c>
      <c r="F51" s="35">
        <f t="shared" si="1"/>
        <v>1</v>
      </c>
      <c r="G51" s="40"/>
      <c r="H51" s="40"/>
      <c r="I51" s="40">
        <f t="shared" si="2"/>
        <v>0</v>
      </c>
      <c r="J51" s="64" t="s">
        <v>160</v>
      </c>
      <c r="K51" s="44"/>
      <c r="L51" s="43"/>
      <c r="M51" s="43"/>
      <c r="N51" s="43"/>
      <c r="O51" s="43"/>
      <c r="P51" s="44"/>
      <c r="Q51" s="119"/>
      <c r="R51" s="66"/>
      <c r="S51" s="14"/>
      <c r="T51" s="14"/>
      <c r="U51" s="14"/>
      <c r="V51" s="14"/>
      <c r="W51" s="14"/>
      <c r="X51" s="14"/>
      <c r="Y51" s="14"/>
      <c r="Z51" s="14"/>
    </row>
    <row r="52" ht="15.75" customHeight="1">
      <c r="A52" s="49">
        <v>5.0</v>
      </c>
      <c r="B52" s="49" t="s">
        <v>283</v>
      </c>
      <c r="C52" s="49" t="s">
        <v>198</v>
      </c>
      <c r="D52" s="55">
        <v>1.0</v>
      </c>
      <c r="E52" s="58">
        <v>0.0</v>
      </c>
      <c r="F52" s="52">
        <f t="shared" si="1"/>
        <v>1</v>
      </c>
      <c r="G52" s="54"/>
      <c r="H52" s="54"/>
      <c r="I52" s="54">
        <f t="shared" si="2"/>
        <v>0</v>
      </c>
      <c r="J52" s="55" t="s">
        <v>189</v>
      </c>
      <c r="K52" s="59"/>
      <c r="L52" s="58"/>
      <c r="M52" s="58"/>
      <c r="N52" s="58"/>
      <c r="O52" s="58"/>
      <c r="P52" s="59"/>
      <c r="Q52" s="120"/>
      <c r="R52" s="61"/>
      <c r="S52" s="14"/>
      <c r="T52" s="14"/>
      <c r="U52" s="14"/>
      <c r="V52" s="14"/>
      <c r="W52" s="14"/>
      <c r="X52" s="14"/>
      <c r="Y52" s="14"/>
      <c r="Z52" s="14"/>
    </row>
    <row r="53" ht="15.75" customHeight="1">
      <c r="A53" s="33">
        <v>5.0</v>
      </c>
      <c r="B53" s="33" t="s">
        <v>283</v>
      </c>
      <c r="C53" s="33" t="s">
        <v>198</v>
      </c>
      <c r="D53" s="64">
        <v>1.0</v>
      </c>
      <c r="E53" s="43">
        <v>0.0</v>
      </c>
      <c r="F53" s="35">
        <f t="shared" si="1"/>
        <v>1</v>
      </c>
      <c r="G53" s="40"/>
      <c r="H53" s="40"/>
      <c r="I53" s="40">
        <f t="shared" si="2"/>
        <v>0</v>
      </c>
      <c r="J53" s="64" t="s">
        <v>192</v>
      </c>
      <c r="K53" s="44"/>
      <c r="L53" s="43"/>
      <c r="M53" s="43"/>
      <c r="N53" s="43"/>
      <c r="O53" s="43"/>
      <c r="P53" s="44"/>
      <c r="Q53" s="119"/>
      <c r="R53" s="66"/>
      <c r="S53" s="14"/>
      <c r="T53" s="14"/>
      <c r="U53" s="14"/>
      <c r="V53" s="14"/>
      <c r="W53" s="14"/>
      <c r="X53" s="14"/>
      <c r="Y53" s="14"/>
      <c r="Z53" s="14"/>
    </row>
    <row r="54" ht="15.75" customHeight="1">
      <c r="A54" s="49">
        <v>5.0</v>
      </c>
      <c r="B54" s="49" t="s">
        <v>283</v>
      </c>
      <c r="C54" s="49" t="s">
        <v>198</v>
      </c>
      <c r="D54" s="55">
        <v>1.0</v>
      </c>
      <c r="E54" s="58">
        <v>0.0</v>
      </c>
      <c r="F54" s="52">
        <f t="shared" si="1"/>
        <v>1</v>
      </c>
      <c r="G54" s="54"/>
      <c r="H54" s="54"/>
      <c r="I54" s="54">
        <f t="shared" si="2"/>
        <v>0</v>
      </c>
      <c r="J54" s="55" t="s">
        <v>304</v>
      </c>
      <c r="K54" s="59"/>
      <c r="L54" s="58"/>
      <c r="M54" s="58"/>
      <c r="N54" s="58"/>
      <c r="O54" s="58"/>
      <c r="P54" s="59"/>
      <c r="Q54" s="120"/>
      <c r="R54" s="61"/>
      <c r="S54" s="14"/>
      <c r="T54" s="14"/>
      <c r="U54" s="14"/>
      <c r="V54" s="14"/>
      <c r="W54" s="14"/>
      <c r="X54" s="14"/>
      <c r="Y54" s="14"/>
      <c r="Z54" s="14"/>
    </row>
    <row r="55" ht="15.75" customHeight="1">
      <c r="A55" s="33">
        <v>5.0</v>
      </c>
      <c r="B55" s="33" t="s">
        <v>283</v>
      </c>
      <c r="C55" s="33" t="s">
        <v>198</v>
      </c>
      <c r="D55" s="64">
        <v>1.0</v>
      </c>
      <c r="E55" s="43">
        <v>0.0</v>
      </c>
      <c r="F55" s="35">
        <f t="shared" si="1"/>
        <v>1</v>
      </c>
      <c r="G55" s="40"/>
      <c r="H55" s="40"/>
      <c r="I55" s="40">
        <f t="shared" si="2"/>
        <v>0</v>
      </c>
      <c r="J55" s="64" t="s">
        <v>214</v>
      </c>
      <c r="K55" s="44"/>
      <c r="L55" s="43"/>
      <c r="M55" s="43"/>
      <c r="N55" s="43"/>
      <c r="O55" s="43"/>
      <c r="P55" s="44"/>
      <c r="Q55" s="119"/>
      <c r="R55" s="66"/>
      <c r="S55" s="14"/>
      <c r="T55" s="14"/>
      <c r="U55" s="14"/>
      <c r="V55" s="14"/>
      <c r="W55" s="14"/>
      <c r="X55" s="14"/>
      <c r="Y55" s="14"/>
      <c r="Z55" s="14"/>
    </row>
    <row r="56" ht="15.75" customHeight="1">
      <c r="A56" s="49" t="s">
        <v>307</v>
      </c>
      <c r="B56" s="49" t="s">
        <v>308</v>
      </c>
      <c r="C56" s="49" t="s">
        <v>224</v>
      </c>
      <c r="D56" s="55">
        <v>1.0</v>
      </c>
      <c r="E56" s="58">
        <v>1.0</v>
      </c>
      <c r="F56" s="52">
        <f t="shared" si="1"/>
        <v>0</v>
      </c>
      <c r="G56" s="53"/>
      <c r="H56" s="53">
        <v>117110.0</v>
      </c>
      <c r="I56" s="54">
        <f t="shared" si="2"/>
        <v>117110</v>
      </c>
      <c r="J56" s="55" t="s">
        <v>58</v>
      </c>
      <c r="K56" s="58" t="s">
        <v>311</v>
      </c>
      <c r="L56" s="58" t="s">
        <v>312</v>
      </c>
      <c r="M56" s="58" t="s">
        <v>313</v>
      </c>
      <c r="N56" s="58" t="s">
        <v>314</v>
      </c>
      <c r="O56" s="58" t="s">
        <v>315</v>
      </c>
      <c r="P56" s="59"/>
      <c r="Q56" s="60">
        <v>46353.0</v>
      </c>
      <c r="R56" s="61"/>
      <c r="S56" s="14"/>
      <c r="T56" s="14"/>
      <c r="U56" s="14"/>
      <c r="V56" s="14"/>
      <c r="W56" s="14"/>
      <c r="X56" s="14"/>
      <c r="Y56" s="14"/>
      <c r="Z56" s="14"/>
    </row>
    <row r="57" ht="15.75" customHeight="1">
      <c r="A57" s="33" t="s">
        <v>307</v>
      </c>
      <c r="B57" s="33" t="s">
        <v>308</v>
      </c>
      <c r="C57" s="33" t="s">
        <v>224</v>
      </c>
      <c r="D57" s="64">
        <v>1.0</v>
      </c>
      <c r="E57" s="43">
        <v>1.0</v>
      </c>
      <c r="F57" s="35">
        <f t="shared" si="1"/>
        <v>0</v>
      </c>
      <c r="G57" s="37"/>
      <c r="H57" s="37">
        <v>117110.0</v>
      </c>
      <c r="I57" s="40">
        <f t="shared" si="2"/>
        <v>117110</v>
      </c>
      <c r="J57" s="64" t="s">
        <v>85</v>
      </c>
      <c r="K57" s="43" t="s">
        <v>311</v>
      </c>
      <c r="L57" s="43" t="s">
        <v>312</v>
      </c>
      <c r="M57" s="43" t="s">
        <v>313</v>
      </c>
      <c r="N57" s="43" t="s">
        <v>314</v>
      </c>
      <c r="O57" s="43" t="s">
        <v>315</v>
      </c>
      <c r="P57" s="44"/>
      <c r="Q57" s="47">
        <v>46353.0</v>
      </c>
      <c r="R57" s="66"/>
      <c r="S57" s="14"/>
      <c r="T57" s="14"/>
      <c r="U57" s="14"/>
      <c r="V57" s="14"/>
      <c r="W57" s="14"/>
      <c r="X57" s="14"/>
      <c r="Y57" s="14"/>
      <c r="Z57" s="14"/>
    </row>
    <row r="58" ht="15.75" customHeight="1">
      <c r="A58" s="49" t="s">
        <v>307</v>
      </c>
      <c r="B58" s="49" t="s">
        <v>308</v>
      </c>
      <c r="C58" s="49" t="s">
        <v>224</v>
      </c>
      <c r="D58" s="55">
        <v>1.0</v>
      </c>
      <c r="E58" s="58">
        <v>1.0</v>
      </c>
      <c r="F58" s="52">
        <f t="shared" si="1"/>
        <v>0</v>
      </c>
      <c r="G58" s="53"/>
      <c r="H58" s="53">
        <v>117110.0</v>
      </c>
      <c r="I58" s="54">
        <f t="shared" si="2"/>
        <v>117110</v>
      </c>
      <c r="J58" s="55" t="s">
        <v>103</v>
      </c>
      <c r="K58" s="58" t="s">
        <v>311</v>
      </c>
      <c r="L58" s="58" t="s">
        <v>312</v>
      </c>
      <c r="M58" s="58" t="s">
        <v>313</v>
      </c>
      <c r="N58" s="58" t="s">
        <v>314</v>
      </c>
      <c r="O58" s="58" t="s">
        <v>315</v>
      </c>
      <c r="P58" s="113"/>
      <c r="Q58" s="60">
        <v>46353.0</v>
      </c>
      <c r="R58" s="61"/>
      <c r="S58" s="14"/>
      <c r="T58" s="14"/>
      <c r="U58" s="14"/>
      <c r="V58" s="14"/>
      <c r="W58" s="14"/>
      <c r="X58" s="14"/>
      <c r="Y58" s="14"/>
      <c r="Z58" s="14"/>
    </row>
    <row r="59" ht="15.75" customHeight="1">
      <c r="A59" s="33" t="s">
        <v>307</v>
      </c>
      <c r="B59" s="33" t="s">
        <v>308</v>
      </c>
      <c r="C59" s="33" t="s">
        <v>224</v>
      </c>
      <c r="D59" s="64">
        <v>1.0</v>
      </c>
      <c r="E59" s="43">
        <v>1.0</v>
      </c>
      <c r="F59" s="35">
        <f t="shared" si="1"/>
        <v>0</v>
      </c>
      <c r="G59" s="37"/>
      <c r="H59" s="37">
        <v>117110.0</v>
      </c>
      <c r="I59" s="40">
        <f t="shared" si="2"/>
        <v>117110</v>
      </c>
      <c r="J59" s="64" t="s">
        <v>134</v>
      </c>
      <c r="K59" s="43" t="s">
        <v>311</v>
      </c>
      <c r="L59" s="43" t="s">
        <v>312</v>
      </c>
      <c r="M59" s="43" t="s">
        <v>313</v>
      </c>
      <c r="N59" s="43" t="s">
        <v>314</v>
      </c>
      <c r="O59" s="43" t="s">
        <v>315</v>
      </c>
      <c r="P59" s="44"/>
      <c r="Q59" s="47">
        <v>46353.0</v>
      </c>
      <c r="R59" s="66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49" t="s">
        <v>307</v>
      </c>
      <c r="B60" s="49" t="s">
        <v>308</v>
      </c>
      <c r="C60" s="49" t="s">
        <v>224</v>
      </c>
      <c r="D60" s="55">
        <v>1.0</v>
      </c>
      <c r="E60" s="58">
        <v>1.0</v>
      </c>
      <c r="F60" s="52">
        <f t="shared" si="1"/>
        <v>0</v>
      </c>
      <c r="G60" s="53"/>
      <c r="H60" s="53">
        <v>117110.0</v>
      </c>
      <c r="I60" s="54">
        <f t="shared" si="2"/>
        <v>117110</v>
      </c>
      <c r="J60" s="55" t="s">
        <v>154</v>
      </c>
      <c r="K60" s="58" t="s">
        <v>311</v>
      </c>
      <c r="L60" s="58" t="s">
        <v>312</v>
      </c>
      <c r="M60" s="58" t="s">
        <v>313</v>
      </c>
      <c r="N60" s="58" t="s">
        <v>314</v>
      </c>
      <c r="O60" s="58" t="s">
        <v>315</v>
      </c>
      <c r="P60" s="59"/>
      <c r="Q60" s="60">
        <v>46353.0</v>
      </c>
      <c r="R60" s="61"/>
      <c r="S60" s="14"/>
      <c r="T60" s="14"/>
      <c r="U60" s="14"/>
      <c r="V60" s="14"/>
      <c r="W60" s="14"/>
      <c r="X60" s="14"/>
      <c r="Y60" s="14"/>
      <c r="Z60" s="14"/>
    </row>
    <row r="61" ht="15.75" customHeight="1">
      <c r="A61" s="33" t="s">
        <v>307</v>
      </c>
      <c r="B61" s="33" t="s">
        <v>308</v>
      </c>
      <c r="C61" s="33" t="s">
        <v>224</v>
      </c>
      <c r="D61" s="64">
        <v>1.0</v>
      </c>
      <c r="E61" s="43">
        <v>1.0</v>
      </c>
      <c r="F61" s="35">
        <f t="shared" si="1"/>
        <v>0</v>
      </c>
      <c r="G61" s="37"/>
      <c r="H61" s="37">
        <v>117110.0</v>
      </c>
      <c r="I61" s="40">
        <f t="shared" si="2"/>
        <v>117110</v>
      </c>
      <c r="J61" s="64" t="s">
        <v>231</v>
      </c>
      <c r="K61" s="43" t="s">
        <v>311</v>
      </c>
      <c r="L61" s="43" t="s">
        <v>312</v>
      </c>
      <c r="M61" s="43" t="s">
        <v>313</v>
      </c>
      <c r="N61" s="43" t="s">
        <v>314</v>
      </c>
      <c r="O61" s="43" t="s">
        <v>315</v>
      </c>
      <c r="P61" s="121"/>
      <c r="Q61" s="47">
        <v>46353.0</v>
      </c>
      <c r="R61" s="66"/>
      <c r="S61" s="14"/>
      <c r="T61" s="14"/>
      <c r="U61" s="14"/>
      <c r="V61" s="14"/>
      <c r="W61" s="14"/>
      <c r="X61" s="14"/>
      <c r="Y61" s="14"/>
      <c r="Z61" s="14"/>
    </row>
    <row r="62" ht="15.75" customHeight="1">
      <c r="A62" s="49" t="s">
        <v>307</v>
      </c>
      <c r="B62" s="49" t="s">
        <v>308</v>
      </c>
      <c r="C62" s="49" t="s">
        <v>224</v>
      </c>
      <c r="D62" s="55">
        <v>1.0</v>
      </c>
      <c r="E62" s="55">
        <v>1.0</v>
      </c>
      <c r="F62" s="52">
        <f t="shared" si="1"/>
        <v>0</v>
      </c>
      <c r="G62" s="53"/>
      <c r="H62" s="53">
        <v>117110.0</v>
      </c>
      <c r="I62" s="54">
        <f t="shared" si="2"/>
        <v>117110</v>
      </c>
      <c r="J62" s="55" t="s">
        <v>160</v>
      </c>
      <c r="K62" s="58" t="s">
        <v>318</v>
      </c>
      <c r="L62" s="58" t="s">
        <v>312</v>
      </c>
      <c r="M62" s="58" t="s">
        <v>313</v>
      </c>
      <c r="N62" s="58" t="s">
        <v>314</v>
      </c>
      <c r="O62" s="58" t="s">
        <v>315</v>
      </c>
      <c r="P62" s="59"/>
      <c r="Q62" s="60">
        <v>46353.0</v>
      </c>
      <c r="R62" s="61"/>
      <c r="S62" s="14"/>
      <c r="T62" s="14"/>
      <c r="U62" s="14"/>
      <c r="V62" s="14"/>
      <c r="W62" s="14"/>
      <c r="X62" s="14"/>
      <c r="Y62" s="14"/>
      <c r="Z62" s="14"/>
    </row>
    <row r="63" ht="15.75" customHeight="1">
      <c r="A63" s="33" t="s">
        <v>307</v>
      </c>
      <c r="B63" s="33" t="s">
        <v>308</v>
      </c>
      <c r="C63" s="33" t="s">
        <v>224</v>
      </c>
      <c r="D63" s="64">
        <v>1.0</v>
      </c>
      <c r="E63" s="43">
        <v>1.0</v>
      </c>
      <c r="F63" s="35">
        <f t="shared" si="1"/>
        <v>0</v>
      </c>
      <c r="G63" s="37"/>
      <c r="H63" s="37">
        <v>117110.0</v>
      </c>
      <c r="I63" s="40">
        <f t="shared" si="2"/>
        <v>117110</v>
      </c>
      <c r="J63" s="64" t="s">
        <v>210</v>
      </c>
      <c r="K63" s="43" t="s">
        <v>311</v>
      </c>
      <c r="L63" s="43" t="s">
        <v>312</v>
      </c>
      <c r="M63" s="43" t="s">
        <v>313</v>
      </c>
      <c r="N63" s="43" t="s">
        <v>314</v>
      </c>
      <c r="O63" s="43" t="s">
        <v>315</v>
      </c>
      <c r="P63" s="121"/>
      <c r="Q63" s="47">
        <v>46353.0</v>
      </c>
      <c r="R63" s="66"/>
      <c r="S63" s="14"/>
      <c r="T63" s="14"/>
      <c r="U63" s="14"/>
      <c r="V63" s="14"/>
      <c r="W63" s="14"/>
      <c r="X63" s="14"/>
      <c r="Y63" s="14"/>
      <c r="Z63" s="14"/>
    </row>
    <row r="64" ht="15.75" customHeight="1">
      <c r="A64" s="49" t="s">
        <v>307</v>
      </c>
      <c r="B64" s="49" t="s">
        <v>308</v>
      </c>
      <c r="C64" s="49" t="s">
        <v>224</v>
      </c>
      <c r="D64" s="55">
        <v>1.0</v>
      </c>
      <c r="E64" s="55">
        <v>1.0</v>
      </c>
      <c r="F64" s="52">
        <f t="shared" si="1"/>
        <v>0</v>
      </c>
      <c r="G64" s="53"/>
      <c r="H64" s="53">
        <v>117110.0</v>
      </c>
      <c r="I64" s="54">
        <f t="shared" si="2"/>
        <v>117110</v>
      </c>
      <c r="J64" s="55" t="s">
        <v>214</v>
      </c>
      <c r="K64" s="58" t="s">
        <v>311</v>
      </c>
      <c r="L64" s="58" t="s">
        <v>312</v>
      </c>
      <c r="M64" s="124" t="s">
        <v>313</v>
      </c>
      <c r="N64" s="58" t="s">
        <v>314</v>
      </c>
      <c r="O64" s="124" t="s">
        <v>315</v>
      </c>
      <c r="P64" s="126"/>
      <c r="Q64" s="60">
        <v>46353.0</v>
      </c>
      <c r="R64" s="128"/>
      <c r="S64" s="129"/>
      <c r="T64" s="129"/>
      <c r="U64" s="129"/>
      <c r="V64" s="129"/>
      <c r="W64" s="129"/>
      <c r="X64" s="129"/>
      <c r="Y64" s="129"/>
      <c r="Z64" s="129"/>
    </row>
    <row r="65" ht="15.75" customHeight="1">
      <c r="A65" s="33" t="s">
        <v>321</v>
      </c>
      <c r="B65" s="33" t="s">
        <v>322</v>
      </c>
      <c r="C65" s="33" t="s">
        <v>323</v>
      </c>
      <c r="D65" s="64">
        <v>1.0</v>
      </c>
      <c r="E65" s="131">
        <v>0.0</v>
      </c>
      <c r="F65" s="35">
        <f t="shared" si="1"/>
        <v>1</v>
      </c>
      <c r="G65" s="37"/>
      <c r="H65" s="37">
        <v>577000.0</v>
      </c>
      <c r="I65" s="40">
        <f t="shared" si="2"/>
        <v>577000</v>
      </c>
      <c r="J65" s="80" t="s">
        <v>160</v>
      </c>
      <c r="K65" s="43" t="s">
        <v>324</v>
      </c>
      <c r="L65" s="43" t="s">
        <v>325</v>
      </c>
      <c r="M65" s="43" t="s">
        <v>326</v>
      </c>
      <c r="N65" s="43"/>
      <c r="O65" s="43"/>
      <c r="P65" s="121"/>
      <c r="Q65" s="47">
        <v>46367.0</v>
      </c>
      <c r="R65" s="66"/>
      <c r="S65" s="14"/>
      <c r="T65" s="14"/>
      <c r="U65" s="14"/>
      <c r="V65" s="14"/>
      <c r="W65" s="14"/>
      <c r="X65" s="14"/>
      <c r="Y65" s="14"/>
      <c r="Z65" s="14"/>
    </row>
    <row r="66" ht="15.75" customHeight="1">
      <c r="A66" s="132" t="s">
        <v>321</v>
      </c>
      <c r="B66" s="49" t="s">
        <v>322</v>
      </c>
      <c r="C66" s="49" t="s">
        <v>323</v>
      </c>
      <c r="D66" s="55">
        <v>1.0</v>
      </c>
      <c r="E66" s="131">
        <v>0.0</v>
      </c>
      <c r="F66" s="52">
        <f t="shared" si="1"/>
        <v>1</v>
      </c>
      <c r="G66" s="134"/>
      <c r="H66" s="134">
        <v>577000.0</v>
      </c>
      <c r="I66" s="54">
        <f t="shared" si="2"/>
        <v>577000</v>
      </c>
      <c r="J66" s="93" t="s">
        <v>192</v>
      </c>
      <c r="K66" s="136" t="s">
        <v>328</v>
      </c>
      <c r="L66" s="136" t="s">
        <v>329</v>
      </c>
      <c r="M66" s="136" t="s">
        <v>326</v>
      </c>
      <c r="N66" s="126"/>
      <c r="O66" s="126"/>
      <c r="P66" s="126"/>
      <c r="Q66" s="60">
        <v>46367.0</v>
      </c>
      <c r="R66" s="128"/>
      <c r="S66" s="137"/>
      <c r="T66" s="137"/>
      <c r="U66" s="137"/>
      <c r="V66" s="137"/>
      <c r="W66" s="137"/>
      <c r="X66" s="137"/>
      <c r="Y66" s="137"/>
      <c r="Z66" s="137"/>
    </row>
    <row r="67" ht="15.75" customHeight="1">
      <c r="A67" s="33" t="s">
        <v>331</v>
      </c>
      <c r="B67" s="33" t="s">
        <v>332</v>
      </c>
      <c r="C67" s="33" t="s">
        <v>251</v>
      </c>
      <c r="D67" s="64">
        <v>1.0</v>
      </c>
      <c r="E67" s="43">
        <v>1.0</v>
      </c>
      <c r="F67" s="35">
        <f t="shared" si="1"/>
        <v>0</v>
      </c>
      <c r="G67" s="37"/>
      <c r="H67" s="37">
        <v>93500.0</v>
      </c>
      <c r="I67" s="40">
        <f t="shared" si="2"/>
        <v>93500</v>
      </c>
      <c r="J67" s="68" t="s">
        <v>85</v>
      </c>
      <c r="K67" s="43" t="s">
        <v>333</v>
      </c>
      <c r="L67" s="138" t="s">
        <v>334</v>
      </c>
      <c r="M67" s="138" t="s">
        <v>335</v>
      </c>
      <c r="N67" s="43"/>
      <c r="O67" s="43"/>
      <c r="P67" s="121"/>
      <c r="Q67" s="47">
        <v>46365.0</v>
      </c>
      <c r="R67" s="66"/>
      <c r="S67" s="14"/>
      <c r="T67" s="14"/>
      <c r="U67" s="14"/>
      <c r="V67" s="14"/>
      <c r="W67" s="14"/>
      <c r="X67" s="14"/>
      <c r="Y67" s="14"/>
      <c r="Z67" s="14"/>
    </row>
    <row r="68" ht="15.75" customHeight="1">
      <c r="A68" s="49" t="s">
        <v>331</v>
      </c>
      <c r="B68" s="49" t="s">
        <v>332</v>
      </c>
      <c r="C68" s="49" t="s">
        <v>251</v>
      </c>
      <c r="D68" s="55">
        <v>1.0</v>
      </c>
      <c r="E68" s="58">
        <v>1.0</v>
      </c>
      <c r="F68" s="52">
        <f t="shared" si="1"/>
        <v>0</v>
      </c>
      <c r="G68" s="53"/>
      <c r="H68" s="53">
        <v>93500.0</v>
      </c>
      <c r="I68" s="54">
        <f t="shared" si="2"/>
        <v>93500</v>
      </c>
      <c r="J68" s="62" t="s">
        <v>134</v>
      </c>
      <c r="K68" s="58" t="s">
        <v>333</v>
      </c>
      <c r="L68" s="136" t="s">
        <v>334</v>
      </c>
      <c r="M68" s="136" t="s">
        <v>336</v>
      </c>
      <c r="N68" s="126"/>
      <c r="O68" s="126"/>
      <c r="P68" s="126"/>
      <c r="Q68" s="60">
        <v>46365.0</v>
      </c>
      <c r="R68" s="128"/>
      <c r="S68" s="137"/>
      <c r="T68" s="137"/>
      <c r="U68" s="137"/>
      <c r="V68" s="137"/>
      <c r="W68" s="137"/>
      <c r="X68" s="137"/>
      <c r="Y68" s="137"/>
      <c r="Z68" s="137"/>
    </row>
    <row r="69" ht="15.75" customHeight="1">
      <c r="A69" s="33" t="s">
        <v>331</v>
      </c>
      <c r="B69" s="33" t="s">
        <v>332</v>
      </c>
      <c r="C69" s="33" t="s">
        <v>251</v>
      </c>
      <c r="D69" s="64">
        <v>1.0</v>
      </c>
      <c r="E69" s="111">
        <v>0.0</v>
      </c>
      <c r="F69" s="35">
        <f t="shared" si="1"/>
        <v>1</v>
      </c>
      <c r="G69" s="37"/>
      <c r="H69" s="37">
        <v>93500.0</v>
      </c>
      <c r="I69" s="40">
        <f t="shared" si="2"/>
        <v>93500</v>
      </c>
      <c r="J69" s="64" t="s">
        <v>337</v>
      </c>
      <c r="K69" s="43" t="s">
        <v>333</v>
      </c>
      <c r="L69" s="138" t="s">
        <v>334</v>
      </c>
      <c r="M69" s="138" t="s">
        <v>336</v>
      </c>
      <c r="N69" s="43"/>
      <c r="O69" s="43"/>
      <c r="P69" s="121"/>
      <c r="Q69" s="47">
        <v>46365.0</v>
      </c>
      <c r="R69" s="66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49" t="s">
        <v>331</v>
      </c>
      <c r="B70" s="49" t="s">
        <v>332</v>
      </c>
      <c r="C70" s="49" t="s">
        <v>251</v>
      </c>
      <c r="D70" s="55">
        <v>1.0</v>
      </c>
      <c r="E70" s="58">
        <v>1.0</v>
      </c>
      <c r="F70" s="52">
        <f t="shared" si="1"/>
        <v>0</v>
      </c>
      <c r="G70" s="53"/>
      <c r="H70" s="53">
        <v>93500.0</v>
      </c>
      <c r="I70" s="54">
        <f t="shared" si="2"/>
        <v>93500</v>
      </c>
      <c r="J70" s="55" t="s">
        <v>160</v>
      </c>
      <c r="K70" s="58" t="s">
        <v>333</v>
      </c>
      <c r="L70" s="136" t="s">
        <v>334</v>
      </c>
      <c r="M70" s="136" t="s">
        <v>336</v>
      </c>
      <c r="N70" s="126"/>
      <c r="O70" s="126"/>
      <c r="P70" s="126"/>
      <c r="Q70" s="60">
        <v>46365.0</v>
      </c>
      <c r="R70" s="128"/>
      <c r="S70" s="137"/>
      <c r="T70" s="137"/>
      <c r="U70" s="137"/>
      <c r="V70" s="137"/>
      <c r="W70" s="137"/>
      <c r="X70" s="137"/>
      <c r="Y70" s="137"/>
      <c r="Z70" s="137"/>
    </row>
    <row r="71" ht="15.75" customHeight="1">
      <c r="A71" s="33" t="s">
        <v>331</v>
      </c>
      <c r="B71" s="33" t="s">
        <v>332</v>
      </c>
      <c r="C71" s="33" t="s">
        <v>251</v>
      </c>
      <c r="D71" s="64">
        <v>1.0</v>
      </c>
      <c r="E71" s="43">
        <v>1.0</v>
      </c>
      <c r="F71" s="35">
        <f t="shared" si="1"/>
        <v>0</v>
      </c>
      <c r="G71" s="37"/>
      <c r="H71" s="37">
        <v>93500.0</v>
      </c>
      <c r="I71" s="40">
        <f t="shared" si="2"/>
        <v>93500</v>
      </c>
      <c r="J71" s="68" t="s">
        <v>196</v>
      </c>
      <c r="K71" s="43" t="s">
        <v>333</v>
      </c>
      <c r="L71" s="138" t="s">
        <v>334</v>
      </c>
      <c r="M71" s="138" t="s">
        <v>336</v>
      </c>
      <c r="N71" s="43"/>
      <c r="O71" s="43"/>
      <c r="P71" s="121"/>
      <c r="Q71" s="47">
        <v>46365.0</v>
      </c>
      <c r="R71" s="66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49" t="s">
        <v>331</v>
      </c>
      <c r="B72" s="49" t="s">
        <v>332</v>
      </c>
      <c r="C72" s="49" t="s">
        <v>251</v>
      </c>
      <c r="D72" s="55">
        <v>1.0</v>
      </c>
      <c r="E72" s="111">
        <v>0.0</v>
      </c>
      <c r="F72" s="52">
        <f t="shared" si="1"/>
        <v>1</v>
      </c>
      <c r="G72" s="53"/>
      <c r="H72" s="53">
        <v>93500.0</v>
      </c>
      <c r="I72" s="54">
        <f t="shared" si="2"/>
        <v>93500</v>
      </c>
      <c r="J72" s="62" t="s">
        <v>304</v>
      </c>
      <c r="K72" s="58" t="s">
        <v>333</v>
      </c>
      <c r="L72" s="136" t="s">
        <v>334</v>
      </c>
      <c r="M72" s="136" t="s">
        <v>336</v>
      </c>
      <c r="N72" s="126"/>
      <c r="O72" s="126"/>
      <c r="P72" s="126"/>
      <c r="Q72" s="60">
        <v>46365.0</v>
      </c>
      <c r="R72" s="128"/>
      <c r="S72" s="137"/>
      <c r="T72" s="137"/>
      <c r="U72" s="137"/>
      <c r="V72" s="137"/>
      <c r="W72" s="137"/>
      <c r="X72" s="137"/>
      <c r="Y72" s="137"/>
      <c r="Z72" s="137"/>
    </row>
    <row r="73" ht="15.75" customHeight="1">
      <c r="A73" s="33" t="s">
        <v>331</v>
      </c>
      <c r="B73" s="33" t="s">
        <v>332</v>
      </c>
      <c r="C73" s="33" t="s">
        <v>251</v>
      </c>
      <c r="D73" s="64">
        <v>1.0</v>
      </c>
      <c r="E73" s="43">
        <v>1.0</v>
      </c>
      <c r="F73" s="35">
        <f t="shared" si="1"/>
        <v>0</v>
      </c>
      <c r="G73" s="37"/>
      <c r="H73" s="37">
        <v>93500.0</v>
      </c>
      <c r="I73" s="40">
        <f t="shared" si="2"/>
        <v>93500</v>
      </c>
      <c r="J73" s="64" t="s">
        <v>272</v>
      </c>
      <c r="K73" s="43" t="s">
        <v>333</v>
      </c>
      <c r="L73" s="138" t="s">
        <v>334</v>
      </c>
      <c r="M73" s="138" t="s">
        <v>336</v>
      </c>
      <c r="N73" s="44"/>
      <c r="O73" s="44"/>
      <c r="P73" s="44"/>
      <c r="Q73" s="47">
        <v>46365.0</v>
      </c>
      <c r="R73" s="98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49" t="s">
        <v>331</v>
      </c>
      <c r="B74" s="49" t="s">
        <v>332</v>
      </c>
      <c r="C74" s="49" t="s">
        <v>251</v>
      </c>
      <c r="D74" s="55">
        <v>1.0</v>
      </c>
      <c r="E74" s="111">
        <v>0.0</v>
      </c>
      <c r="F74" s="52">
        <f t="shared" si="1"/>
        <v>1</v>
      </c>
      <c r="G74" s="53"/>
      <c r="H74" s="53">
        <v>93500.0</v>
      </c>
      <c r="I74" s="54">
        <f t="shared" si="2"/>
        <v>93500</v>
      </c>
      <c r="J74" s="55" t="s">
        <v>210</v>
      </c>
      <c r="K74" s="58" t="s">
        <v>333</v>
      </c>
      <c r="L74" s="136" t="s">
        <v>334</v>
      </c>
      <c r="M74" s="136" t="s">
        <v>336</v>
      </c>
      <c r="N74" s="59"/>
      <c r="O74" s="59"/>
      <c r="P74" s="59"/>
      <c r="Q74" s="60">
        <v>46365.0</v>
      </c>
      <c r="R74" s="99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33" t="s">
        <v>331</v>
      </c>
      <c r="B75" s="33" t="s">
        <v>332</v>
      </c>
      <c r="C75" s="33" t="s">
        <v>251</v>
      </c>
      <c r="D75" s="64">
        <v>1.0</v>
      </c>
      <c r="E75" s="111">
        <v>0.0</v>
      </c>
      <c r="F75" s="35">
        <f t="shared" si="1"/>
        <v>1</v>
      </c>
      <c r="G75" s="37"/>
      <c r="H75" s="37">
        <v>93500.0</v>
      </c>
      <c r="I75" s="40">
        <f t="shared" si="2"/>
        <v>93500</v>
      </c>
      <c r="J75" s="64" t="s">
        <v>214</v>
      </c>
      <c r="K75" s="43" t="s">
        <v>333</v>
      </c>
      <c r="L75" s="138" t="s">
        <v>334</v>
      </c>
      <c r="M75" s="138" t="s">
        <v>336</v>
      </c>
      <c r="N75" s="44"/>
      <c r="O75" s="44"/>
      <c r="P75" s="44"/>
      <c r="Q75" s="47">
        <v>46365.0</v>
      </c>
      <c r="R75" s="98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49" t="s">
        <v>338</v>
      </c>
      <c r="B76" s="49" t="s">
        <v>339</v>
      </c>
      <c r="C76" s="49" t="s">
        <v>340</v>
      </c>
      <c r="D76" s="93">
        <v>2.0</v>
      </c>
      <c r="E76" s="93">
        <v>2.0</v>
      </c>
      <c r="F76" s="52">
        <f t="shared" si="1"/>
        <v>0</v>
      </c>
      <c r="G76" s="53"/>
      <c r="H76" s="53">
        <v>214988.0</v>
      </c>
      <c r="I76" s="54">
        <f t="shared" si="2"/>
        <v>429976</v>
      </c>
      <c r="J76" s="93" t="s">
        <v>341</v>
      </c>
      <c r="K76" s="58" t="s">
        <v>342</v>
      </c>
      <c r="L76" s="58" t="s">
        <v>343</v>
      </c>
      <c r="M76" s="58" t="s">
        <v>344</v>
      </c>
      <c r="N76" s="58" t="s">
        <v>345</v>
      </c>
      <c r="O76" s="58" t="s">
        <v>346</v>
      </c>
      <c r="P76" s="59"/>
      <c r="Q76" s="139">
        <v>46393.0</v>
      </c>
      <c r="R76" s="99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33" t="s">
        <v>338</v>
      </c>
      <c r="B77" s="33" t="s">
        <v>339</v>
      </c>
      <c r="C77" s="33" t="s">
        <v>340</v>
      </c>
      <c r="D77" s="64">
        <v>1.0</v>
      </c>
      <c r="E77" s="43">
        <v>1.0</v>
      </c>
      <c r="F77" s="35">
        <f t="shared" si="1"/>
        <v>0</v>
      </c>
      <c r="G77" s="37"/>
      <c r="H77" s="37">
        <v>214988.0</v>
      </c>
      <c r="I77" s="40">
        <f t="shared" si="2"/>
        <v>214988</v>
      </c>
      <c r="J77" s="64" t="s">
        <v>103</v>
      </c>
      <c r="K77" s="43" t="s">
        <v>342</v>
      </c>
      <c r="L77" s="43" t="s">
        <v>348</v>
      </c>
      <c r="M77" s="43" t="s">
        <v>349</v>
      </c>
      <c r="N77" s="43" t="s">
        <v>345</v>
      </c>
      <c r="O77" s="43" t="s">
        <v>346</v>
      </c>
      <c r="P77" s="44"/>
      <c r="Q77" s="140">
        <v>46393.0</v>
      </c>
      <c r="R77" s="98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49" t="s">
        <v>338</v>
      </c>
      <c r="B78" s="49" t="s">
        <v>339</v>
      </c>
      <c r="C78" s="49" t="s">
        <v>340</v>
      </c>
      <c r="D78" s="55">
        <v>1.0</v>
      </c>
      <c r="E78" s="43">
        <v>1.0</v>
      </c>
      <c r="F78" s="52">
        <f t="shared" si="1"/>
        <v>0</v>
      </c>
      <c r="G78" s="53"/>
      <c r="H78" s="53">
        <v>214988.0</v>
      </c>
      <c r="I78" s="54">
        <f t="shared" si="2"/>
        <v>214988</v>
      </c>
      <c r="J78" s="141" t="s">
        <v>85</v>
      </c>
      <c r="K78" s="58" t="s">
        <v>342</v>
      </c>
      <c r="L78" s="58" t="s">
        <v>348</v>
      </c>
      <c r="M78" s="58" t="s">
        <v>349</v>
      </c>
      <c r="N78" s="58" t="s">
        <v>345</v>
      </c>
      <c r="O78" s="58" t="s">
        <v>346</v>
      </c>
      <c r="P78" s="59"/>
      <c r="Q78" s="139">
        <v>46393.0</v>
      </c>
      <c r="R78" s="99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33" t="s">
        <v>338</v>
      </c>
      <c r="B79" s="33" t="s">
        <v>339</v>
      </c>
      <c r="C79" s="33" t="s">
        <v>340</v>
      </c>
      <c r="D79" s="64">
        <v>1.0</v>
      </c>
      <c r="E79" s="43">
        <v>1.0</v>
      </c>
      <c r="F79" s="35">
        <f t="shared" si="1"/>
        <v>0</v>
      </c>
      <c r="G79" s="37"/>
      <c r="H79" s="37">
        <v>214988.0</v>
      </c>
      <c r="I79" s="40">
        <f t="shared" si="2"/>
        <v>214988</v>
      </c>
      <c r="J79" s="64" t="s">
        <v>286</v>
      </c>
      <c r="K79" s="43" t="s">
        <v>342</v>
      </c>
      <c r="L79" s="43" t="s">
        <v>348</v>
      </c>
      <c r="M79" s="43" t="s">
        <v>349</v>
      </c>
      <c r="N79" s="43" t="s">
        <v>345</v>
      </c>
      <c r="O79" s="43" t="s">
        <v>346</v>
      </c>
      <c r="P79" s="44"/>
      <c r="Q79" s="140">
        <v>46393.0</v>
      </c>
      <c r="R79" s="98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49" t="s">
        <v>338</v>
      </c>
      <c r="B80" s="49" t="s">
        <v>339</v>
      </c>
      <c r="C80" s="49" t="s">
        <v>340</v>
      </c>
      <c r="D80" s="55">
        <v>1.0</v>
      </c>
      <c r="E80" s="43">
        <v>1.0</v>
      </c>
      <c r="F80" s="52">
        <f t="shared" si="1"/>
        <v>0</v>
      </c>
      <c r="G80" s="53"/>
      <c r="H80" s="53">
        <v>214988.0</v>
      </c>
      <c r="I80" s="54">
        <f t="shared" si="2"/>
        <v>214988</v>
      </c>
      <c r="J80" s="55" t="s">
        <v>142</v>
      </c>
      <c r="K80" s="58" t="s">
        <v>342</v>
      </c>
      <c r="L80" s="58" t="s">
        <v>343</v>
      </c>
      <c r="M80" s="58" t="s">
        <v>344</v>
      </c>
      <c r="N80" s="58" t="s">
        <v>345</v>
      </c>
      <c r="O80" s="58" t="s">
        <v>346</v>
      </c>
      <c r="P80" s="59"/>
      <c r="Q80" s="139">
        <v>46393.0</v>
      </c>
      <c r="R80" s="99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33" t="s">
        <v>338</v>
      </c>
      <c r="B81" s="33" t="s">
        <v>339</v>
      </c>
      <c r="C81" s="33" t="s">
        <v>340</v>
      </c>
      <c r="D81" s="64">
        <v>1.0</v>
      </c>
      <c r="E81" s="43">
        <v>1.0</v>
      </c>
      <c r="F81" s="35">
        <f t="shared" si="1"/>
        <v>0</v>
      </c>
      <c r="G81" s="37"/>
      <c r="H81" s="37">
        <v>214988.0</v>
      </c>
      <c r="I81" s="40">
        <f t="shared" si="2"/>
        <v>214988</v>
      </c>
      <c r="J81" s="64" t="s">
        <v>161</v>
      </c>
      <c r="K81" s="43" t="s">
        <v>342</v>
      </c>
      <c r="L81" s="43" t="s">
        <v>348</v>
      </c>
      <c r="M81" s="43" t="s">
        <v>349</v>
      </c>
      <c r="N81" s="43" t="s">
        <v>345</v>
      </c>
      <c r="O81" s="43" t="s">
        <v>346</v>
      </c>
      <c r="P81" s="44"/>
      <c r="Q81" s="140">
        <v>46393.0</v>
      </c>
      <c r="R81" s="98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49" t="s">
        <v>338</v>
      </c>
      <c r="B82" s="49" t="s">
        <v>339</v>
      </c>
      <c r="C82" s="49" t="s">
        <v>340</v>
      </c>
      <c r="D82" s="55">
        <v>1.0</v>
      </c>
      <c r="E82" s="43">
        <v>1.0</v>
      </c>
      <c r="F82" s="52">
        <f t="shared" si="1"/>
        <v>0</v>
      </c>
      <c r="G82" s="53"/>
      <c r="H82" s="53">
        <v>214988.0</v>
      </c>
      <c r="I82" s="54">
        <f t="shared" si="2"/>
        <v>214988</v>
      </c>
      <c r="J82" s="141" t="s">
        <v>117</v>
      </c>
      <c r="K82" s="58" t="s">
        <v>342</v>
      </c>
      <c r="L82" s="58" t="s">
        <v>348</v>
      </c>
      <c r="M82" s="58" t="s">
        <v>349</v>
      </c>
      <c r="N82" s="58" t="s">
        <v>345</v>
      </c>
      <c r="O82" s="58" t="s">
        <v>346</v>
      </c>
      <c r="P82" s="59"/>
      <c r="Q82" s="139">
        <v>46393.0</v>
      </c>
      <c r="R82" s="99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33" t="s">
        <v>338</v>
      </c>
      <c r="B83" s="33" t="s">
        <v>339</v>
      </c>
      <c r="C83" s="33" t="s">
        <v>340</v>
      </c>
      <c r="D83" s="64">
        <v>1.0</v>
      </c>
      <c r="E83" s="142">
        <v>1.0</v>
      </c>
      <c r="F83" s="35">
        <f t="shared" si="1"/>
        <v>0</v>
      </c>
      <c r="G83" s="37"/>
      <c r="H83" s="37">
        <v>214988.0</v>
      </c>
      <c r="I83" s="40">
        <f t="shared" si="2"/>
        <v>214988</v>
      </c>
      <c r="J83" s="143" t="s">
        <v>154</v>
      </c>
      <c r="K83" s="43" t="s">
        <v>342</v>
      </c>
      <c r="L83" s="43" t="s">
        <v>348</v>
      </c>
      <c r="M83" s="43" t="s">
        <v>349</v>
      </c>
      <c r="N83" s="43" t="s">
        <v>345</v>
      </c>
      <c r="O83" s="43" t="s">
        <v>346</v>
      </c>
      <c r="P83" s="44"/>
      <c r="Q83" s="140">
        <v>46393.0</v>
      </c>
      <c r="R83" s="98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49" t="s">
        <v>338</v>
      </c>
      <c r="B84" s="49" t="s">
        <v>339</v>
      </c>
      <c r="C84" s="49" t="s">
        <v>340</v>
      </c>
      <c r="D84" s="55">
        <v>2.0</v>
      </c>
      <c r="E84" s="142">
        <v>2.0</v>
      </c>
      <c r="F84" s="52">
        <f t="shared" si="1"/>
        <v>0</v>
      </c>
      <c r="G84" s="53"/>
      <c r="H84" s="53">
        <v>214988.0</v>
      </c>
      <c r="I84" s="54">
        <f t="shared" si="2"/>
        <v>429976</v>
      </c>
      <c r="J84" s="55" t="s">
        <v>178</v>
      </c>
      <c r="K84" s="58" t="s">
        <v>342</v>
      </c>
      <c r="L84" s="58" t="s">
        <v>348</v>
      </c>
      <c r="M84" s="58" t="s">
        <v>349</v>
      </c>
      <c r="N84" s="58" t="s">
        <v>345</v>
      </c>
      <c r="O84" s="58" t="s">
        <v>346</v>
      </c>
      <c r="P84" s="59"/>
      <c r="Q84" s="139">
        <v>46393.0</v>
      </c>
      <c r="R84" s="99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33" t="s">
        <v>338</v>
      </c>
      <c r="B85" s="33" t="s">
        <v>339</v>
      </c>
      <c r="C85" s="33" t="s">
        <v>340</v>
      </c>
      <c r="D85" s="64">
        <v>1.0</v>
      </c>
      <c r="E85" s="43">
        <v>1.0</v>
      </c>
      <c r="F85" s="35">
        <f t="shared" si="1"/>
        <v>0</v>
      </c>
      <c r="G85" s="37"/>
      <c r="H85" s="37">
        <v>214988.0</v>
      </c>
      <c r="I85" s="40">
        <f t="shared" si="2"/>
        <v>214988</v>
      </c>
      <c r="J85" s="143" t="s">
        <v>160</v>
      </c>
      <c r="K85" s="43" t="s">
        <v>342</v>
      </c>
      <c r="L85" s="43" t="s">
        <v>348</v>
      </c>
      <c r="M85" s="43" t="s">
        <v>349</v>
      </c>
      <c r="N85" s="43" t="s">
        <v>345</v>
      </c>
      <c r="O85" s="43" t="s">
        <v>346</v>
      </c>
      <c r="P85" s="44"/>
      <c r="Q85" s="140">
        <v>46393.0</v>
      </c>
      <c r="R85" s="98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49" t="s">
        <v>338</v>
      </c>
      <c r="B86" s="49" t="s">
        <v>339</v>
      </c>
      <c r="C86" s="49" t="s">
        <v>340</v>
      </c>
      <c r="D86" s="55">
        <v>1.0</v>
      </c>
      <c r="E86" s="43">
        <v>1.0</v>
      </c>
      <c r="F86" s="52">
        <f t="shared" si="1"/>
        <v>0</v>
      </c>
      <c r="G86" s="53"/>
      <c r="H86" s="53">
        <v>214988.0</v>
      </c>
      <c r="I86" s="54">
        <f t="shared" si="2"/>
        <v>214988</v>
      </c>
      <c r="J86" s="55" t="s">
        <v>272</v>
      </c>
      <c r="K86" s="58" t="s">
        <v>342</v>
      </c>
      <c r="L86" s="58" t="s">
        <v>348</v>
      </c>
      <c r="M86" s="58" t="s">
        <v>349</v>
      </c>
      <c r="N86" s="58" t="s">
        <v>345</v>
      </c>
      <c r="O86" s="58" t="s">
        <v>346</v>
      </c>
      <c r="P86" s="59"/>
      <c r="Q86" s="139">
        <v>46393.0</v>
      </c>
      <c r="R86" s="99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33" t="s">
        <v>338</v>
      </c>
      <c r="B87" s="33" t="s">
        <v>339</v>
      </c>
      <c r="C87" s="33" t="s">
        <v>340</v>
      </c>
      <c r="D87" s="64">
        <v>1.0</v>
      </c>
      <c r="E87" s="142">
        <v>1.0</v>
      </c>
      <c r="F87" s="35">
        <f t="shared" si="1"/>
        <v>0</v>
      </c>
      <c r="G87" s="37"/>
      <c r="H87" s="37">
        <v>214988.0</v>
      </c>
      <c r="I87" s="40">
        <f t="shared" si="2"/>
        <v>214988</v>
      </c>
      <c r="J87" s="143" t="s">
        <v>189</v>
      </c>
      <c r="K87" s="43" t="s">
        <v>342</v>
      </c>
      <c r="L87" s="43" t="s">
        <v>348</v>
      </c>
      <c r="M87" s="43" t="s">
        <v>349</v>
      </c>
      <c r="N87" s="43" t="s">
        <v>345</v>
      </c>
      <c r="O87" s="43" t="s">
        <v>346</v>
      </c>
      <c r="P87" s="44"/>
      <c r="Q87" s="140">
        <v>46393.0</v>
      </c>
      <c r="R87" s="98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49" t="s">
        <v>338</v>
      </c>
      <c r="B88" s="49" t="s">
        <v>339</v>
      </c>
      <c r="C88" s="49" t="s">
        <v>340</v>
      </c>
      <c r="D88" s="55">
        <v>1.0</v>
      </c>
      <c r="E88" s="142">
        <v>1.0</v>
      </c>
      <c r="F88" s="52">
        <f t="shared" si="1"/>
        <v>0</v>
      </c>
      <c r="G88" s="53"/>
      <c r="H88" s="53">
        <v>214988.0</v>
      </c>
      <c r="I88" s="54">
        <f t="shared" si="2"/>
        <v>214988</v>
      </c>
      <c r="J88" s="55" t="s">
        <v>210</v>
      </c>
      <c r="K88" s="58" t="s">
        <v>342</v>
      </c>
      <c r="L88" s="58" t="s">
        <v>348</v>
      </c>
      <c r="M88" s="58" t="s">
        <v>349</v>
      </c>
      <c r="N88" s="58" t="s">
        <v>345</v>
      </c>
      <c r="O88" s="58" t="s">
        <v>346</v>
      </c>
      <c r="P88" s="113"/>
      <c r="Q88" s="139">
        <v>46393.0</v>
      </c>
      <c r="R88" s="99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33" t="s">
        <v>338</v>
      </c>
      <c r="B89" s="33" t="s">
        <v>339</v>
      </c>
      <c r="C89" s="33" t="s">
        <v>340</v>
      </c>
      <c r="D89" s="64">
        <v>1.0</v>
      </c>
      <c r="E89" s="43">
        <v>1.0</v>
      </c>
      <c r="F89" s="35">
        <f t="shared" si="1"/>
        <v>0</v>
      </c>
      <c r="G89" s="37"/>
      <c r="H89" s="37">
        <v>214988.0</v>
      </c>
      <c r="I89" s="40">
        <f t="shared" si="2"/>
        <v>214988</v>
      </c>
      <c r="J89" s="64" t="s">
        <v>214</v>
      </c>
      <c r="K89" s="43" t="s">
        <v>342</v>
      </c>
      <c r="L89" s="43" t="s">
        <v>348</v>
      </c>
      <c r="M89" s="43" t="s">
        <v>349</v>
      </c>
      <c r="N89" s="43" t="s">
        <v>345</v>
      </c>
      <c r="O89" s="43" t="s">
        <v>346</v>
      </c>
      <c r="P89" s="44"/>
      <c r="Q89" s="140">
        <v>46393.0</v>
      </c>
      <c r="R89" s="66"/>
      <c r="S89" s="71"/>
      <c r="T89" s="71"/>
      <c r="U89" s="71"/>
      <c r="V89" s="71"/>
      <c r="W89" s="71"/>
      <c r="X89" s="71"/>
      <c r="Y89" s="71"/>
      <c r="Z89" s="71"/>
    </row>
    <row r="90" ht="15.75" customHeight="1">
      <c r="A90" s="49">
        <v>10.0</v>
      </c>
      <c r="B90" s="93" t="s">
        <v>350</v>
      </c>
      <c r="C90" s="144" t="s">
        <v>275</v>
      </c>
      <c r="D90" s="49">
        <v>1.0</v>
      </c>
      <c r="E90" s="58">
        <v>0.0</v>
      </c>
      <c r="F90" s="52">
        <f t="shared" si="1"/>
        <v>1</v>
      </c>
      <c r="G90" s="54"/>
      <c r="H90" s="54"/>
      <c r="I90" s="54">
        <f t="shared" si="2"/>
        <v>0</v>
      </c>
      <c r="J90" s="93" t="s">
        <v>154</v>
      </c>
      <c r="K90" s="59"/>
      <c r="L90" s="59"/>
      <c r="M90" s="59"/>
      <c r="N90" s="59"/>
      <c r="O90" s="59"/>
      <c r="P90" s="59"/>
      <c r="Q90" s="59"/>
      <c r="R90" s="61"/>
      <c r="S90" s="71"/>
      <c r="T90" s="71"/>
      <c r="U90" s="71"/>
      <c r="V90" s="71"/>
      <c r="W90" s="71"/>
      <c r="X90" s="71"/>
      <c r="Y90" s="71"/>
      <c r="Z90" s="71"/>
    </row>
    <row r="91" ht="15.75" customHeight="1">
      <c r="A91" s="33" t="s">
        <v>351</v>
      </c>
      <c r="B91" s="33" t="s">
        <v>352</v>
      </c>
      <c r="C91" s="33" t="s">
        <v>278</v>
      </c>
      <c r="D91" s="64">
        <v>2.0</v>
      </c>
      <c r="E91" s="111">
        <v>2.0</v>
      </c>
      <c r="F91" s="104">
        <f t="shared" si="1"/>
        <v>0</v>
      </c>
      <c r="G91" s="37"/>
      <c r="H91" s="37">
        <v>19700.0</v>
      </c>
      <c r="I91" s="40">
        <f t="shared" si="2"/>
        <v>39400</v>
      </c>
      <c r="J91" s="64" t="s">
        <v>117</v>
      </c>
      <c r="K91" s="43" t="s">
        <v>353</v>
      </c>
      <c r="L91" s="43" t="s">
        <v>354</v>
      </c>
      <c r="M91" s="43" t="s">
        <v>355</v>
      </c>
      <c r="N91" s="43" t="s">
        <v>356</v>
      </c>
      <c r="O91" s="43" t="s">
        <v>357</v>
      </c>
      <c r="P91" s="44"/>
      <c r="Q91" s="47">
        <v>46354.0</v>
      </c>
      <c r="R91" s="66"/>
      <c r="S91" s="71"/>
      <c r="T91" s="71"/>
      <c r="U91" s="71"/>
      <c r="V91" s="71"/>
      <c r="W91" s="71"/>
      <c r="X91" s="71"/>
      <c r="Y91" s="71"/>
      <c r="Z91" s="71"/>
    </row>
    <row r="92" ht="15.75" customHeight="1">
      <c r="A92" s="49" t="s">
        <v>351</v>
      </c>
      <c r="B92" s="49" t="s">
        <v>352</v>
      </c>
      <c r="C92" s="49" t="s">
        <v>278</v>
      </c>
      <c r="D92" s="55">
        <v>1.0</v>
      </c>
      <c r="E92" s="111">
        <v>1.0</v>
      </c>
      <c r="F92" s="52">
        <f t="shared" si="1"/>
        <v>0</v>
      </c>
      <c r="G92" s="53"/>
      <c r="H92" s="53">
        <v>19700.0</v>
      </c>
      <c r="I92" s="54">
        <f t="shared" si="2"/>
        <v>19700</v>
      </c>
      <c r="J92" s="55" t="s">
        <v>286</v>
      </c>
      <c r="K92" s="58" t="s">
        <v>353</v>
      </c>
      <c r="L92" s="58" t="s">
        <v>358</v>
      </c>
      <c r="M92" s="58" t="s">
        <v>355</v>
      </c>
      <c r="N92" s="58" t="s">
        <v>356</v>
      </c>
      <c r="O92" s="58" t="s">
        <v>357</v>
      </c>
      <c r="P92" s="59"/>
      <c r="Q92" s="60">
        <v>46354.0</v>
      </c>
      <c r="R92" s="61"/>
      <c r="S92" s="71"/>
      <c r="T92" s="71"/>
      <c r="U92" s="71"/>
      <c r="V92" s="71"/>
      <c r="W92" s="71"/>
      <c r="X92" s="71"/>
      <c r="Y92" s="71"/>
      <c r="Z92" s="71"/>
    </row>
    <row r="93" ht="15.75" customHeight="1">
      <c r="A93" s="33" t="s">
        <v>351</v>
      </c>
      <c r="B93" s="33" t="s">
        <v>352</v>
      </c>
      <c r="C93" s="33" t="s">
        <v>278</v>
      </c>
      <c r="D93" s="64">
        <v>1.0</v>
      </c>
      <c r="E93" s="111">
        <v>1.0</v>
      </c>
      <c r="F93" s="35">
        <f t="shared" si="1"/>
        <v>0</v>
      </c>
      <c r="G93" s="37"/>
      <c r="H93" s="37">
        <v>19700.0</v>
      </c>
      <c r="I93" s="40">
        <f t="shared" si="2"/>
        <v>19700</v>
      </c>
      <c r="J93" s="64" t="s">
        <v>161</v>
      </c>
      <c r="K93" s="43" t="s">
        <v>353</v>
      </c>
      <c r="L93" s="43" t="s">
        <v>354</v>
      </c>
      <c r="M93" s="43" t="s">
        <v>362</v>
      </c>
      <c r="N93" s="43" t="s">
        <v>356</v>
      </c>
      <c r="O93" s="43" t="s">
        <v>357</v>
      </c>
      <c r="P93" s="44"/>
      <c r="Q93" s="47">
        <v>46354.0</v>
      </c>
      <c r="R93" s="66"/>
      <c r="S93" s="71"/>
      <c r="T93" s="71"/>
      <c r="U93" s="71"/>
      <c r="V93" s="71"/>
      <c r="W93" s="71"/>
      <c r="X93" s="71"/>
      <c r="Y93" s="71"/>
      <c r="Z93" s="71"/>
    </row>
    <row r="94" ht="15.75" customHeight="1">
      <c r="A94" s="49" t="s">
        <v>351</v>
      </c>
      <c r="B94" s="49" t="s">
        <v>352</v>
      </c>
      <c r="C94" s="49" t="s">
        <v>278</v>
      </c>
      <c r="D94" s="55">
        <v>2.0</v>
      </c>
      <c r="E94" s="111">
        <v>2.0</v>
      </c>
      <c r="F94" s="52">
        <f t="shared" si="1"/>
        <v>0</v>
      </c>
      <c r="G94" s="53"/>
      <c r="H94" s="53">
        <v>19700.0</v>
      </c>
      <c r="I94" s="54">
        <f t="shared" si="2"/>
        <v>39400</v>
      </c>
      <c r="J94" s="55" t="s">
        <v>160</v>
      </c>
      <c r="K94" s="58" t="s">
        <v>353</v>
      </c>
      <c r="L94" s="58" t="s">
        <v>354</v>
      </c>
      <c r="M94" s="58" t="s">
        <v>362</v>
      </c>
      <c r="N94" s="58" t="s">
        <v>356</v>
      </c>
      <c r="O94" s="58" t="s">
        <v>357</v>
      </c>
      <c r="P94" s="59"/>
      <c r="Q94" s="60">
        <v>46354.0</v>
      </c>
      <c r="R94" s="61"/>
      <c r="S94" s="71"/>
      <c r="T94" s="71"/>
      <c r="U94" s="71"/>
      <c r="V94" s="71"/>
      <c r="W94" s="71"/>
      <c r="X94" s="71"/>
      <c r="Y94" s="71"/>
      <c r="Z94" s="71"/>
    </row>
    <row r="95" ht="15.75" customHeight="1">
      <c r="A95" s="33" t="s">
        <v>351</v>
      </c>
      <c r="B95" s="33" t="s">
        <v>352</v>
      </c>
      <c r="C95" s="33" t="s">
        <v>278</v>
      </c>
      <c r="D95" s="64">
        <v>2.0</v>
      </c>
      <c r="E95" s="111">
        <v>2.0</v>
      </c>
      <c r="F95" s="104">
        <f t="shared" si="1"/>
        <v>0</v>
      </c>
      <c r="G95" s="37"/>
      <c r="H95" s="37">
        <v>19700.0</v>
      </c>
      <c r="I95" s="40">
        <f t="shared" si="2"/>
        <v>39400</v>
      </c>
      <c r="J95" s="64" t="s">
        <v>196</v>
      </c>
      <c r="K95" s="43" t="s">
        <v>353</v>
      </c>
      <c r="L95" s="43" t="s">
        <v>354</v>
      </c>
      <c r="M95" s="43" t="s">
        <v>362</v>
      </c>
      <c r="N95" s="43" t="s">
        <v>356</v>
      </c>
      <c r="O95" s="43" t="s">
        <v>357</v>
      </c>
      <c r="P95" s="44"/>
      <c r="Q95" s="47">
        <v>46354.0</v>
      </c>
      <c r="R95" s="66"/>
      <c r="S95" s="71"/>
      <c r="T95" s="71"/>
      <c r="U95" s="71"/>
      <c r="V95" s="71"/>
      <c r="W95" s="71"/>
      <c r="X95" s="71"/>
      <c r="Y95" s="71"/>
      <c r="Z95" s="71"/>
    </row>
    <row r="96" ht="15.75" customHeight="1">
      <c r="A96" s="49" t="s">
        <v>351</v>
      </c>
      <c r="B96" s="49" t="s">
        <v>352</v>
      </c>
      <c r="C96" s="49" t="s">
        <v>278</v>
      </c>
      <c r="D96" s="55">
        <v>1.0</v>
      </c>
      <c r="E96" s="111">
        <v>1.0</v>
      </c>
      <c r="F96" s="52">
        <f t="shared" si="1"/>
        <v>0</v>
      </c>
      <c r="G96" s="53"/>
      <c r="H96" s="53">
        <v>19700.0</v>
      </c>
      <c r="I96" s="54">
        <f t="shared" si="2"/>
        <v>19700</v>
      </c>
      <c r="J96" s="55" t="s">
        <v>178</v>
      </c>
      <c r="K96" s="58" t="s">
        <v>353</v>
      </c>
      <c r="L96" s="58" t="s">
        <v>354</v>
      </c>
      <c r="M96" s="58" t="s">
        <v>362</v>
      </c>
      <c r="N96" s="58" t="s">
        <v>356</v>
      </c>
      <c r="O96" s="58" t="s">
        <v>357</v>
      </c>
      <c r="P96" s="59"/>
      <c r="Q96" s="60">
        <v>46354.0</v>
      </c>
      <c r="R96" s="61"/>
      <c r="S96" s="71"/>
      <c r="T96" s="71"/>
      <c r="U96" s="71"/>
      <c r="V96" s="71"/>
      <c r="W96" s="71"/>
      <c r="X96" s="71"/>
      <c r="Y96" s="71"/>
      <c r="Z96" s="71"/>
    </row>
    <row r="97" ht="15.75" customHeight="1">
      <c r="A97" s="33" t="s">
        <v>351</v>
      </c>
      <c r="B97" s="33" t="s">
        <v>352</v>
      </c>
      <c r="C97" s="33" t="s">
        <v>278</v>
      </c>
      <c r="D97" s="64">
        <v>1.0</v>
      </c>
      <c r="E97" s="111">
        <v>1.0</v>
      </c>
      <c r="F97" s="35">
        <f t="shared" si="1"/>
        <v>0</v>
      </c>
      <c r="G97" s="37"/>
      <c r="H97" s="37">
        <v>19700.0</v>
      </c>
      <c r="I97" s="40">
        <f t="shared" si="2"/>
        <v>19700</v>
      </c>
      <c r="J97" s="64" t="s">
        <v>189</v>
      </c>
      <c r="K97" s="43" t="s">
        <v>353</v>
      </c>
      <c r="L97" s="43" t="s">
        <v>354</v>
      </c>
      <c r="M97" s="43" t="s">
        <v>362</v>
      </c>
      <c r="N97" s="43" t="s">
        <v>356</v>
      </c>
      <c r="O97" s="43" t="s">
        <v>357</v>
      </c>
      <c r="P97" s="44"/>
      <c r="Q97" s="47">
        <v>46354.0</v>
      </c>
      <c r="R97" s="66"/>
      <c r="S97" s="71"/>
      <c r="T97" s="71"/>
      <c r="U97" s="71"/>
      <c r="V97" s="71"/>
      <c r="W97" s="71"/>
      <c r="X97" s="71"/>
      <c r="Y97" s="71"/>
      <c r="Z97" s="71"/>
    </row>
    <row r="98" ht="15.75" customHeight="1">
      <c r="A98" s="49" t="s">
        <v>351</v>
      </c>
      <c r="B98" s="49" t="s">
        <v>352</v>
      </c>
      <c r="C98" s="49" t="s">
        <v>278</v>
      </c>
      <c r="D98" s="55">
        <v>1.0</v>
      </c>
      <c r="E98" s="111">
        <v>1.0</v>
      </c>
      <c r="F98" s="52">
        <f t="shared" si="1"/>
        <v>0</v>
      </c>
      <c r="G98" s="53"/>
      <c r="H98" s="53">
        <v>19700.0</v>
      </c>
      <c r="I98" s="54">
        <f t="shared" si="2"/>
        <v>19700</v>
      </c>
      <c r="J98" s="55" t="s">
        <v>192</v>
      </c>
      <c r="K98" s="58" t="s">
        <v>353</v>
      </c>
      <c r="L98" s="58" t="s">
        <v>354</v>
      </c>
      <c r="M98" s="58" t="s">
        <v>362</v>
      </c>
      <c r="N98" s="58" t="s">
        <v>356</v>
      </c>
      <c r="O98" s="58" t="s">
        <v>357</v>
      </c>
      <c r="P98" s="59"/>
      <c r="Q98" s="60">
        <v>46354.0</v>
      </c>
      <c r="R98" s="61"/>
      <c r="S98" s="71"/>
      <c r="T98" s="71"/>
      <c r="U98" s="71"/>
      <c r="V98" s="71"/>
      <c r="W98" s="71"/>
      <c r="X98" s="71"/>
      <c r="Y98" s="71"/>
      <c r="Z98" s="71"/>
    </row>
    <row r="99" ht="15.75" customHeight="1">
      <c r="A99" s="33" t="s">
        <v>351</v>
      </c>
      <c r="B99" s="33" t="s">
        <v>352</v>
      </c>
      <c r="C99" s="33" t="s">
        <v>278</v>
      </c>
      <c r="D99" s="64">
        <v>1.0</v>
      </c>
      <c r="E99" s="111">
        <v>1.0</v>
      </c>
      <c r="F99" s="35">
        <f t="shared" si="1"/>
        <v>0</v>
      </c>
      <c r="G99" s="37"/>
      <c r="H99" s="37">
        <v>19700.0</v>
      </c>
      <c r="I99" s="40">
        <f t="shared" si="2"/>
        <v>19700</v>
      </c>
      <c r="J99" s="64" t="s">
        <v>210</v>
      </c>
      <c r="K99" s="43" t="s">
        <v>353</v>
      </c>
      <c r="L99" s="43" t="s">
        <v>354</v>
      </c>
      <c r="M99" s="43" t="s">
        <v>362</v>
      </c>
      <c r="N99" s="43" t="s">
        <v>356</v>
      </c>
      <c r="O99" s="43" t="s">
        <v>357</v>
      </c>
      <c r="P99" s="44"/>
      <c r="Q99" s="47">
        <v>46354.0</v>
      </c>
      <c r="R99" s="66"/>
      <c r="S99" s="71"/>
      <c r="T99" s="71"/>
      <c r="U99" s="71"/>
      <c r="V99" s="71"/>
      <c r="W99" s="71"/>
      <c r="X99" s="71"/>
      <c r="Y99" s="71"/>
      <c r="Z99" s="71"/>
    </row>
    <row r="100" ht="15.75" customHeight="1">
      <c r="A100" s="49" t="s">
        <v>351</v>
      </c>
      <c r="B100" s="49" t="s">
        <v>352</v>
      </c>
      <c r="C100" s="49" t="s">
        <v>278</v>
      </c>
      <c r="D100" s="55">
        <v>3.0</v>
      </c>
      <c r="E100" s="111">
        <v>3.0</v>
      </c>
      <c r="F100" s="101">
        <f t="shared" si="1"/>
        <v>0</v>
      </c>
      <c r="G100" s="53"/>
      <c r="H100" s="53">
        <v>19700.0</v>
      </c>
      <c r="I100" s="54">
        <f t="shared" si="2"/>
        <v>59100</v>
      </c>
      <c r="J100" s="55" t="s">
        <v>214</v>
      </c>
      <c r="K100" s="58" t="s">
        <v>353</v>
      </c>
      <c r="L100" s="58" t="s">
        <v>358</v>
      </c>
      <c r="M100" s="58" t="s">
        <v>362</v>
      </c>
      <c r="N100" s="58" t="s">
        <v>356</v>
      </c>
      <c r="O100" s="58" t="s">
        <v>357</v>
      </c>
      <c r="P100" s="59"/>
      <c r="Q100" s="60">
        <v>46354.0</v>
      </c>
      <c r="R100" s="61"/>
      <c r="S100" s="71"/>
      <c r="T100" s="71"/>
      <c r="U100" s="71"/>
      <c r="V100" s="71"/>
      <c r="W100" s="71"/>
      <c r="X100" s="71"/>
      <c r="Y100" s="71"/>
      <c r="Z100" s="71"/>
    </row>
    <row r="101" ht="15.75" customHeight="1">
      <c r="A101" s="33" t="s">
        <v>380</v>
      </c>
      <c r="B101" s="33" t="s">
        <v>381</v>
      </c>
      <c r="C101" s="33" t="s">
        <v>285</v>
      </c>
      <c r="D101" s="64">
        <v>1.0</v>
      </c>
      <c r="E101" s="43">
        <v>0.0</v>
      </c>
      <c r="F101" s="35">
        <f t="shared" si="1"/>
        <v>1</v>
      </c>
      <c r="G101" s="37"/>
      <c r="H101" s="37">
        <v>512000.0</v>
      </c>
      <c r="I101" s="40">
        <f t="shared" si="2"/>
        <v>512000</v>
      </c>
      <c r="J101" s="64" t="s">
        <v>85</v>
      </c>
      <c r="K101" s="43" t="s">
        <v>383</v>
      </c>
      <c r="L101" s="43" t="s">
        <v>384</v>
      </c>
      <c r="M101" s="43" t="s">
        <v>229</v>
      </c>
      <c r="N101" s="44"/>
      <c r="O101" s="44"/>
      <c r="P101" s="44"/>
      <c r="Q101" s="47">
        <v>46351.0</v>
      </c>
      <c r="R101" s="66"/>
      <c r="S101" s="71"/>
      <c r="T101" s="71"/>
      <c r="U101" s="71"/>
      <c r="V101" s="71"/>
      <c r="W101" s="71"/>
      <c r="X101" s="71"/>
      <c r="Y101" s="71"/>
      <c r="Z101" s="71"/>
    </row>
    <row r="102" ht="15.75" customHeight="1">
      <c r="A102" s="49" t="s">
        <v>380</v>
      </c>
      <c r="B102" s="49" t="s">
        <v>381</v>
      </c>
      <c r="C102" s="49" t="s">
        <v>285</v>
      </c>
      <c r="D102" s="55">
        <v>1.0</v>
      </c>
      <c r="E102" s="58">
        <v>0.0</v>
      </c>
      <c r="F102" s="52">
        <f t="shared" si="1"/>
        <v>1</v>
      </c>
      <c r="G102" s="53"/>
      <c r="H102" s="53">
        <v>512000.0</v>
      </c>
      <c r="I102" s="54">
        <f t="shared" si="2"/>
        <v>512000</v>
      </c>
      <c r="J102" s="55" t="s">
        <v>232</v>
      </c>
      <c r="K102" s="58" t="s">
        <v>383</v>
      </c>
      <c r="L102" s="58" t="s">
        <v>384</v>
      </c>
      <c r="M102" s="58" t="s">
        <v>229</v>
      </c>
      <c r="N102" s="59"/>
      <c r="O102" s="59"/>
      <c r="P102" s="59"/>
      <c r="Q102" s="60">
        <v>46351.0</v>
      </c>
      <c r="R102" s="61"/>
      <c r="S102" s="71"/>
      <c r="T102" s="71"/>
      <c r="U102" s="71"/>
      <c r="V102" s="71"/>
      <c r="W102" s="71"/>
      <c r="X102" s="71"/>
      <c r="Y102" s="71"/>
      <c r="Z102" s="71"/>
    </row>
    <row r="103" ht="15.75" customHeight="1">
      <c r="A103" s="33" t="s">
        <v>380</v>
      </c>
      <c r="B103" s="33" t="s">
        <v>381</v>
      </c>
      <c r="C103" s="33" t="s">
        <v>285</v>
      </c>
      <c r="D103" s="64">
        <v>2.0</v>
      </c>
      <c r="E103" s="43">
        <v>0.0</v>
      </c>
      <c r="F103" s="35">
        <f t="shared" si="1"/>
        <v>2</v>
      </c>
      <c r="G103" s="37"/>
      <c r="H103" s="37">
        <v>512000.0</v>
      </c>
      <c r="I103" s="40">
        <f t="shared" si="2"/>
        <v>1024000</v>
      </c>
      <c r="J103" s="64" t="s">
        <v>103</v>
      </c>
      <c r="K103" s="43" t="s">
        <v>383</v>
      </c>
      <c r="L103" s="43" t="s">
        <v>384</v>
      </c>
      <c r="M103" s="43" t="s">
        <v>207</v>
      </c>
      <c r="N103" s="44"/>
      <c r="O103" s="44"/>
      <c r="P103" s="44"/>
      <c r="Q103" s="47">
        <v>46351.0</v>
      </c>
      <c r="R103" s="66"/>
      <c r="S103" s="71"/>
      <c r="T103" s="71"/>
      <c r="U103" s="71"/>
      <c r="V103" s="71"/>
      <c r="W103" s="71"/>
      <c r="X103" s="71"/>
      <c r="Y103" s="71"/>
      <c r="Z103" s="71"/>
    </row>
    <row r="104" ht="15.75" customHeight="1">
      <c r="A104" s="49" t="s">
        <v>380</v>
      </c>
      <c r="B104" s="49" t="s">
        <v>381</v>
      </c>
      <c r="C104" s="49" t="s">
        <v>285</v>
      </c>
      <c r="D104" s="55">
        <v>1.0</v>
      </c>
      <c r="E104" s="58">
        <v>0.0</v>
      </c>
      <c r="F104" s="52">
        <f t="shared" si="1"/>
        <v>1</v>
      </c>
      <c r="G104" s="53"/>
      <c r="H104" s="53">
        <v>512000.0</v>
      </c>
      <c r="I104" s="54">
        <f t="shared" si="2"/>
        <v>512000</v>
      </c>
      <c r="J104" s="55" t="s">
        <v>134</v>
      </c>
      <c r="K104" s="58" t="s">
        <v>383</v>
      </c>
      <c r="L104" s="58" t="s">
        <v>384</v>
      </c>
      <c r="M104" s="58" t="s">
        <v>229</v>
      </c>
      <c r="N104" s="59"/>
      <c r="O104" s="59"/>
      <c r="P104" s="59"/>
      <c r="Q104" s="60">
        <v>46351.0</v>
      </c>
      <c r="R104" s="61"/>
      <c r="S104" s="71"/>
      <c r="T104" s="71"/>
      <c r="U104" s="71"/>
      <c r="V104" s="71"/>
      <c r="W104" s="71"/>
      <c r="X104" s="71"/>
      <c r="Y104" s="71"/>
      <c r="Z104" s="71"/>
    </row>
    <row r="105" ht="15.75" customHeight="1">
      <c r="A105" s="33" t="s">
        <v>380</v>
      </c>
      <c r="B105" s="33" t="s">
        <v>381</v>
      </c>
      <c r="C105" s="33" t="s">
        <v>285</v>
      </c>
      <c r="D105" s="64">
        <v>1.0</v>
      </c>
      <c r="E105" s="43">
        <v>0.0</v>
      </c>
      <c r="F105" s="35">
        <f t="shared" si="1"/>
        <v>1</v>
      </c>
      <c r="G105" s="37"/>
      <c r="H105" s="37">
        <v>512000.0</v>
      </c>
      <c r="I105" s="40">
        <f t="shared" si="2"/>
        <v>512000</v>
      </c>
      <c r="J105" s="64" t="s">
        <v>286</v>
      </c>
      <c r="K105" s="43" t="s">
        <v>383</v>
      </c>
      <c r="L105" s="43" t="s">
        <v>384</v>
      </c>
      <c r="M105" s="43" t="s">
        <v>229</v>
      </c>
      <c r="N105" s="44"/>
      <c r="O105" s="44"/>
      <c r="P105" s="44"/>
      <c r="Q105" s="47">
        <v>46351.0</v>
      </c>
      <c r="R105" s="66"/>
      <c r="S105" s="71"/>
      <c r="T105" s="71"/>
      <c r="U105" s="71"/>
      <c r="V105" s="71"/>
      <c r="W105" s="71"/>
      <c r="X105" s="71"/>
      <c r="Y105" s="71"/>
      <c r="Z105" s="71"/>
    </row>
    <row r="106" ht="15.75" customHeight="1">
      <c r="A106" s="49" t="s">
        <v>380</v>
      </c>
      <c r="B106" s="49" t="s">
        <v>381</v>
      </c>
      <c r="C106" s="49" t="s">
        <v>285</v>
      </c>
      <c r="D106" s="55">
        <v>1.0</v>
      </c>
      <c r="E106" s="58">
        <v>0.0</v>
      </c>
      <c r="F106" s="52">
        <f t="shared" si="1"/>
        <v>1</v>
      </c>
      <c r="G106" s="53"/>
      <c r="H106" s="53">
        <v>512000.0</v>
      </c>
      <c r="I106" s="54">
        <f t="shared" si="2"/>
        <v>512000</v>
      </c>
      <c r="J106" s="55" t="s">
        <v>161</v>
      </c>
      <c r="K106" s="58" t="s">
        <v>383</v>
      </c>
      <c r="L106" s="58" t="s">
        <v>384</v>
      </c>
      <c r="M106" s="58" t="s">
        <v>229</v>
      </c>
      <c r="N106" s="59"/>
      <c r="O106" s="59"/>
      <c r="P106" s="59"/>
      <c r="Q106" s="60">
        <v>46351.0</v>
      </c>
      <c r="R106" s="61"/>
      <c r="S106" s="71"/>
      <c r="T106" s="71"/>
      <c r="U106" s="71"/>
      <c r="V106" s="71"/>
      <c r="W106" s="71"/>
      <c r="X106" s="71"/>
      <c r="Y106" s="71"/>
      <c r="Z106" s="71"/>
    </row>
    <row r="107" ht="15.75" customHeight="1">
      <c r="A107" s="33" t="s">
        <v>380</v>
      </c>
      <c r="B107" s="33" t="s">
        <v>381</v>
      </c>
      <c r="C107" s="33" t="s">
        <v>285</v>
      </c>
      <c r="D107" s="64">
        <v>1.0</v>
      </c>
      <c r="E107" s="43">
        <v>0.0</v>
      </c>
      <c r="F107" s="35">
        <f t="shared" si="1"/>
        <v>1</v>
      </c>
      <c r="G107" s="37"/>
      <c r="H107" s="37">
        <v>512000.0</v>
      </c>
      <c r="I107" s="40">
        <f t="shared" si="2"/>
        <v>512000</v>
      </c>
      <c r="J107" s="64" t="s">
        <v>231</v>
      </c>
      <c r="K107" s="43" t="s">
        <v>383</v>
      </c>
      <c r="L107" s="43" t="s">
        <v>384</v>
      </c>
      <c r="M107" s="43" t="s">
        <v>229</v>
      </c>
      <c r="N107" s="44"/>
      <c r="O107" s="44"/>
      <c r="P107" s="44"/>
      <c r="Q107" s="47">
        <v>46351.0</v>
      </c>
      <c r="R107" s="66"/>
      <c r="S107" s="71"/>
      <c r="T107" s="71"/>
      <c r="U107" s="71"/>
      <c r="V107" s="71"/>
      <c r="W107" s="71"/>
      <c r="X107" s="71"/>
      <c r="Y107" s="71"/>
      <c r="Z107" s="71"/>
    </row>
    <row r="108" ht="15.75" customHeight="1">
      <c r="A108" s="49" t="s">
        <v>380</v>
      </c>
      <c r="B108" s="49" t="s">
        <v>381</v>
      </c>
      <c r="C108" s="49" t="s">
        <v>285</v>
      </c>
      <c r="D108" s="55">
        <v>1.0</v>
      </c>
      <c r="E108" s="58">
        <v>0.0</v>
      </c>
      <c r="F108" s="52">
        <f t="shared" si="1"/>
        <v>1</v>
      </c>
      <c r="G108" s="53"/>
      <c r="H108" s="53">
        <v>512000.0</v>
      </c>
      <c r="I108" s="54">
        <f t="shared" si="2"/>
        <v>512000</v>
      </c>
      <c r="J108" s="55" t="s">
        <v>175</v>
      </c>
      <c r="K108" s="58" t="s">
        <v>383</v>
      </c>
      <c r="L108" s="58" t="s">
        <v>384</v>
      </c>
      <c r="M108" s="58" t="s">
        <v>229</v>
      </c>
      <c r="N108" s="59"/>
      <c r="O108" s="59"/>
      <c r="P108" s="59"/>
      <c r="Q108" s="60">
        <v>46351.0</v>
      </c>
      <c r="R108" s="61"/>
      <c r="S108" s="71"/>
      <c r="T108" s="71"/>
      <c r="U108" s="71"/>
      <c r="V108" s="71"/>
      <c r="W108" s="71"/>
      <c r="X108" s="71"/>
      <c r="Y108" s="71"/>
      <c r="Z108" s="71"/>
    </row>
    <row r="109" ht="15.75" customHeight="1">
      <c r="A109" s="33" t="s">
        <v>380</v>
      </c>
      <c r="B109" s="33" t="s">
        <v>381</v>
      </c>
      <c r="C109" s="33" t="s">
        <v>285</v>
      </c>
      <c r="D109" s="64">
        <v>1.0</v>
      </c>
      <c r="E109" s="43">
        <v>1.0</v>
      </c>
      <c r="F109" s="35">
        <f t="shared" si="1"/>
        <v>0</v>
      </c>
      <c r="G109" s="37"/>
      <c r="H109" s="37">
        <v>512000.0</v>
      </c>
      <c r="I109" s="40">
        <f t="shared" si="2"/>
        <v>512000</v>
      </c>
      <c r="J109" s="68" t="s">
        <v>58</v>
      </c>
      <c r="K109" s="43" t="s">
        <v>383</v>
      </c>
      <c r="L109" s="43" t="s">
        <v>384</v>
      </c>
      <c r="M109" s="43" t="s">
        <v>229</v>
      </c>
      <c r="N109" s="44"/>
      <c r="O109" s="44"/>
      <c r="P109" s="44"/>
      <c r="Q109" s="47">
        <v>46351.0</v>
      </c>
      <c r="R109" s="66"/>
      <c r="S109" s="71"/>
      <c r="T109" s="71"/>
      <c r="U109" s="71"/>
      <c r="V109" s="71"/>
      <c r="W109" s="71"/>
      <c r="X109" s="71"/>
      <c r="Y109" s="71"/>
      <c r="Z109" s="71"/>
    </row>
    <row r="110" ht="15.75" customHeight="1">
      <c r="A110" s="49" t="s">
        <v>380</v>
      </c>
      <c r="B110" s="49" t="s">
        <v>381</v>
      </c>
      <c r="C110" s="49" t="s">
        <v>285</v>
      </c>
      <c r="D110" s="55">
        <v>1.0</v>
      </c>
      <c r="E110" s="58">
        <v>0.0</v>
      </c>
      <c r="F110" s="52">
        <f t="shared" si="1"/>
        <v>1</v>
      </c>
      <c r="G110" s="53"/>
      <c r="H110" s="53">
        <v>512000.0</v>
      </c>
      <c r="I110" s="54">
        <f t="shared" si="2"/>
        <v>512000</v>
      </c>
      <c r="J110" s="55" t="s">
        <v>196</v>
      </c>
      <c r="K110" s="58" t="s">
        <v>383</v>
      </c>
      <c r="L110" s="58" t="s">
        <v>384</v>
      </c>
      <c r="M110" s="58" t="s">
        <v>229</v>
      </c>
      <c r="N110" s="59"/>
      <c r="O110" s="59"/>
      <c r="P110" s="59"/>
      <c r="Q110" s="60">
        <v>46351.0</v>
      </c>
      <c r="R110" s="61"/>
      <c r="S110" s="71"/>
      <c r="T110" s="71"/>
      <c r="U110" s="71"/>
      <c r="V110" s="71"/>
      <c r="W110" s="71"/>
      <c r="X110" s="71"/>
      <c r="Y110" s="71"/>
      <c r="Z110" s="71"/>
    </row>
    <row r="111" ht="15.75" customHeight="1">
      <c r="A111" s="33" t="s">
        <v>380</v>
      </c>
      <c r="B111" s="33" t="s">
        <v>381</v>
      </c>
      <c r="C111" s="33" t="s">
        <v>285</v>
      </c>
      <c r="D111" s="64">
        <v>1.0</v>
      </c>
      <c r="E111" s="43">
        <v>0.0</v>
      </c>
      <c r="F111" s="35">
        <f t="shared" si="1"/>
        <v>1</v>
      </c>
      <c r="G111" s="37"/>
      <c r="H111" s="37">
        <v>512000.0</v>
      </c>
      <c r="I111" s="40">
        <f t="shared" si="2"/>
        <v>512000</v>
      </c>
      <c r="J111" s="64" t="s">
        <v>192</v>
      </c>
      <c r="K111" s="43" t="s">
        <v>383</v>
      </c>
      <c r="L111" s="43" t="s">
        <v>384</v>
      </c>
      <c r="M111" s="43" t="s">
        <v>229</v>
      </c>
      <c r="N111" s="44"/>
      <c r="O111" s="44"/>
      <c r="P111" s="44"/>
      <c r="Q111" s="47">
        <v>46351.0</v>
      </c>
      <c r="R111" s="66"/>
      <c r="S111" s="71"/>
      <c r="T111" s="71"/>
      <c r="U111" s="71"/>
      <c r="V111" s="71"/>
      <c r="W111" s="71"/>
      <c r="X111" s="71"/>
      <c r="Y111" s="71"/>
      <c r="Z111" s="71"/>
    </row>
    <row r="112" ht="15.75" customHeight="1">
      <c r="A112" s="49" t="s">
        <v>380</v>
      </c>
      <c r="B112" s="49" t="s">
        <v>381</v>
      </c>
      <c r="C112" s="49" t="s">
        <v>285</v>
      </c>
      <c r="D112" s="55">
        <v>1.0</v>
      </c>
      <c r="E112" s="58">
        <v>0.0</v>
      </c>
      <c r="F112" s="52">
        <f t="shared" si="1"/>
        <v>1</v>
      </c>
      <c r="G112" s="53"/>
      <c r="H112" s="53">
        <v>512000.0</v>
      </c>
      <c r="I112" s="54">
        <f t="shared" si="2"/>
        <v>512000</v>
      </c>
      <c r="J112" s="55" t="s">
        <v>304</v>
      </c>
      <c r="K112" s="58" t="s">
        <v>383</v>
      </c>
      <c r="L112" s="58" t="s">
        <v>384</v>
      </c>
      <c r="M112" s="58" t="s">
        <v>229</v>
      </c>
      <c r="N112" s="59"/>
      <c r="O112" s="59"/>
      <c r="P112" s="59"/>
      <c r="Q112" s="60">
        <v>46351.0</v>
      </c>
      <c r="R112" s="61"/>
      <c r="S112" s="71"/>
      <c r="T112" s="71"/>
      <c r="U112" s="71"/>
      <c r="V112" s="71"/>
      <c r="W112" s="71"/>
      <c r="X112" s="71"/>
      <c r="Y112" s="71"/>
      <c r="Z112" s="71"/>
    </row>
    <row r="113" ht="15.75" customHeight="1">
      <c r="A113" s="33" t="s">
        <v>380</v>
      </c>
      <c r="B113" s="33" t="s">
        <v>381</v>
      </c>
      <c r="C113" s="33" t="s">
        <v>285</v>
      </c>
      <c r="D113" s="64">
        <v>1.0</v>
      </c>
      <c r="E113" s="43">
        <v>0.0</v>
      </c>
      <c r="F113" s="35">
        <f t="shared" si="1"/>
        <v>1</v>
      </c>
      <c r="G113" s="37"/>
      <c r="H113" s="37">
        <v>512000.0</v>
      </c>
      <c r="I113" s="40">
        <f t="shared" si="2"/>
        <v>512000</v>
      </c>
      <c r="J113" s="64" t="s">
        <v>272</v>
      </c>
      <c r="K113" s="43" t="s">
        <v>383</v>
      </c>
      <c r="L113" s="43" t="s">
        <v>384</v>
      </c>
      <c r="M113" s="43" t="s">
        <v>229</v>
      </c>
      <c r="N113" s="44"/>
      <c r="O113" s="44"/>
      <c r="P113" s="44"/>
      <c r="Q113" s="47">
        <v>46351.0</v>
      </c>
      <c r="R113" s="66"/>
      <c r="S113" s="71"/>
      <c r="T113" s="71"/>
      <c r="U113" s="71"/>
      <c r="V113" s="71"/>
      <c r="W113" s="71"/>
      <c r="X113" s="71"/>
      <c r="Y113" s="71"/>
      <c r="Z113" s="71"/>
    </row>
    <row r="114" ht="15.75" customHeight="1">
      <c r="A114" s="49" t="s">
        <v>380</v>
      </c>
      <c r="B114" s="49" t="s">
        <v>381</v>
      </c>
      <c r="C114" s="49" t="s">
        <v>285</v>
      </c>
      <c r="D114" s="55">
        <v>1.0</v>
      </c>
      <c r="E114" s="58">
        <v>0.0</v>
      </c>
      <c r="F114" s="52">
        <f t="shared" si="1"/>
        <v>1</v>
      </c>
      <c r="G114" s="53"/>
      <c r="H114" s="53">
        <v>512000.0</v>
      </c>
      <c r="I114" s="54">
        <f t="shared" si="2"/>
        <v>512000</v>
      </c>
      <c r="J114" s="55" t="s">
        <v>194</v>
      </c>
      <c r="K114" s="58" t="s">
        <v>383</v>
      </c>
      <c r="L114" s="58" t="s">
        <v>384</v>
      </c>
      <c r="M114" s="58" t="s">
        <v>229</v>
      </c>
      <c r="N114" s="59"/>
      <c r="O114" s="59"/>
      <c r="P114" s="59"/>
      <c r="Q114" s="60">
        <v>46351.0</v>
      </c>
      <c r="R114" s="61"/>
      <c r="S114" s="71"/>
      <c r="T114" s="71"/>
      <c r="U114" s="71"/>
      <c r="V114" s="71"/>
      <c r="W114" s="71"/>
      <c r="X114" s="71"/>
      <c r="Y114" s="71"/>
      <c r="Z114" s="71"/>
    </row>
    <row r="115" ht="15.75" customHeight="1">
      <c r="A115" s="33" t="s">
        <v>380</v>
      </c>
      <c r="B115" s="33" t="s">
        <v>381</v>
      </c>
      <c r="C115" s="33" t="s">
        <v>285</v>
      </c>
      <c r="D115" s="64">
        <v>1.0</v>
      </c>
      <c r="E115" s="43">
        <v>0.0</v>
      </c>
      <c r="F115" s="35">
        <f t="shared" si="1"/>
        <v>1</v>
      </c>
      <c r="G115" s="37"/>
      <c r="H115" s="37">
        <v>512000.0</v>
      </c>
      <c r="I115" s="40">
        <f t="shared" si="2"/>
        <v>512000</v>
      </c>
      <c r="J115" s="64" t="s">
        <v>210</v>
      </c>
      <c r="K115" s="43" t="s">
        <v>383</v>
      </c>
      <c r="L115" s="43" t="s">
        <v>384</v>
      </c>
      <c r="M115" s="43" t="s">
        <v>229</v>
      </c>
      <c r="N115" s="44"/>
      <c r="O115" s="44"/>
      <c r="P115" s="44"/>
      <c r="Q115" s="47">
        <v>46351.0</v>
      </c>
      <c r="R115" s="66"/>
      <c r="S115" s="71"/>
      <c r="T115" s="71"/>
      <c r="U115" s="71"/>
      <c r="V115" s="71"/>
      <c r="W115" s="71"/>
      <c r="X115" s="71"/>
      <c r="Y115" s="71"/>
      <c r="Z115" s="71"/>
    </row>
    <row r="116" ht="15.75" customHeight="1">
      <c r="A116" s="49" t="s">
        <v>380</v>
      </c>
      <c r="B116" s="49" t="s">
        <v>381</v>
      </c>
      <c r="C116" s="49" t="s">
        <v>285</v>
      </c>
      <c r="D116" s="55">
        <v>1.0</v>
      </c>
      <c r="E116" s="43">
        <v>1.0</v>
      </c>
      <c r="F116" s="52">
        <f t="shared" si="1"/>
        <v>0</v>
      </c>
      <c r="G116" s="53"/>
      <c r="H116" s="53">
        <v>512000.0</v>
      </c>
      <c r="I116" s="54">
        <f t="shared" si="2"/>
        <v>512000</v>
      </c>
      <c r="J116" s="55" t="s">
        <v>214</v>
      </c>
      <c r="K116" s="58" t="s">
        <v>383</v>
      </c>
      <c r="L116" s="58" t="s">
        <v>404</v>
      </c>
      <c r="M116" s="58" t="s">
        <v>229</v>
      </c>
      <c r="N116" s="126"/>
      <c r="O116" s="126"/>
      <c r="P116" s="126"/>
      <c r="Q116" s="60">
        <v>46351.0</v>
      </c>
      <c r="R116" s="128"/>
      <c r="S116" s="165"/>
      <c r="T116" s="165"/>
      <c r="U116" s="165"/>
      <c r="V116" s="165"/>
      <c r="W116" s="165"/>
      <c r="X116" s="165"/>
      <c r="Y116" s="165"/>
      <c r="Z116" s="165"/>
    </row>
    <row r="117" ht="15.75" customHeight="1">
      <c r="A117" s="33" t="s">
        <v>406</v>
      </c>
      <c r="B117" s="33" t="s">
        <v>407</v>
      </c>
      <c r="C117" s="33" t="s">
        <v>293</v>
      </c>
      <c r="D117" s="64">
        <v>1.0</v>
      </c>
      <c r="E117" s="43">
        <v>1.0</v>
      </c>
      <c r="F117" s="35">
        <f t="shared" si="1"/>
        <v>0</v>
      </c>
      <c r="G117" s="166"/>
      <c r="H117" s="166">
        <v>362000.0</v>
      </c>
      <c r="I117" s="40">
        <f t="shared" si="2"/>
        <v>362000</v>
      </c>
      <c r="J117" s="64" t="s">
        <v>58</v>
      </c>
      <c r="K117" s="43" t="s">
        <v>408</v>
      </c>
      <c r="M117" s="43" t="s">
        <v>409</v>
      </c>
      <c r="N117" s="44"/>
      <c r="O117" s="44"/>
      <c r="P117" s="44"/>
      <c r="Q117" s="44"/>
      <c r="R117" s="66"/>
      <c r="S117" s="71"/>
      <c r="T117" s="71"/>
      <c r="U117" s="71"/>
      <c r="V117" s="71"/>
      <c r="W117" s="71"/>
      <c r="X117" s="71"/>
      <c r="Y117" s="71"/>
      <c r="Z117" s="71"/>
    </row>
    <row r="118" ht="15.75" customHeight="1">
      <c r="A118" s="49" t="s">
        <v>406</v>
      </c>
      <c r="B118" s="49" t="s">
        <v>407</v>
      </c>
      <c r="C118" s="49" t="s">
        <v>293</v>
      </c>
      <c r="D118" s="55">
        <v>1.0</v>
      </c>
      <c r="E118" s="58">
        <v>1.0</v>
      </c>
      <c r="F118" s="52">
        <f t="shared" si="1"/>
        <v>0</v>
      </c>
      <c r="G118" s="168"/>
      <c r="H118" s="168">
        <v>362000.0</v>
      </c>
      <c r="I118" s="54">
        <f t="shared" si="2"/>
        <v>362000</v>
      </c>
      <c r="J118" s="55" t="s">
        <v>160</v>
      </c>
      <c r="K118" s="58" t="s">
        <v>408</v>
      </c>
      <c r="L118" s="58" t="s">
        <v>411</v>
      </c>
      <c r="M118" s="58" t="s">
        <v>409</v>
      </c>
      <c r="N118" s="59"/>
      <c r="O118" s="59"/>
      <c r="P118" s="59"/>
      <c r="Q118" s="59"/>
      <c r="R118" s="61"/>
      <c r="S118" s="71"/>
      <c r="T118" s="71"/>
      <c r="U118" s="71"/>
      <c r="V118" s="71"/>
      <c r="W118" s="71"/>
      <c r="X118" s="71"/>
      <c r="Y118" s="71"/>
      <c r="Z118" s="71"/>
    </row>
    <row r="119" ht="15.75" customHeight="1">
      <c r="A119" s="169" t="s">
        <v>406</v>
      </c>
      <c r="B119" s="33" t="s">
        <v>407</v>
      </c>
      <c r="C119" s="33" t="s">
        <v>293</v>
      </c>
      <c r="D119" s="64">
        <v>1.0</v>
      </c>
      <c r="E119" s="43">
        <v>1.0</v>
      </c>
      <c r="F119" s="35">
        <f t="shared" si="1"/>
        <v>0</v>
      </c>
      <c r="G119" s="171"/>
      <c r="H119" s="171">
        <v>362000.0</v>
      </c>
      <c r="I119" s="40">
        <f t="shared" si="2"/>
        <v>362000</v>
      </c>
      <c r="J119" s="64" t="s">
        <v>192</v>
      </c>
      <c r="K119" s="43" t="s">
        <v>408</v>
      </c>
      <c r="L119" s="43" t="s">
        <v>411</v>
      </c>
      <c r="M119" s="43" t="s">
        <v>409</v>
      </c>
      <c r="N119" s="172"/>
      <c r="O119" s="172"/>
      <c r="P119" s="172"/>
      <c r="Q119" s="172"/>
      <c r="R119" s="173"/>
      <c r="S119" s="165"/>
      <c r="T119" s="165"/>
      <c r="U119" s="165"/>
      <c r="V119" s="165"/>
      <c r="W119" s="165"/>
      <c r="X119" s="165"/>
      <c r="Y119" s="165"/>
      <c r="Z119" s="165"/>
    </row>
    <row r="120" ht="15.75" customHeight="1">
      <c r="A120" s="49" t="s">
        <v>416</v>
      </c>
      <c r="B120" s="49" t="s">
        <v>417</v>
      </c>
      <c r="C120" s="49" t="s">
        <v>297</v>
      </c>
      <c r="D120" s="93">
        <v>1.0</v>
      </c>
      <c r="E120" s="58">
        <v>0.0</v>
      </c>
      <c r="F120" s="52">
        <f t="shared" si="1"/>
        <v>1</v>
      </c>
      <c r="G120" s="168"/>
      <c r="H120" s="168">
        <v>555000.0</v>
      </c>
      <c r="I120" s="54">
        <f t="shared" si="2"/>
        <v>555000</v>
      </c>
      <c r="J120" s="93" t="s">
        <v>58</v>
      </c>
      <c r="K120" s="58" t="s">
        <v>418</v>
      </c>
      <c r="L120" s="58" t="s">
        <v>384</v>
      </c>
      <c r="M120" s="58" t="s">
        <v>229</v>
      </c>
      <c r="N120" s="59"/>
      <c r="O120" s="59"/>
      <c r="P120" s="59"/>
      <c r="Q120" s="60">
        <v>46351.0</v>
      </c>
      <c r="R120" s="61"/>
      <c r="S120" s="71"/>
      <c r="T120" s="71"/>
      <c r="U120" s="71"/>
      <c r="V120" s="71"/>
      <c r="W120" s="71"/>
      <c r="X120" s="71"/>
      <c r="Y120" s="71"/>
      <c r="Z120" s="71"/>
    </row>
    <row r="121" ht="15.75" customHeight="1">
      <c r="A121" s="169" t="s">
        <v>416</v>
      </c>
      <c r="B121" s="33" t="s">
        <v>417</v>
      </c>
      <c r="C121" s="33" t="s">
        <v>297</v>
      </c>
      <c r="D121" s="80">
        <v>1.0</v>
      </c>
      <c r="E121" s="43">
        <v>0.0</v>
      </c>
      <c r="F121" s="35">
        <f t="shared" si="1"/>
        <v>1</v>
      </c>
      <c r="G121" s="166"/>
      <c r="H121" s="166">
        <v>555000.0</v>
      </c>
      <c r="I121" s="40">
        <f t="shared" si="2"/>
        <v>555000</v>
      </c>
      <c r="J121" s="41" t="s">
        <v>231</v>
      </c>
      <c r="K121" s="43" t="s">
        <v>418</v>
      </c>
      <c r="L121" s="43" t="s">
        <v>384</v>
      </c>
      <c r="M121" s="43" t="s">
        <v>229</v>
      </c>
      <c r="N121" s="172"/>
      <c r="O121" s="172"/>
      <c r="P121" s="172"/>
      <c r="Q121" s="47">
        <v>46351.0</v>
      </c>
      <c r="R121" s="173"/>
      <c r="S121" s="165"/>
      <c r="T121" s="165"/>
      <c r="U121" s="165"/>
      <c r="V121" s="165"/>
      <c r="W121" s="165"/>
      <c r="X121" s="165"/>
      <c r="Y121" s="165"/>
      <c r="Z121" s="165"/>
    </row>
    <row r="122" ht="15.75" customHeight="1">
      <c r="A122" s="132" t="s">
        <v>416</v>
      </c>
      <c r="B122" s="49" t="s">
        <v>417</v>
      </c>
      <c r="C122" s="49" t="s">
        <v>297</v>
      </c>
      <c r="D122" s="175">
        <v>1.0</v>
      </c>
      <c r="E122" s="58">
        <v>0.0</v>
      </c>
      <c r="F122" s="52">
        <f t="shared" si="1"/>
        <v>1</v>
      </c>
      <c r="G122" s="168"/>
      <c r="H122" s="168">
        <v>555000.0</v>
      </c>
      <c r="I122" s="54">
        <f t="shared" si="2"/>
        <v>555000</v>
      </c>
      <c r="J122" s="93" t="s">
        <v>194</v>
      </c>
      <c r="K122" s="58" t="s">
        <v>418</v>
      </c>
      <c r="L122" s="58" t="s">
        <v>384</v>
      </c>
      <c r="M122" s="58" t="s">
        <v>229</v>
      </c>
      <c r="N122" s="126"/>
      <c r="O122" s="126"/>
      <c r="P122" s="126"/>
      <c r="Q122" s="60">
        <v>46351.0</v>
      </c>
      <c r="R122" s="128"/>
      <c r="S122" s="165"/>
      <c r="T122" s="165"/>
      <c r="U122" s="165"/>
      <c r="V122" s="165"/>
      <c r="W122" s="165"/>
      <c r="X122" s="165"/>
      <c r="Y122" s="165"/>
      <c r="Z122" s="165"/>
    </row>
    <row r="123" ht="15.75" customHeight="1">
      <c r="A123" s="169" t="s">
        <v>425</v>
      </c>
      <c r="B123" s="176" t="s">
        <v>426</v>
      </c>
      <c r="C123" s="177" t="s">
        <v>427</v>
      </c>
      <c r="D123" s="80">
        <v>1.0</v>
      </c>
      <c r="E123" s="43">
        <v>0.0</v>
      </c>
      <c r="F123" s="35">
        <f t="shared" si="1"/>
        <v>1</v>
      </c>
      <c r="G123" s="171"/>
      <c r="H123" s="171">
        <v>14500.0</v>
      </c>
      <c r="I123" s="40">
        <f t="shared" si="2"/>
        <v>14500</v>
      </c>
      <c r="J123" s="178" t="s">
        <v>428</v>
      </c>
      <c r="K123" s="138" t="s">
        <v>429</v>
      </c>
      <c r="L123" s="138" t="s">
        <v>430</v>
      </c>
      <c r="M123" s="138" t="s">
        <v>431</v>
      </c>
      <c r="N123" s="172"/>
      <c r="O123" s="172"/>
      <c r="P123" s="172"/>
      <c r="Q123" s="179">
        <v>46394.0</v>
      </c>
      <c r="R123" s="173"/>
      <c r="S123" s="165"/>
      <c r="T123" s="165"/>
      <c r="U123" s="165"/>
      <c r="V123" s="165"/>
      <c r="W123" s="165"/>
      <c r="X123" s="165"/>
      <c r="Y123" s="165"/>
      <c r="Z123" s="165"/>
    </row>
    <row r="124" ht="15.75" customHeight="1">
      <c r="A124" s="132" t="s">
        <v>425</v>
      </c>
      <c r="B124" s="180" t="s">
        <v>426</v>
      </c>
      <c r="C124" s="181" t="s">
        <v>427</v>
      </c>
      <c r="D124" s="93">
        <v>1.0</v>
      </c>
      <c r="E124" s="58">
        <v>0.0</v>
      </c>
      <c r="F124" s="52">
        <f t="shared" si="1"/>
        <v>1</v>
      </c>
      <c r="G124" s="134"/>
      <c r="H124" s="134">
        <v>14500.0</v>
      </c>
      <c r="I124" s="54">
        <f t="shared" si="2"/>
        <v>14500</v>
      </c>
      <c r="J124" s="182" t="s">
        <v>58</v>
      </c>
      <c r="K124" s="136" t="s">
        <v>429</v>
      </c>
      <c r="L124" s="136" t="s">
        <v>430</v>
      </c>
      <c r="M124" s="136" t="s">
        <v>431</v>
      </c>
      <c r="N124" s="126"/>
      <c r="O124" s="126"/>
      <c r="P124" s="126"/>
      <c r="Q124" s="183">
        <v>46394.0</v>
      </c>
      <c r="R124" s="128"/>
      <c r="S124" s="165"/>
      <c r="T124" s="165"/>
      <c r="U124" s="165"/>
      <c r="V124" s="165"/>
      <c r="W124" s="165"/>
      <c r="X124" s="165"/>
      <c r="Y124" s="165"/>
      <c r="Z124" s="165"/>
    </row>
    <row r="125" ht="15.75" customHeight="1">
      <c r="A125" s="169" t="s">
        <v>425</v>
      </c>
      <c r="B125" s="176" t="s">
        <v>426</v>
      </c>
      <c r="C125" s="177" t="s">
        <v>427</v>
      </c>
      <c r="D125" s="80">
        <v>1.0</v>
      </c>
      <c r="E125" s="43">
        <v>0.0</v>
      </c>
      <c r="F125" s="35">
        <f t="shared" si="1"/>
        <v>1</v>
      </c>
      <c r="G125" s="171"/>
      <c r="H125" s="171">
        <v>14500.0</v>
      </c>
      <c r="I125" s="40">
        <f t="shared" si="2"/>
        <v>14500</v>
      </c>
      <c r="J125" s="178" t="s">
        <v>432</v>
      </c>
      <c r="K125" s="138" t="s">
        <v>429</v>
      </c>
      <c r="L125" s="138" t="s">
        <v>430</v>
      </c>
      <c r="M125" s="138" t="s">
        <v>431</v>
      </c>
      <c r="N125" s="172"/>
      <c r="O125" s="172"/>
      <c r="P125" s="172"/>
      <c r="Q125" s="179">
        <v>46394.0</v>
      </c>
      <c r="R125" s="173"/>
      <c r="S125" s="165"/>
      <c r="T125" s="165"/>
      <c r="U125" s="165"/>
      <c r="V125" s="165"/>
      <c r="W125" s="165"/>
      <c r="X125" s="165"/>
      <c r="Y125" s="165"/>
      <c r="Z125" s="165"/>
    </row>
    <row r="126" ht="15.75" customHeight="1">
      <c r="A126" s="132" t="s">
        <v>425</v>
      </c>
      <c r="B126" s="180" t="s">
        <v>426</v>
      </c>
      <c r="C126" s="181" t="s">
        <v>427</v>
      </c>
      <c r="D126" s="93">
        <v>1.0</v>
      </c>
      <c r="E126" s="58">
        <v>0.0</v>
      </c>
      <c r="F126" s="52">
        <f t="shared" si="1"/>
        <v>1</v>
      </c>
      <c r="G126" s="134"/>
      <c r="H126" s="134">
        <v>14500.0</v>
      </c>
      <c r="I126" s="54">
        <f t="shared" si="2"/>
        <v>14500</v>
      </c>
      <c r="J126" s="182" t="s">
        <v>433</v>
      </c>
      <c r="K126" s="136" t="s">
        <v>429</v>
      </c>
      <c r="L126" s="136" t="s">
        <v>430</v>
      </c>
      <c r="M126" s="136" t="s">
        <v>431</v>
      </c>
      <c r="N126" s="126"/>
      <c r="O126" s="126"/>
      <c r="P126" s="126"/>
      <c r="Q126" s="183">
        <v>46394.0</v>
      </c>
      <c r="R126" s="128"/>
      <c r="S126" s="165"/>
      <c r="T126" s="165"/>
      <c r="U126" s="165"/>
      <c r="V126" s="165"/>
      <c r="W126" s="165"/>
      <c r="X126" s="165"/>
      <c r="Y126" s="165"/>
      <c r="Z126" s="165"/>
    </row>
    <row r="127" ht="15.75" customHeight="1">
      <c r="A127" s="169" t="s">
        <v>425</v>
      </c>
      <c r="B127" s="176" t="s">
        <v>426</v>
      </c>
      <c r="C127" s="177" t="s">
        <v>427</v>
      </c>
      <c r="D127" s="80">
        <v>1.0</v>
      </c>
      <c r="E127" s="43">
        <v>0.0</v>
      </c>
      <c r="F127" s="35">
        <f t="shared" si="1"/>
        <v>1</v>
      </c>
      <c r="G127" s="171"/>
      <c r="H127" s="171">
        <v>14500.0</v>
      </c>
      <c r="I127" s="40">
        <f t="shared" si="2"/>
        <v>14500</v>
      </c>
      <c r="J127" s="178" t="s">
        <v>434</v>
      </c>
      <c r="K127" s="138" t="s">
        <v>429</v>
      </c>
      <c r="L127" s="138" t="s">
        <v>430</v>
      </c>
      <c r="M127" s="138" t="s">
        <v>431</v>
      </c>
      <c r="N127" s="172"/>
      <c r="O127" s="172"/>
      <c r="P127" s="172"/>
      <c r="Q127" s="179">
        <v>46394.0</v>
      </c>
      <c r="R127" s="173"/>
      <c r="S127" s="165"/>
      <c r="T127" s="165"/>
      <c r="U127" s="165"/>
      <c r="V127" s="165"/>
      <c r="W127" s="165"/>
      <c r="X127" s="165"/>
      <c r="Y127" s="165"/>
      <c r="Z127" s="165"/>
    </row>
    <row r="128" ht="15.75" customHeight="1">
      <c r="A128" s="132">
        <v>16.0</v>
      </c>
      <c r="B128" s="184" t="s">
        <v>435</v>
      </c>
      <c r="C128" s="185" t="s">
        <v>305</v>
      </c>
      <c r="D128" s="186">
        <v>2.0</v>
      </c>
      <c r="E128" s="58">
        <v>2.0</v>
      </c>
      <c r="F128" s="52">
        <f t="shared" si="1"/>
        <v>0</v>
      </c>
      <c r="G128" s="187"/>
      <c r="H128" s="187">
        <v>294800.0</v>
      </c>
      <c r="I128" s="54">
        <f t="shared" si="2"/>
        <v>589600</v>
      </c>
      <c r="J128" s="188" t="s">
        <v>58</v>
      </c>
      <c r="K128" s="136" t="s">
        <v>440</v>
      </c>
      <c r="L128" s="136" t="s">
        <v>257</v>
      </c>
      <c r="M128" s="136" t="s">
        <v>258</v>
      </c>
      <c r="N128" s="126"/>
      <c r="O128" s="126"/>
      <c r="P128" s="126"/>
      <c r="Q128" s="126"/>
      <c r="R128" s="128"/>
      <c r="S128" s="165"/>
      <c r="T128" s="165"/>
      <c r="U128" s="165"/>
      <c r="V128" s="165"/>
      <c r="W128" s="165"/>
      <c r="X128" s="165"/>
      <c r="Y128" s="165"/>
      <c r="Z128" s="165"/>
    </row>
    <row r="129" ht="15.75" customHeight="1">
      <c r="A129" s="169">
        <v>16.0</v>
      </c>
      <c r="B129" s="189" t="s">
        <v>435</v>
      </c>
      <c r="C129" s="177" t="s">
        <v>305</v>
      </c>
      <c r="D129" s="64">
        <v>1.0</v>
      </c>
      <c r="E129" s="43">
        <v>1.0</v>
      </c>
      <c r="F129" s="35">
        <f t="shared" si="1"/>
        <v>0</v>
      </c>
      <c r="G129" s="190"/>
      <c r="H129" s="190">
        <v>294800.0</v>
      </c>
      <c r="I129" s="40">
        <f t="shared" si="2"/>
        <v>294800</v>
      </c>
      <c r="J129" s="64" t="s">
        <v>103</v>
      </c>
      <c r="K129" s="138" t="s">
        <v>440</v>
      </c>
      <c r="L129" s="138" t="s">
        <v>445</v>
      </c>
      <c r="M129" s="138" t="s">
        <v>446</v>
      </c>
      <c r="N129" s="43"/>
      <c r="O129" s="43"/>
      <c r="P129" s="44"/>
      <c r="Q129" s="44"/>
      <c r="R129" s="48"/>
      <c r="S129" s="71"/>
      <c r="T129" s="71"/>
      <c r="U129" s="71"/>
      <c r="V129" s="71"/>
      <c r="W129" s="71"/>
      <c r="X129" s="71"/>
      <c r="Y129" s="71"/>
      <c r="Z129" s="71"/>
    </row>
    <row r="130" ht="15.75" customHeight="1">
      <c r="A130" s="132">
        <v>16.0</v>
      </c>
      <c r="B130" s="184" t="s">
        <v>435</v>
      </c>
      <c r="C130" s="181" t="s">
        <v>305</v>
      </c>
      <c r="D130" s="55">
        <v>1.0</v>
      </c>
      <c r="E130" s="58">
        <v>1.0</v>
      </c>
      <c r="F130" s="52">
        <f t="shared" si="1"/>
        <v>0</v>
      </c>
      <c r="G130" s="187"/>
      <c r="H130" s="187">
        <v>294800.0</v>
      </c>
      <c r="I130" s="54">
        <f t="shared" si="2"/>
        <v>294800</v>
      </c>
      <c r="J130" s="55" t="s">
        <v>447</v>
      </c>
      <c r="K130" s="136" t="s">
        <v>440</v>
      </c>
      <c r="L130" s="136" t="s">
        <v>257</v>
      </c>
      <c r="M130" s="136" t="s">
        <v>446</v>
      </c>
      <c r="N130" s="59"/>
      <c r="O130" s="59"/>
      <c r="P130" s="59"/>
      <c r="Q130" s="59"/>
      <c r="R130" s="61"/>
      <c r="S130" s="71"/>
      <c r="T130" s="71"/>
      <c r="U130" s="71"/>
      <c r="V130" s="71"/>
      <c r="W130" s="71"/>
      <c r="X130" s="71"/>
      <c r="Y130" s="71"/>
      <c r="Z130" s="71"/>
    </row>
    <row r="131" ht="15.75" customHeight="1">
      <c r="A131" s="169">
        <v>16.0</v>
      </c>
      <c r="B131" s="189" t="s">
        <v>435</v>
      </c>
      <c r="C131" s="177" t="s">
        <v>305</v>
      </c>
      <c r="D131" s="64">
        <v>1.0</v>
      </c>
      <c r="E131" s="43">
        <v>1.0</v>
      </c>
      <c r="F131" s="35">
        <f t="shared" si="1"/>
        <v>0</v>
      </c>
      <c r="G131" s="190"/>
      <c r="H131" s="190">
        <v>294800.0</v>
      </c>
      <c r="I131" s="40">
        <f t="shared" si="2"/>
        <v>294800</v>
      </c>
      <c r="J131" s="64" t="s">
        <v>201</v>
      </c>
      <c r="K131" s="138" t="s">
        <v>440</v>
      </c>
      <c r="L131" s="138" t="s">
        <v>257</v>
      </c>
      <c r="M131" s="138" t="s">
        <v>446</v>
      </c>
      <c r="N131" s="109"/>
      <c r="O131" s="109"/>
      <c r="P131" s="109"/>
      <c r="Q131" s="109"/>
      <c r="R131" s="66"/>
      <c r="S131" s="71"/>
      <c r="T131" s="71"/>
      <c r="U131" s="71"/>
      <c r="V131" s="71"/>
      <c r="W131" s="71"/>
      <c r="X131" s="71"/>
      <c r="Y131" s="71"/>
      <c r="Z131" s="71"/>
    </row>
    <row r="132" ht="30.0" customHeight="1">
      <c r="A132" s="49">
        <v>17.0</v>
      </c>
      <c r="B132" s="49" t="s">
        <v>448</v>
      </c>
      <c r="C132" s="49" t="s">
        <v>310</v>
      </c>
      <c r="D132" s="55">
        <v>1.0</v>
      </c>
      <c r="E132" s="58">
        <v>1.0</v>
      </c>
      <c r="F132" s="52">
        <f t="shared" si="1"/>
        <v>0</v>
      </c>
      <c r="G132" s="53"/>
      <c r="H132" s="53">
        <v>145000.0</v>
      </c>
      <c r="I132" s="54">
        <f t="shared" si="2"/>
        <v>145000</v>
      </c>
      <c r="J132" s="55" t="s">
        <v>58</v>
      </c>
      <c r="K132" s="58" t="s">
        <v>449</v>
      </c>
      <c r="L132" s="136" t="s">
        <v>257</v>
      </c>
      <c r="M132" s="136" t="s">
        <v>446</v>
      </c>
      <c r="N132" s="59"/>
      <c r="O132" s="59"/>
      <c r="P132" s="59"/>
      <c r="Q132" s="59"/>
      <c r="R132" s="191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33">
        <v>17.0</v>
      </c>
      <c r="B133" s="33" t="s">
        <v>448</v>
      </c>
      <c r="C133" s="33" t="s">
        <v>310</v>
      </c>
      <c r="D133" s="64">
        <v>1.0</v>
      </c>
      <c r="E133" s="43">
        <v>1.0</v>
      </c>
      <c r="F133" s="35">
        <f t="shared" si="1"/>
        <v>0</v>
      </c>
      <c r="G133" s="37"/>
      <c r="H133" s="37">
        <v>145000.0</v>
      </c>
      <c r="I133" s="40">
        <f t="shared" si="2"/>
        <v>145000</v>
      </c>
      <c r="J133" s="64" t="s">
        <v>232</v>
      </c>
      <c r="K133" s="43" t="s">
        <v>449</v>
      </c>
      <c r="L133" s="138" t="s">
        <v>257</v>
      </c>
      <c r="M133" s="138" t="s">
        <v>446</v>
      </c>
      <c r="N133" s="44"/>
      <c r="O133" s="44"/>
      <c r="P133" s="44"/>
      <c r="Q133" s="44"/>
      <c r="R133" s="192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49">
        <v>17.0</v>
      </c>
      <c r="B134" s="49" t="s">
        <v>448</v>
      </c>
      <c r="C134" s="49" t="s">
        <v>310</v>
      </c>
      <c r="D134" s="55">
        <v>1.0</v>
      </c>
      <c r="E134" s="58">
        <v>1.0</v>
      </c>
      <c r="F134" s="52">
        <f t="shared" si="1"/>
        <v>0</v>
      </c>
      <c r="G134" s="53"/>
      <c r="H134" s="53">
        <v>145000.0</v>
      </c>
      <c r="I134" s="54">
        <f t="shared" si="2"/>
        <v>145000</v>
      </c>
      <c r="J134" s="55" t="s">
        <v>117</v>
      </c>
      <c r="K134" s="58" t="s">
        <v>449</v>
      </c>
      <c r="L134" s="136" t="s">
        <v>257</v>
      </c>
      <c r="M134" s="136" t="s">
        <v>446</v>
      </c>
      <c r="N134" s="59"/>
      <c r="O134" s="59"/>
      <c r="P134" s="59"/>
      <c r="Q134" s="59"/>
      <c r="R134" s="191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33">
        <v>17.0</v>
      </c>
      <c r="B135" s="33" t="s">
        <v>448</v>
      </c>
      <c r="C135" s="33" t="s">
        <v>310</v>
      </c>
      <c r="D135" s="64">
        <v>1.0</v>
      </c>
      <c r="E135" s="43">
        <v>1.0</v>
      </c>
      <c r="F135" s="35">
        <f t="shared" si="1"/>
        <v>0</v>
      </c>
      <c r="G135" s="37"/>
      <c r="H135" s="37">
        <v>145000.0</v>
      </c>
      <c r="I135" s="40">
        <f t="shared" si="2"/>
        <v>145000</v>
      </c>
      <c r="J135" s="64" t="s">
        <v>96</v>
      </c>
      <c r="K135" s="43" t="s">
        <v>449</v>
      </c>
      <c r="L135" s="138" t="s">
        <v>257</v>
      </c>
      <c r="M135" s="138" t="s">
        <v>446</v>
      </c>
      <c r="N135" s="44"/>
      <c r="O135" s="44"/>
      <c r="P135" s="44"/>
      <c r="Q135" s="44"/>
      <c r="R135" s="192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49">
        <v>17.0</v>
      </c>
      <c r="B136" s="49" t="s">
        <v>448</v>
      </c>
      <c r="C136" s="49" t="s">
        <v>310</v>
      </c>
      <c r="D136" s="55">
        <v>1.0</v>
      </c>
      <c r="E136" s="58">
        <v>1.0</v>
      </c>
      <c r="F136" s="52">
        <f t="shared" si="1"/>
        <v>0</v>
      </c>
      <c r="G136" s="53"/>
      <c r="H136" s="53">
        <v>145000.0</v>
      </c>
      <c r="I136" s="54">
        <f t="shared" si="2"/>
        <v>145000</v>
      </c>
      <c r="J136" s="55" t="s">
        <v>113</v>
      </c>
      <c r="K136" s="58" t="s">
        <v>449</v>
      </c>
      <c r="L136" s="136" t="s">
        <v>257</v>
      </c>
      <c r="M136" s="136" t="s">
        <v>446</v>
      </c>
      <c r="N136" s="59"/>
      <c r="O136" s="59"/>
      <c r="P136" s="59"/>
      <c r="Q136" s="59"/>
      <c r="R136" s="191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33">
        <v>17.0</v>
      </c>
      <c r="B137" s="33" t="s">
        <v>448</v>
      </c>
      <c r="C137" s="33" t="s">
        <v>310</v>
      </c>
      <c r="D137" s="64">
        <v>1.0</v>
      </c>
      <c r="E137" s="43">
        <v>1.0</v>
      </c>
      <c r="F137" s="35">
        <f t="shared" si="1"/>
        <v>0</v>
      </c>
      <c r="G137" s="37"/>
      <c r="H137" s="37">
        <v>145000.0</v>
      </c>
      <c r="I137" s="40">
        <f t="shared" si="2"/>
        <v>145000</v>
      </c>
      <c r="J137" s="64" t="s">
        <v>161</v>
      </c>
      <c r="K137" s="43" t="s">
        <v>449</v>
      </c>
      <c r="L137" s="138" t="s">
        <v>257</v>
      </c>
      <c r="M137" s="138" t="s">
        <v>446</v>
      </c>
      <c r="N137" s="44"/>
      <c r="O137" s="44"/>
      <c r="P137" s="44"/>
      <c r="Q137" s="44"/>
      <c r="R137" s="192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49">
        <v>17.0</v>
      </c>
      <c r="B138" s="49" t="s">
        <v>448</v>
      </c>
      <c r="C138" s="49" t="s">
        <v>310</v>
      </c>
      <c r="D138" s="55">
        <v>1.0</v>
      </c>
      <c r="E138" s="58">
        <v>1.0</v>
      </c>
      <c r="F138" s="52">
        <f t="shared" si="1"/>
        <v>0</v>
      </c>
      <c r="G138" s="53"/>
      <c r="H138" s="53">
        <v>145000.0</v>
      </c>
      <c r="I138" s="54">
        <f t="shared" si="2"/>
        <v>145000</v>
      </c>
      <c r="J138" s="55" t="s">
        <v>228</v>
      </c>
      <c r="K138" s="58" t="s">
        <v>449</v>
      </c>
      <c r="L138" s="136" t="s">
        <v>257</v>
      </c>
      <c r="M138" s="136" t="s">
        <v>258</v>
      </c>
      <c r="N138" s="59"/>
      <c r="O138" s="59"/>
      <c r="P138" s="59"/>
      <c r="Q138" s="59"/>
      <c r="R138" s="191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33">
        <v>17.0</v>
      </c>
      <c r="B139" s="33" t="s">
        <v>448</v>
      </c>
      <c r="C139" s="33" t="s">
        <v>310</v>
      </c>
      <c r="D139" s="64">
        <v>1.0</v>
      </c>
      <c r="E139" s="43">
        <v>1.0</v>
      </c>
      <c r="F139" s="35">
        <f t="shared" si="1"/>
        <v>0</v>
      </c>
      <c r="G139" s="37"/>
      <c r="H139" s="37">
        <v>145000.0</v>
      </c>
      <c r="I139" s="40">
        <f t="shared" si="2"/>
        <v>145000</v>
      </c>
      <c r="J139" s="64" t="s">
        <v>454</v>
      </c>
      <c r="K139" s="43" t="s">
        <v>449</v>
      </c>
      <c r="L139" s="138" t="s">
        <v>257</v>
      </c>
      <c r="M139" s="138" t="s">
        <v>446</v>
      </c>
      <c r="N139" s="44"/>
      <c r="O139" s="44"/>
      <c r="P139" s="44"/>
      <c r="Q139" s="44"/>
      <c r="R139" s="192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49">
        <v>17.0</v>
      </c>
      <c r="B140" s="49" t="s">
        <v>448</v>
      </c>
      <c r="C140" s="49" t="s">
        <v>310</v>
      </c>
      <c r="D140" s="55">
        <v>1.0</v>
      </c>
      <c r="E140" s="58">
        <v>1.0</v>
      </c>
      <c r="F140" s="52">
        <f t="shared" si="1"/>
        <v>0</v>
      </c>
      <c r="G140" s="53"/>
      <c r="H140" s="53">
        <v>145000.0</v>
      </c>
      <c r="I140" s="54">
        <f t="shared" si="2"/>
        <v>145000</v>
      </c>
      <c r="J140" s="55" t="s">
        <v>175</v>
      </c>
      <c r="K140" s="58" t="s">
        <v>449</v>
      </c>
      <c r="L140" s="136" t="s">
        <v>257</v>
      </c>
      <c r="M140" s="136" t="s">
        <v>446</v>
      </c>
      <c r="N140" s="59"/>
      <c r="O140" s="59"/>
      <c r="P140" s="59"/>
      <c r="Q140" s="59"/>
      <c r="R140" s="191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33">
        <v>17.0</v>
      </c>
      <c r="B141" s="33" t="s">
        <v>448</v>
      </c>
      <c r="C141" s="33" t="s">
        <v>310</v>
      </c>
      <c r="D141" s="64">
        <v>1.0</v>
      </c>
      <c r="E141" s="43">
        <v>1.0</v>
      </c>
      <c r="F141" s="35">
        <f t="shared" si="1"/>
        <v>0</v>
      </c>
      <c r="G141" s="37"/>
      <c r="H141" s="37">
        <v>145000.0</v>
      </c>
      <c r="I141" s="40">
        <f t="shared" si="2"/>
        <v>145000</v>
      </c>
      <c r="J141" s="64" t="s">
        <v>447</v>
      </c>
      <c r="K141" s="43" t="s">
        <v>449</v>
      </c>
      <c r="L141" s="138" t="s">
        <v>257</v>
      </c>
      <c r="M141" s="138" t="s">
        <v>446</v>
      </c>
      <c r="N141" s="44"/>
      <c r="O141" s="44"/>
      <c r="P141" s="44"/>
      <c r="Q141" s="44"/>
      <c r="R141" s="192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49">
        <v>17.0</v>
      </c>
      <c r="B142" s="49" t="s">
        <v>448</v>
      </c>
      <c r="C142" s="49" t="s">
        <v>310</v>
      </c>
      <c r="D142" s="55">
        <v>1.0</v>
      </c>
      <c r="E142" s="58">
        <v>1.0</v>
      </c>
      <c r="F142" s="52">
        <f t="shared" si="1"/>
        <v>0</v>
      </c>
      <c r="G142" s="53"/>
      <c r="H142" s="53">
        <v>145000.0</v>
      </c>
      <c r="I142" s="54">
        <f t="shared" si="2"/>
        <v>145000</v>
      </c>
      <c r="J142" s="55" t="s">
        <v>160</v>
      </c>
      <c r="K142" s="58" t="s">
        <v>449</v>
      </c>
      <c r="L142" s="136" t="s">
        <v>257</v>
      </c>
      <c r="M142" s="136" t="s">
        <v>446</v>
      </c>
      <c r="N142" s="59"/>
      <c r="O142" s="59"/>
      <c r="P142" s="59"/>
      <c r="Q142" s="59"/>
      <c r="R142" s="195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33">
        <v>17.0</v>
      </c>
      <c r="B143" s="33" t="s">
        <v>448</v>
      </c>
      <c r="C143" s="33" t="s">
        <v>310</v>
      </c>
      <c r="D143" s="64">
        <v>1.0</v>
      </c>
      <c r="E143" s="43">
        <v>1.0</v>
      </c>
      <c r="F143" s="35">
        <f t="shared" si="1"/>
        <v>0</v>
      </c>
      <c r="G143" s="37"/>
      <c r="H143" s="37">
        <v>145000.0</v>
      </c>
      <c r="I143" s="40">
        <f t="shared" si="2"/>
        <v>145000</v>
      </c>
      <c r="J143" s="64" t="s">
        <v>196</v>
      </c>
      <c r="K143" s="43" t="s">
        <v>449</v>
      </c>
      <c r="L143" s="138" t="s">
        <v>257</v>
      </c>
      <c r="M143" s="138" t="s">
        <v>446</v>
      </c>
      <c r="N143" s="44"/>
      <c r="O143" s="44"/>
      <c r="P143" s="44"/>
      <c r="Q143" s="44"/>
      <c r="R143" s="192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49">
        <v>17.0</v>
      </c>
      <c r="B144" s="49" t="s">
        <v>448</v>
      </c>
      <c r="C144" s="49" t="s">
        <v>310</v>
      </c>
      <c r="D144" s="55">
        <v>1.0</v>
      </c>
      <c r="E144" s="58">
        <v>1.0</v>
      </c>
      <c r="F144" s="52">
        <f t="shared" si="1"/>
        <v>0</v>
      </c>
      <c r="G144" s="53"/>
      <c r="H144" s="53">
        <v>145000.0</v>
      </c>
      <c r="I144" s="54">
        <f t="shared" si="2"/>
        <v>145000</v>
      </c>
      <c r="J144" s="55" t="s">
        <v>201</v>
      </c>
      <c r="K144" s="58" t="s">
        <v>449</v>
      </c>
      <c r="L144" s="136" t="s">
        <v>257</v>
      </c>
      <c r="M144" s="136" t="s">
        <v>446</v>
      </c>
      <c r="N144" s="59"/>
      <c r="O144" s="59"/>
      <c r="P144" s="59"/>
      <c r="Q144" s="59"/>
      <c r="R144" s="195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33">
        <v>17.0</v>
      </c>
      <c r="B145" s="33" t="s">
        <v>448</v>
      </c>
      <c r="C145" s="33" t="s">
        <v>310</v>
      </c>
      <c r="D145" s="64">
        <v>1.0</v>
      </c>
      <c r="E145" s="43">
        <v>1.0</v>
      </c>
      <c r="F145" s="35">
        <f t="shared" si="1"/>
        <v>0</v>
      </c>
      <c r="G145" s="37"/>
      <c r="H145" s="37">
        <v>145000.0</v>
      </c>
      <c r="I145" s="40">
        <f t="shared" si="2"/>
        <v>145000</v>
      </c>
      <c r="J145" s="64" t="s">
        <v>189</v>
      </c>
      <c r="K145" s="43" t="s">
        <v>449</v>
      </c>
      <c r="L145" s="138" t="s">
        <v>257</v>
      </c>
      <c r="M145" s="138" t="s">
        <v>446</v>
      </c>
      <c r="N145" s="44"/>
      <c r="O145" s="44"/>
      <c r="P145" s="44"/>
      <c r="Q145" s="44"/>
      <c r="R145" s="192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49">
        <v>17.0</v>
      </c>
      <c r="B146" s="49" t="s">
        <v>448</v>
      </c>
      <c r="C146" s="49" t="s">
        <v>310</v>
      </c>
      <c r="D146" s="55">
        <v>1.0</v>
      </c>
      <c r="E146" s="58">
        <v>1.0</v>
      </c>
      <c r="F146" s="52">
        <f t="shared" si="1"/>
        <v>0</v>
      </c>
      <c r="G146" s="53"/>
      <c r="H146" s="53">
        <v>145000.0</v>
      </c>
      <c r="I146" s="54">
        <f t="shared" si="2"/>
        <v>145000</v>
      </c>
      <c r="J146" s="55" t="s">
        <v>192</v>
      </c>
      <c r="K146" s="58" t="s">
        <v>449</v>
      </c>
      <c r="L146" s="136" t="s">
        <v>257</v>
      </c>
      <c r="M146" s="136" t="s">
        <v>446</v>
      </c>
      <c r="N146" s="59"/>
      <c r="O146" s="59"/>
      <c r="P146" s="59"/>
      <c r="Q146" s="59"/>
      <c r="R146" s="195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33">
        <v>17.0</v>
      </c>
      <c r="B147" s="33" t="s">
        <v>448</v>
      </c>
      <c r="C147" s="33" t="s">
        <v>310</v>
      </c>
      <c r="D147" s="64">
        <v>2.0</v>
      </c>
      <c r="E147" s="43">
        <v>2.0</v>
      </c>
      <c r="F147" s="35">
        <f t="shared" si="1"/>
        <v>0</v>
      </c>
      <c r="G147" s="37"/>
      <c r="H147" s="37">
        <v>145000.0</v>
      </c>
      <c r="I147" s="40">
        <f t="shared" si="2"/>
        <v>290000</v>
      </c>
      <c r="J147" s="64" t="s">
        <v>199</v>
      </c>
      <c r="K147" s="43" t="s">
        <v>449</v>
      </c>
      <c r="L147" s="138" t="s">
        <v>257</v>
      </c>
      <c r="M147" s="138" t="s">
        <v>446</v>
      </c>
      <c r="N147" s="44"/>
      <c r="O147" s="44"/>
      <c r="P147" s="44"/>
      <c r="Q147" s="44"/>
      <c r="R147" s="192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49">
        <v>17.0</v>
      </c>
      <c r="B148" s="49" t="s">
        <v>448</v>
      </c>
      <c r="C148" s="49" t="s">
        <v>310</v>
      </c>
      <c r="D148" s="55">
        <v>1.0</v>
      </c>
      <c r="E148" s="58">
        <v>1.0</v>
      </c>
      <c r="F148" s="52">
        <f t="shared" si="1"/>
        <v>0</v>
      </c>
      <c r="G148" s="53"/>
      <c r="H148" s="53">
        <v>145000.0</v>
      </c>
      <c r="I148" s="54">
        <f t="shared" si="2"/>
        <v>145000</v>
      </c>
      <c r="J148" s="55" t="s">
        <v>214</v>
      </c>
      <c r="K148" s="58" t="s">
        <v>449</v>
      </c>
      <c r="L148" s="136" t="s">
        <v>257</v>
      </c>
      <c r="M148" s="136" t="s">
        <v>446</v>
      </c>
      <c r="N148" s="59"/>
      <c r="O148" s="59"/>
      <c r="P148" s="59"/>
      <c r="Q148" s="59"/>
      <c r="R148" s="195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80" t="s">
        <v>469</v>
      </c>
      <c r="B149" s="68" t="s">
        <v>471</v>
      </c>
      <c r="C149" s="196" t="s">
        <v>472</v>
      </c>
      <c r="D149" s="33">
        <v>1.0</v>
      </c>
      <c r="E149" s="43">
        <v>1.0</v>
      </c>
      <c r="F149" s="35">
        <f t="shared" si="1"/>
        <v>0</v>
      </c>
      <c r="G149" s="37"/>
      <c r="H149" s="37">
        <v>673000.0</v>
      </c>
      <c r="I149" s="40">
        <f t="shared" si="2"/>
        <v>673000</v>
      </c>
      <c r="J149" s="197" t="s">
        <v>154</v>
      </c>
      <c r="K149" s="43" t="s">
        <v>478</v>
      </c>
      <c r="L149" s="43" t="s">
        <v>384</v>
      </c>
      <c r="M149" s="43" t="s">
        <v>227</v>
      </c>
      <c r="N149" s="44"/>
      <c r="O149" s="44"/>
      <c r="P149" s="44"/>
      <c r="Q149" s="44"/>
      <c r="R149" s="192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49">
        <v>19.0</v>
      </c>
      <c r="B150" s="49" t="s">
        <v>47</v>
      </c>
      <c r="C150" s="49" t="s">
        <v>49</v>
      </c>
      <c r="D150" s="55">
        <v>1.0</v>
      </c>
      <c r="E150" s="58">
        <v>0.0</v>
      </c>
      <c r="F150" s="52">
        <f t="shared" si="1"/>
        <v>1</v>
      </c>
      <c r="G150" s="53"/>
      <c r="H150" s="53"/>
      <c r="I150" s="54">
        <f t="shared" si="2"/>
        <v>0</v>
      </c>
      <c r="J150" s="55" t="s">
        <v>58</v>
      </c>
      <c r="K150" s="199" t="s">
        <v>480</v>
      </c>
      <c r="L150" s="200"/>
      <c r="M150" s="201"/>
      <c r="N150" s="59"/>
      <c r="O150" s="59"/>
      <c r="P150" s="59"/>
      <c r="Q150" s="59"/>
      <c r="R150" s="191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33">
        <v>19.0</v>
      </c>
      <c r="B151" s="33" t="s">
        <v>47</v>
      </c>
      <c r="C151" s="33" t="s">
        <v>49</v>
      </c>
      <c r="D151" s="64">
        <v>1.0</v>
      </c>
      <c r="E151" s="43">
        <v>0.0</v>
      </c>
      <c r="F151" s="35">
        <f t="shared" si="1"/>
        <v>1</v>
      </c>
      <c r="G151" s="37"/>
      <c r="H151" s="37"/>
      <c r="I151" s="40">
        <f t="shared" si="2"/>
        <v>0</v>
      </c>
      <c r="J151" s="64" t="s">
        <v>96</v>
      </c>
      <c r="K151" s="199" t="s">
        <v>480</v>
      </c>
      <c r="L151" s="202"/>
      <c r="M151" s="203"/>
      <c r="N151" s="121"/>
      <c r="O151" s="121"/>
      <c r="P151" s="121"/>
      <c r="Q151" s="121"/>
      <c r="R151" s="192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49">
        <v>19.0</v>
      </c>
      <c r="B152" s="49" t="s">
        <v>47</v>
      </c>
      <c r="C152" s="49" t="s">
        <v>49</v>
      </c>
      <c r="D152" s="55">
        <v>1.0</v>
      </c>
      <c r="E152" s="58">
        <v>0.0</v>
      </c>
      <c r="F152" s="52">
        <f t="shared" si="1"/>
        <v>1</v>
      </c>
      <c r="G152" s="54"/>
      <c r="H152" s="54"/>
      <c r="I152" s="54">
        <f t="shared" si="2"/>
        <v>0</v>
      </c>
      <c r="J152" s="55" t="s">
        <v>113</v>
      </c>
      <c r="K152" s="199" t="s">
        <v>480</v>
      </c>
      <c r="L152" s="200"/>
      <c r="M152" s="201"/>
      <c r="N152" s="59"/>
      <c r="O152" s="59"/>
      <c r="P152" s="59"/>
      <c r="Q152" s="120"/>
      <c r="R152" s="59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33">
        <v>19.0</v>
      </c>
      <c r="B153" s="33" t="s">
        <v>47</v>
      </c>
      <c r="C153" s="33" t="s">
        <v>49</v>
      </c>
      <c r="D153" s="64">
        <v>1.0</v>
      </c>
      <c r="E153" s="43">
        <v>0.0</v>
      </c>
      <c r="F153" s="35">
        <f t="shared" si="1"/>
        <v>1</v>
      </c>
      <c r="G153" s="40"/>
      <c r="H153" s="40"/>
      <c r="I153" s="40">
        <f t="shared" si="2"/>
        <v>0</v>
      </c>
      <c r="J153" s="64" t="s">
        <v>134</v>
      </c>
      <c r="K153" s="199" t="s">
        <v>480</v>
      </c>
      <c r="L153" s="202"/>
      <c r="M153" s="203"/>
      <c r="N153" s="44"/>
      <c r="O153" s="44"/>
      <c r="P153" s="44"/>
      <c r="Q153" s="119"/>
      <c r="R153" s="66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49">
        <v>19.0</v>
      </c>
      <c r="B154" s="49" t="s">
        <v>47</v>
      </c>
      <c r="C154" s="49" t="s">
        <v>49</v>
      </c>
      <c r="D154" s="55">
        <v>1.0</v>
      </c>
      <c r="E154" s="58">
        <v>0.0</v>
      </c>
      <c r="F154" s="52">
        <f t="shared" si="1"/>
        <v>1</v>
      </c>
      <c r="G154" s="54"/>
      <c r="H154" s="54"/>
      <c r="I154" s="54">
        <f t="shared" si="2"/>
        <v>0</v>
      </c>
      <c r="J154" s="55" t="s">
        <v>142</v>
      </c>
      <c r="K154" s="199" t="s">
        <v>480</v>
      </c>
      <c r="L154" s="200"/>
      <c r="M154" s="201"/>
      <c r="N154" s="59"/>
      <c r="O154" s="59"/>
      <c r="P154" s="59"/>
      <c r="Q154" s="120"/>
      <c r="R154" s="61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33">
        <v>19.0</v>
      </c>
      <c r="B155" s="33" t="s">
        <v>47</v>
      </c>
      <c r="C155" s="33" t="s">
        <v>49</v>
      </c>
      <c r="D155" s="64">
        <v>1.0</v>
      </c>
      <c r="E155" s="43">
        <v>0.0</v>
      </c>
      <c r="F155" s="35">
        <f t="shared" si="1"/>
        <v>1</v>
      </c>
      <c r="G155" s="40"/>
      <c r="H155" s="40"/>
      <c r="I155" s="40">
        <f t="shared" si="2"/>
        <v>0</v>
      </c>
      <c r="J155" s="64" t="s">
        <v>161</v>
      </c>
      <c r="K155" s="199" t="s">
        <v>480</v>
      </c>
      <c r="L155" s="202"/>
      <c r="M155" s="203"/>
      <c r="N155" s="44"/>
      <c r="O155" s="44"/>
      <c r="P155" s="44"/>
      <c r="Q155" s="119"/>
      <c r="R155" s="66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49">
        <v>19.0</v>
      </c>
      <c r="B156" s="49" t="s">
        <v>47</v>
      </c>
      <c r="C156" s="49" t="s">
        <v>49</v>
      </c>
      <c r="D156" s="55">
        <v>1.0</v>
      </c>
      <c r="E156" s="58">
        <v>0.0</v>
      </c>
      <c r="F156" s="52">
        <f t="shared" si="1"/>
        <v>1</v>
      </c>
      <c r="G156" s="54"/>
      <c r="H156" s="54"/>
      <c r="I156" s="54">
        <f t="shared" si="2"/>
        <v>0</v>
      </c>
      <c r="J156" s="55" t="s">
        <v>175</v>
      </c>
      <c r="K156" s="199" t="s">
        <v>480</v>
      </c>
      <c r="L156" s="200"/>
      <c r="M156" s="201"/>
      <c r="N156" s="59"/>
      <c r="O156" s="59"/>
      <c r="P156" s="59"/>
      <c r="Q156" s="120"/>
      <c r="R156" s="61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33">
        <v>19.0</v>
      </c>
      <c r="B157" s="33" t="s">
        <v>47</v>
      </c>
      <c r="C157" s="33" t="s">
        <v>49</v>
      </c>
      <c r="D157" s="64">
        <v>1.0</v>
      </c>
      <c r="E157" s="43">
        <v>0.0</v>
      </c>
      <c r="F157" s="35">
        <f t="shared" si="1"/>
        <v>1</v>
      </c>
      <c r="G157" s="40"/>
      <c r="H157" s="40"/>
      <c r="I157" s="40">
        <f t="shared" si="2"/>
        <v>0</v>
      </c>
      <c r="J157" s="64" t="s">
        <v>188</v>
      </c>
      <c r="K157" s="199" t="s">
        <v>480</v>
      </c>
      <c r="L157" s="202"/>
      <c r="M157" s="203"/>
      <c r="N157" s="44"/>
      <c r="O157" s="44"/>
      <c r="P157" s="44"/>
      <c r="Q157" s="119"/>
      <c r="R157" s="66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49">
        <v>19.0</v>
      </c>
      <c r="B158" s="49" t="s">
        <v>47</v>
      </c>
      <c r="C158" s="49" t="s">
        <v>49</v>
      </c>
      <c r="D158" s="55">
        <v>1.0</v>
      </c>
      <c r="E158" s="58">
        <v>0.0</v>
      </c>
      <c r="F158" s="52">
        <f t="shared" si="1"/>
        <v>1</v>
      </c>
      <c r="G158" s="54"/>
      <c r="H158" s="54"/>
      <c r="I158" s="54">
        <f t="shared" si="2"/>
        <v>0</v>
      </c>
      <c r="J158" s="55" t="s">
        <v>160</v>
      </c>
      <c r="K158" s="199" t="s">
        <v>480</v>
      </c>
      <c r="L158" s="200"/>
      <c r="M158" s="201"/>
      <c r="N158" s="59"/>
      <c r="O158" s="59"/>
      <c r="P158" s="59"/>
      <c r="Q158" s="120"/>
      <c r="R158" s="61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33">
        <v>19.0</v>
      </c>
      <c r="B159" s="33" t="s">
        <v>47</v>
      </c>
      <c r="C159" s="33" t="s">
        <v>49</v>
      </c>
      <c r="D159" s="64">
        <v>1.0</v>
      </c>
      <c r="E159" s="43">
        <v>0.0</v>
      </c>
      <c r="F159" s="35">
        <f t="shared" si="1"/>
        <v>1</v>
      </c>
      <c r="G159" s="40"/>
      <c r="H159" s="40"/>
      <c r="I159" s="40">
        <f t="shared" si="2"/>
        <v>0</v>
      </c>
      <c r="J159" s="64" t="s">
        <v>196</v>
      </c>
      <c r="K159" s="199" t="s">
        <v>480</v>
      </c>
      <c r="L159" s="202"/>
      <c r="M159" s="203"/>
      <c r="N159" s="44"/>
      <c r="O159" s="44"/>
      <c r="P159" s="44"/>
      <c r="Q159" s="119"/>
      <c r="R159" s="66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49">
        <v>19.0</v>
      </c>
      <c r="B160" s="49" t="s">
        <v>47</v>
      </c>
      <c r="C160" s="49" t="s">
        <v>49</v>
      </c>
      <c r="D160" s="55">
        <v>10.0</v>
      </c>
      <c r="E160" s="58">
        <v>0.0</v>
      </c>
      <c r="F160" s="52">
        <f t="shared" si="1"/>
        <v>10</v>
      </c>
      <c r="G160" s="54"/>
      <c r="H160" s="54"/>
      <c r="I160" s="54">
        <f t="shared" si="2"/>
        <v>0</v>
      </c>
      <c r="J160" s="55" t="s">
        <v>201</v>
      </c>
      <c r="K160" s="199" t="s">
        <v>480</v>
      </c>
      <c r="L160" s="200"/>
      <c r="M160" s="201"/>
      <c r="N160" s="59"/>
      <c r="O160" s="59"/>
      <c r="P160" s="59"/>
      <c r="Q160" s="120"/>
      <c r="R160" s="61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33">
        <v>19.0</v>
      </c>
      <c r="B161" s="33" t="s">
        <v>47</v>
      </c>
      <c r="C161" s="33" t="s">
        <v>49</v>
      </c>
      <c r="D161" s="64">
        <v>3.0</v>
      </c>
      <c r="E161" s="43">
        <v>0.0</v>
      </c>
      <c r="F161" s="35">
        <f t="shared" si="1"/>
        <v>3</v>
      </c>
      <c r="G161" s="40"/>
      <c r="H161" s="40"/>
      <c r="I161" s="40">
        <f t="shared" si="2"/>
        <v>0</v>
      </c>
      <c r="J161" s="64" t="s">
        <v>199</v>
      </c>
      <c r="K161" s="199" t="s">
        <v>480</v>
      </c>
      <c r="L161" s="202"/>
      <c r="M161" s="203"/>
      <c r="N161" s="44"/>
      <c r="O161" s="44"/>
      <c r="P161" s="44"/>
      <c r="Q161" s="119"/>
      <c r="R161" s="66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49">
        <v>19.0</v>
      </c>
      <c r="B162" s="49" t="s">
        <v>47</v>
      </c>
      <c r="C162" s="49" t="s">
        <v>49</v>
      </c>
      <c r="D162" s="55">
        <v>7.0</v>
      </c>
      <c r="E162" s="58">
        <v>0.0</v>
      </c>
      <c r="F162" s="52">
        <f t="shared" si="1"/>
        <v>7</v>
      </c>
      <c r="G162" s="54"/>
      <c r="H162" s="54"/>
      <c r="I162" s="54">
        <f t="shared" si="2"/>
        <v>0</v>
      </c>
      <c r="J162" s="55" t="s">
        <v>214</v>
      </c>
      <c r="K162" s="199" t="s">
        <v>480</v>
      </c>
      <c r="L162" s="200"/>
      <c r="M162" s="201"/>
      <c r="N162" s="59"/>
      <c r="O162" s="59"/>
      <c r="P162" s="59"/>
      <c r="Q162" s="120"/>
      <c r="R162" s="61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33">
        <v>20.0</v>
      </c>
      <c r="B163" s="64" t="s">
        <v>481</v>
      </c>
      <c r="C163" s="205" t="s">
        <v>482</v>
      </c>
      <c r="D163" s="64">
        <v>20.0</v>
      </c>
      <c r="E163" s="43">
        <v>0.0</v>
      </c>
      <c r="F163" s="35">
        <f t="shared" si="1"/>
        <v>20</v>
      </c>
      <c r="G163" s="40"/>
      <c r="H163" s="40"/>
      <c r="I163" s="40">
        <f t="shared" si="2"/>
        <v>0</v>
      </c>
      <c r="J163" s="197" t="s">
        <v>189</v>
      </c>
      <c r="K163" s="44"/>
      <c r="L163" s="44"/>
      <c r="M163" s="44"/>
      <c r="N163" s="44"/>
      <c r="O163" s="44"/>
      <c r="P163" s="44"/>
      <c r="Q163" s="119"/>
      <c r="R163" s="66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49" t="s">
        <v>483</v>
      </c>
      <c r="B164" s="49" t="s">
        <v>484</v>
      </c>
      <c r="C164" s="49" t="s">
        <v>419</v>
      </c>
      <c r="D164" s="55">
        <v>3.0</v>
      </c>
      <c r="E164" s="209">
        <v>2.0</v>
      </c>
      <c r="F164" s="52">
        <f t="shared" si="1"/>
        <v>1</v>
      </c>
      <c r="G164" s="53" t="s">
        <v>485</v>
      </c>
      <c r="H164" s="53">
        <v>218000.0</v>
      </c>
      <c r="I164" s="54">
        <f t="shared" si="2"/>
        <v>654000</v>
      </c>
      <c r="J164" s="62" t="s">
        <v>188</v>
      </c>
      <c r="K164" s="58" t="s">
        <v>489</v>
      </c>
      <c r="L164" s="58" t="s">
        <v>490</v>
      </c>
      <c r="M164" s="58" t="s">
        <v>491</v>
      </c>
      <c r="N164" s="59"/>
      <c r="O164" s="59"/>
      <c r="P164" s="59"/>
      <c r="Q164" s="183">
        <v>46379.0</v>
      </c>
      <c r="R164" s="61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33" t="s">
        <v>483</v>
      </c>
      <c r="B165" s="33" t="s">
        <v>484</v>
      </c>
      <c r="C165" s="33" t="s">
        <v>419</v>
      </c>
      <c r="D165" s="64">
        <v>1.0</v>
      </c>
      <c r="E165" s="111">
        <v>1.0</v>
      </c>
      <c r="F165" s="35">
        <f t="shared" si="1"/>
        <v>0</v>
      </c>
      <c r="G165" s="37"/>
      <c r="H165" s="37">
        <v>218000.0</v>
      </c>
      <c r="I165" s="40">
        <f t="shared" si="2"/>
        <v>218000</v>
      </c>
      <c r="J165" s="64" t="s">
        <v>85</v>
      </c>
      <c r="K165" s="43" t="s">
        <v>489</v>
      </c>
      <c r="L165" s="43" t="s">
        <v>493</v>
      </c>
      <c r="M165" s="43" t="s">
        <v>491</v>
      </c>
      <c r="N165" s="44"/>
      <c r="O165" s="44"/>
      <c r="P165" s="44"/>
      <c r="Q165" s="179">
        <v>46379.0</v>
      </c>
      <c r="R165" s="66"/>
      <c r="S165" s="71"/>
      <c r="T165" s="71"/>
      <c r="U165" s="71"/>
      <c r="V165" s="71"/>
      <c r="W165" s="71"/>
      <c r="X165" s="71"/>
      <c r="Y165" s="71"/>
      <c r="Z165" s="71"/>
    </row>
    <row r="166" ht="15.75" customHeight="1">
      <c r="A166" s="49" t="s">
        <v>483</v>
      </c>
      <c r="B166" s="49" t="s">
        <v>484</v>
      </c>
      <c r="C166" s="49" t="s">
        <v>419</v>
      </c>
      <c r="D166" s="55">
        <v>2.0</v>
      </c>
      <c r="E166" s="111">
        <v>2.0</v>
      </c>
      <c r="F166" s="52">
        <f t="shared" si="1"/>
        <v>0</v>
      </c>
      <c r="G166" s="53"/>
      <c r="H166" s="53">
        <v>218000.0</v>
      </c>
      <c r="I166" s="54">
        <f t="shared" si="2"/>
        <v>436000</v>
      </c>
      <c r="J166" s="55" t="s">
        <v>113</v>
      </c>
      <c r="K166" s="58" t="s">
        <v>489</v>
      </c>
      <c r="L166" s="58" t="s">
        <v>493</v>
      </c>
      <c r="M166" s="58" t="s">
        <v>494</v>
      </c>
      <c r="N166" s="59"/>
      <c r="O166" s="59"/>
      <c r="P166" s="59"/>
      <c r="Q166" s="183">
        <v>46379.0</v>
      </c>
      <c r="R166" s="61"/>
      <c r="S166" s="71"/>
      <c r="T166" s="71"/>
      <c r="U166" s="71"/>
      <c r="V166" s="71"/>
      <c r="W166" s="71"/>
      <c r="X166" s="71"/>
      <c r="Y166" s="71"/>
      <c r="Z166" s="71"/>
    </row>
    <row r="167" ht="15.75" customHeight="1">
      <c r="A167" s="33" t="s">
        <v>483</v>
      </c>
      <c r="B167" s="33" t="s">
        <v>484</v>
      </c>
      <c r="C167" s="33" t="s">
        <v>419</v>
      </c>
      <c r="D167" s="64">
        <v>1.0</v>
      </c>
      <c r="E167" s="111">
        <v>1.0</v>
      </c>
      <c r="F167" s="35">
        <f t="shared" si="1"/>
        <v>0</v>
      </c>
      <c r="G167" s="37"/>
      <c r="H167" s="37">
        <v>218000.0</v>
      </c>
      <c r="I167" s="40">
        <f t="shared" si="2"/>
        <v>218000</v>
      </c>
      <c r="J167" s="64" t="s">
        <v>117</v>
      </c>
      <c r="K167" s="43" t="s">
        <v>489</v>
      </c>
      <c r="L167" s="43" t="s">
        <v>493</v>
      </c>
      <c r="M167" s="43" t="s">
        <v>494</v>
      </c>
      <c r="N167" s="44"/>
      <c r="O167" s="44"/>
      <c r="P167" s="44"/>
      <c r="Q167" s="179">
        <v>46379.0</v>
      </c>
      <c r="R167" s="66"/>
      <c r="S167" s="71"/>
      <c r="T167" s="71"/>
      <c r="U167" s="71"/>
      <c r="V167" s="71"/>
      <c r="W167" s="71"/>
      <c r="X167" s="71"/>
      <c r="Y167" s="71"/>
      <c r="Z167" s="71"/>
    </row>
    <row r="168" ht="15.75" customHeight="1">
      <c r="A168" s="49" t="s">
        <v>483</v>
      </c>
      <c r="B168" s="49" t="s">
        <v>484</v>
      </c>
      <c r="C168" s="49" t="s">
        <v>419</v>
      </c>
      <c r="D168" s="55">
        <v>1.0</v>
      </c>
      <c r="E168" s="111">
        <v>1.0</v>
      </c>
      <c r="F168" s="52">
        <f t="shared" si="1"/>
        <v>0</v>
      </c>
      <c r="G168" s="53"/>
      <c r="H168" s="53">
        <v>218000.0</v>
      </c>
      <c r="I168" s="54">
        <f t="shared" si="2"/>
        <v>218000</v>
      </c>
      <c r="J168" s="55" t="s">
        <v>161</v>
      </c>
      <c r="K168" s="58" t="s">
        <v>489</v>
      </c>
      <c r="L168" s="58" t="s">
        <v>493</v>
      </c>
      <c r="M168" s="58" t="s">
        <v>494</v>
      </c>
      <c r="N168" s="59"/>
      <c r="O168" s="59"/>
      <c r="P168" s="59"/>
      <c r="Q168" s="183">
        <v>46379.0</v>
      </c>
      <c r="R168" s="61"/>
      <c r="S168" s="71"/>
      <c r="T168" s="71"/>
      <c r="U168" s="71"/>
      <c r="V168" s="71"/>
      <c r="W168" s="71"/>
      <c r="X168" s="71"/>
      <c r="Y168" s="71"/>
      <c r="Z168" s="71"/>
    </row>
    <row r="169" ht="15.75" customHeight="1">
      <c r="A169" s="33" t="s">
        <v>483</v>
      </c>
      <c r="B169" s="33" t="s">
        <v>484</v>
      </c>
      <c r="C169" s="33" t="s">
        <v>419</v>
      </c>
      <c r="D169" s="64">
        <v>1.0</v>
      </c>
      <c r="E169" s="111">
        <v>1.0</v>
      </c>
      <c r="F169" s="35">
        <f t="shared" si="1"/>
        <v>0</v>
      </c>
      <c r="G169" s="37"/>
      <c r="H169" s="37">
        <v>218000.0</v>
      </c>
      <c r="I169" s="40">
        <f t="shared" si="2"/>
        <v>218000</v>
      </c>
      <c r="J169" s="68" t="s">
        <v>134</v>
      </c>
      <c r="K169" s="43" t="s">
        <v>489</v>
      </c>
      <c r="L169" s="43" t="s">
        <v>493</v>
      </c>
      <c r="M169" s="43" t="s">
        <v>494</v>
      </c>
      <c r="N169" s="44"/>
      <c r="O169" s="44"/>
      <c r="P169" s="44"/>
      <c r="Q169" s="179">
        <v>46379.0</v>
      </c>
      <c r="R169" s="66"/>
      <c r="S169" s="71"/>
      <c r="T169" s="71"/>
      <c r="U169" s="71"/>
      <c r="V169" s="71"/>
      <c r="W169" s="71"/>
      <c r="X169" s="71"/>
      <c r="Y169" s="71"/>
      <c r="Z169" s="71"/>
    </row>
    <row r="170" ht="15.75" customHeight="1">
      <c r="A170" s="49" t="s">
        <v>483</v>
      </c>
      <c r="B170" s="49" t="s">
        <v>484</v>
      </c>
      <c r="C170" s="49" t="s">
        <v>419</v>
      </c>
      <c r="D170" s="55">
        <v>3.0</v>
      </c>
      <c r="E170" s="58">
        <v>3.0</v>
      </c>
      <c r="F170" s="52">
        <f t="shared" si="1"/>
        <v>0</v>
      </c>
      <c r="G170" s="53"/>
      <c r="H170" s="53">
        <v>218000.0</v>
      </c>
      <c r="I170" s="54">
        <f t="shared" si="2"/>
        <v>654000</v>
      </c>
      <c r="J170" s="55" t="s">
        <v>154</v>
      </c>
      <c r="K170" s="58" t="s">
        <v>489</v>
      </c>
      <c r="L170" s="58" t="s">
        <v>493</v>
      </c>
      <c r="M170" s="58" t="s">
        <v>494</v>
      </c>
      <c r="N170" s="59"/>
      <c r="O170" s="59"/>
      <c r="P170" s="59"/>
      <c r="Q170" s="183">
        <v>46379.0</v>
      </c>
      <c r="R170" s="61"/>
      <c r="S170" s="71"/>
      <c r="T170" s="71"/>
      <c r="U170" s="71"/>
      <c r="V170" s="71"/>
      <c r="W170" s="71"/>
      <c r="X170" s="71"/>
      <c r="Y170" s="71"/>
      <c r="Z170" s="71"/>
    </row>
    <row r="171" ht="15.75" customHeight="1">
      <c r="A171" s="33" t="s">
        <v>483</v>
      </c>
      <c r="B171" s="33" t="s">
        <v>484</v>
      </c>
      <c r="C171" s="33" t="s">
        <v>419</v>
      </c>
      <c r="D171" s="64">
        <v>2.0</v>
      </c>
      <c r="E171" s="43">
        <v>2.0</v>
      </c>
      <c r="F171" s="35">
        <f t="shared" si="1"/>
        <v>0</v>
      </c>
      <c r="G171" s="37"/>
      <c r="H171" s="37">
        <v>218000.0</v>
      </c>
      <c r="I171" s="40">
        <f t="shared" si="2"/>
        <v>436000</v>
      </c>
      <c r="J171" s="64" t="s">
        <v>160</v>
      </c>
      <c r="K171" s="43" t="s">
        <v>489</v>
      </c>
      <c r="L171" s="43" t="s">
        <v>493</v>
      </c>
      <c r="M171" s="43" t="s">
        <v>494</v>
      </c>
      <c r="N171" s="44"/>
      <c r="O171" s="44"/>
      <c r="P171" s="44"/>
      <c r="Q171" s="179">
        <v>46379.0</v>
      </c>
      <c r="R171" s="66"/>
      <c r="S171" s="71"/>
      <c r="T171" s="71"/>
      <c r="U171" s="71"/>
      <c r="V171" s="71"/>
      <c r="W171" s="71"/>
      <c r="X171" s="71"/>
      <c r="Y171" s="71"/>
      <c r="Z171" s="71"/>
    </row>
    <row r="172" ht="15.75" customHeight="1">
      <c r="A172" s="49" t="s">
        <v>483</v>
      </c>
      <c r="B172" s="49" t="s">
        <v>484</v>
      </c>
      <c r="C172" s="49" t="s">
        <v>419</v>
      </c>
      <c r="D172" s="55">
        <v>1.0</v>
      </c>
      <c r="E172" s="111">
        <v>1.0</v>
      </c>
      <c r="F172" s="52">
        <f t="shared" si="1"/>
        <v>0</v>
      </c>
      <c r="G172" s="53"/>
      <c r="H172" s="53">
        <v>218000.0</v>
      </c>
      <c r="I172" s="54">
        <f t="shared" si="2"/>
        <v>218000</v>
      </c>
      <c r="J172" s="55" t="s">
        <v>196</v>
      </c>
      <c r="K172" s="58" t="s">
        <v>489</v>
      </c>
      <c r="L172" s="58" t="s">
        <v>493</v>
      </c>
      <c r="M172" s="58" t="s">
        <v>494</v>
      </c>
      <c r="N172" s="59"/>
      <c r="O172" s="59"/>
      <c r="P172" s="59"/>
      <c r="Q172" s="183">
        <v>46379.0</v>
      </c>
      <c r="R172" s="61"/>
      <c r="S172" s="71"/>
      <c r="T172" s="71"/>
      <c r="U172" s="71"/>
      <c r="V172" s="71"/>
      <c r="W172" s="71"/>
      <c r="X172" s="71"/>
      <c r="Y172" s="71"/>
      <c r="Z172" s="71"/>
    </row>
    <row r="173" ht="15.75" customHeight="1">
      <c r="A173" s="33" t="s">
        <v>483</v>
      </c>
      <c r="B173" s="33" t="s">
        <v>484</v>
      </c>
      <c r="C173" s="33" t="s">
        <v>419</v>
      </c>
      <c r="D173" s="64">
        <v>1.0</v>
      </c>
      <c r="E173" s="43">
        <v>1.0</v>
      </c>
      <c r="F173" s="35">
        <f t="shared" si="1"/>
        <v>0</v>
      </c>
      <c r="G173" s="37"/>
      <c r="H173" s="37">
        <v>218000.0</v>
      </c>
      <c r="I173" s="40">
        <f t="shared" si="2"/>
        <v>218000</v>
      </c>
      <c r="J173" s="68" t="s">
        <v>221</v>
      </c>
      <c r="K173" s="43" t="s">
        <v>489</v>
      </c>
      <c r="L173" s="43" t="s">
        <v>493</v>
      </c>
      <c r="M173" s="43" t="s">
        <v>494</v>
      </c>
      <c r="N173" s="44"/>
      <c r="O173" s="44"/>
      <c r="P173" s="44"/>
      <c r="Q173" s="179">
        <v>46379.0</v>
      </c>
      <c r="R173" s="66"/>
      <c r="S173" s="71"/>
      <c r="T173" s="71"/>
      <c r="U173" s="71"/>
      <c r="V173" s="71"/>
      <c r="W173" s="71"/>
      <c r="X173" s="71"/>
      <c r="Y173" s="71"/>
      <c r="Z173" s="71"/>
    </row>
    <row r="174" ht="15.75" customHeight="1">
      <c r="A174" s="49" t="s">
        <v>483</v>
      </c>
      <c r="B174" s="49" t="s">
        <v>484</v>
      </c>
      <c r="C174" s="49" t="s">
        <v>419</v>
      </c>
      <c r="D174" s="55">
        <v>1.0</v>
      </c>
      <c r="E174" s="111">
        <v>1.0</v>
      </c>
      <c r="F174" s="52">
        <f t="shared" si="1"/>
        <v>0</v>
      </c>
      <c r="G174" s="53"/>
      <c r="H174" s="53">
        <v>218000.0</v>
      </c>
      <c r="I174" s="54">
        <f t="shared" si="2"/>
        <v>218000</v>
      </c>
      <c r="J174" s="62" t="s">
        <v>189</v>
      </c>
      <c r="K174" s="58" t="s">
        <v>489</v>
      </c>
      <c r="L174" s="58" t="s">
        <v>490</v>
      </c>
      <c r="M174" s="58" t="s">
        <v>494</v>
      </c>
      <c r="N174" s="59"/>
      <c r="O174" s="59"/>
      <c r="P174" s="59"/>
      <c r="Q174" s="183">
        <v>46379.0</v>
      </c>
      <c r="R174" s="61"/>
      <c r="S174" s="71"/>
      <c r="T174" s="71"/>
      <c r="U174" s="71"/>
      <c r="V174" s="71"/>
      <c r="W174" s="71"/>
      <c r="X174" s="71"/>
      <c r="Y174" s="71"/>
      <c r="Z174" s="71"/>
    </row>
    <row r="175" ht="15.75" customHeight="1">
      <c r="A175" s="33" t="s">
        <v>483</v>
      </c>
      <c r="B175" s="33" t="s">
        <v>484</v>
      </c>
      <c r="C175" s="33" t="s">
        <v>419</v>
      </c>
      <c r="D175" s="64">
        <v>1.0</v>
      </c>
      <c r="E175" s="111">
        <v>1.0</v>
      </c>
      <c r="F175" s="35">
        <f t="shared" si="1"/>
        <v>0</v>
      </c>
      <c r="G175" s="37"/>
      <c r="H175" s="37">
        <v>218000.0</v>
      </c>
      <c r="I175" s="40">
        <f t="shared" si="2"/>
        <v>218000</v>
      </c>
      <c r="J175" s="64" t="s">
        <v>210</v>
      </c>
      <c r="K175" s="43" t="s">
        <v>489</v>
      </c>
      <c r="L175" s="43" t="s">
        <v>493</v>
      </c>
      <c r="M175" s="43" t="s">
        <v>494</v>
      </c>
      <c r="N175" s="44"/>
      <c r="O175" s="44"/>
      <c r="P175" s="44"/>
      <c r="Q175" s="179">
        <v>46379.0</v>
      </c>
      <c r="R175" s="66"/>
      <c r="S175" s="71"/>
      <c r="T175" s="71"/>
      <c r="U175" s="71"/>
      <c r="V175" s="71"/>
      <c r="W175" s="71"/>
      <c r="X175" s="71"/>
      <c r="Y175" s="71"/>
      <c r="Z175" s="71"/>
    </row>
    <row r="176" ht="15.75" customHeight="1">
      <c r="A176" s="49" t="s">
        <v>483</v>
      </c>
      <c r="B176" s="49" t="s">
        <v>484</v>
      </c>
      <c r="C176" s="49" t="s">
        <v>419</v>
      </c>
      <c r="D176" s="55">
        <v>2.0</v>
      </c>
      <c r="E176" s="58">
        <v>2.0</v>
      </c>
      <c r="F176" s="52">
        <f t="shared" si="1"/>
        <v>0</v>
      </c>
      <c r="G176" s="53"/>
      <c r="H176" s="53">
        <v>218000.0</v>
      </c>
      <c r="I176" s="54">
        <f t="shared" si="2"/>
        <v>436000</v>
      </c>
      <c r="J176" s="55" t="s">
        <v>214</v>
      </c>
      <c r="K176" s="58" t="s">
        <v>489</v>
      </c>
      <c r="L176" s="58" t="s">
        <v>493</v>
      </c>
      <c r="M176" s="58" t="s">
        <v>494</v>
      </c>
      <c r="N176" s="59"/>
      <c r="O176" s="59"/>
      <c r="P176" s="59"/>
      <c r="Q176" s="183">
        <v>46379.0</v>
      </c>
      <c r="R176" s="61"/>
      <c r="S176" s="71"/>
      <c r="T176" s="71"/>
      <c r="U176" s="71"/>
      <c r="V176" s="71"/>
      <c r="W176" s="71"/>
      <c r="X176" s="71"/>
      <c r="Y176" s="71"/>
      <c r="Z176" s="71"/>
    </row>
    <row r="177" ht="15.75" customHeight="1">
      <c r="A177" s="33" t="s">
        <v>501</v>
      </c>
      <c r="B177" s="33" t="s">
        <v>215</v>
      </c>
      <c r="C177" s="33" t="s">
        <v>284</v>
      </c>
      <c r="D177" s="64">
        <v>1.0</v>
      </c>
      <c r="E177" s="43">
        <v>1.0</v>
      </c>
      <c r="F177" s="35">
        <f t="shared" si="1"/>
        <v>0</v>
      </c>
      <c r="G177" s="37"/>
      <c r="H177" s="37">
        <v>255000.0</v>
      </c>
      <c r="I177" s="40">
        <f t="shared" si="2"/>
        <v>255000</v>
      </c>
      <c r="J177" s="64" t="s">
        <v>85</v>
      </c>
      <c r="K177" s="43" t="s">
        <v>505</v>
      </c>
      <c r="L177" s="43" t="s">
        <v>413</v>
      </c>
      <c r="M177" s="43" t="s">
        <v>507</v>
      </c>
      <c r="N177" s="44"/>
      <c r="O177" s="44"/>
      <c r="P177" s="44"/>
      <c r="Q177" s="44"/>
      <c r="R177" s="66"/>
      <c r="S177" s="71"/>
      <c r="T177" s="71"/>
      <c r="U177" s="71"/>
      <c r="V177" s="71"/>
      <c r="W177" s="71"/>
      <c r="X177" s="71"/>
      <c r="Y177" s="71"/>
      <c r="Z177" s="71"/>
    </row>
    <row r="178" ht="15.75" customHeight="1">
      <c r="A178" s="49" t="s">
        <v>501</v>
      </c>
      <c r="B178" s="49" t="s">
        <v>215</v>
      </c>
      <c r="C178" s="49" t="s">
        <v>284</v>
      </c>
      <c r="D178" s="55">
        <v>1.0</v>
      </c>
      <c r="E178" s="58">
        <v>1.0</v>
      </c>
      <c r="F178" s="52">
        <f t="shared" si="1"/>
        <v>0</v>
      </c>
      <c r="G178" s="53"/>
      <c r="H178" s="53">
        <v>255000.0</v>
      </c>
      <c r="I178" s="54">
        <f t="shared" si="2"/>
        <v>255000</v>
      </c>
      <c r="J178" s="55" t="s">
        <v>232</v>
      </c>
      <c r="K178" s="58" t="s">
        <v>505</v>
      </c>
      <c r="L178" s="58" t="s">
        <v>508</v>
      </c>
      <c r="M178" s="58" t="s">
        <v>509</v>
      </c>
      <c r="N178" s="59"/>
      <c r="O178" s="59"/>
      <c r="P178" s="59"/>
      <c r="Q178" s="59"/>
      <c r="R178" s="61"/>
      <c r="S178" s="71"/>
      <c r="T178" s="71"/>
      <c r="U178" s="71"/>
      <c r="V178" s="71"/>
      <c r="W178" s="71"/>
      <c r="X178" s="71"/>
      <c r="Y178" s="71"/>
      <c r="Z178" s="71"/>
    </row>
    <row r="179" ht="15.75" customHeight="1">
      <c r="A179" s="33" t="s">
        <v>501</v>
      </c>
      <c r="B179" s="33" t="s">
        <v>215</v>
      </c>
      <c r="C179" s="33" t="s">
        <v>284</v>
      </c>
      <c r="D179" s="64">
        <v>1.0</v>
      </c>
      <c r="E179" s="43">
        <v>1.0</v>
      </c>
      <c r="F179" s="35">
        <f t="shared" si="1"/>
        <v>0</v>
      </c>
      <c r="G179" s="37"/>
      <c r="H179" s="37">
        <v>255000.0</v>
      </c>
      <c r="I179" s="40">
        <f t="shared" si="2"/>
        <v>255000</v>
      </c>
      <c r="J179" s="64" t="s">
        <v>103</v>
      </c>
      <c r="K179" s="43" t="s">
        <v>505</v>
      </c>
      <c r="L179" s="43" t="s">
        <v>508</v>
      </c>
      <c r="M179" s="43" t="s">
        <v>507</v>
      </c>
      <c r="N179" s="44"/>
      <c r="O179" s="44"/>
      <c r="P179" s="44"/>
      <c r="Q179" s="44"/>
      <c r="R179" s="66"/>
      <c r="S179" s="71"/>
      <c r="T179" s="71"/>
      <c r="U179" s="71"/>
      <c r="V179" s="71"/>
      <c r="W179" s="71"/>
      <c r="X179" s="71"/>
      <c r="Y179" s="71"/>
      <c r="Z179" s="71"/>
    </row>
    <row r="180" ht="15.75" customHeight="1">
      <c r="A180" s="49" t="s">
        <v>501</v>
      </c>
      <c r="B180" s="49" t="s">
        <v>215</v>
      </c>
      <c r="C180" s="49" t="s">
        <v>284</v>
      </c>
      <c r="D180" s="55">
        <v>1.0</v>
      </c>
      <c r="E180" s="58">
        <v>1.0</v>
      </c>
      <c r="F180" s="52">
        <f t="shared" si="1"/>
        <v>0</v>
      </c>
      <c r="G180" s="53"/>
      <c r="H180" s="53">
        <v>255000.0</v>
      </c>
      <c r="I180" s="54">
        <f t="shared" si="2"/>
        <v>255000</v>
      </c>
      <c r="J180" s="62" t="s">
        <v>117</v>
      </c>
      <c r="K180" s="58" t="s">
        <v>505</v>
      </c>
      <c r="L180" s="58" t="s">
        <v>508</v>
      </c>
      <c r="M180" s="58" t="s">
        <v>507</v>
      </c>
      <c r="N180" s="59"/>
      <c r="O180" s="59"/>
      <c r="P180" s="59"/>
      <c r="Q180" s="59"/>
      <c r="R180" s="61"/>
      <c r="S180" s="71"/>
      <c r="T180" s="71"/>
      <c r="U180" s="71"/>
      <c r="V180" s="71"/>
      <c r="W180" s="71"/>
      <c r="X180" s="71"/>
      <c r="Y180" s="71"/>
      <c r="Z180" s="71"/>
    </row>
    <row r="181" ht="15.75" customHeight="1">
      <c r="A181" s="33" t="s">
        <v>501</v>
      </c>
      <c r="B181" s="33" t="s">
        <v>215</v>
      </c>
      <c r="C181" s="33" t="s">
        <v>284</v>
      </c>
      <c r="D181" s="64">
        <v>1.0</v>
      </c>
      <c r="E181" s="43">
        <v>1.0</v>
      </c>
      <c r="F181" s="35">
        <f t="shared" si="1"/>
        <v>0</v>
      </c>
      <c r="G181" s="37"/>
      <c r="H181" s="37">
        <v>255000.0</v>
      </c>
      <c r="I181" s="40">
        <f t="shared" si="2"/>
        <v>255000</v>
      </c>
      <c r="J181" s="64" t="s">
        <v>142</v>
      </c>
      <c r="K181" s="43" t="s">
        <v>505</v>
      </c>
      <c r="L181" s="43" t="s">
        <v>508</v>
      </c>
      <c r="M181" s="43" t="s">
        <v>507</v>
      </c>
      <c r="N181" s="44"/>
      <c r="O181" s="44"/>
      <c r="P181" s="44"/>
      <c r="Q181" s="44"/>
      <c r="R181" s="66"/>
      <c r="S181" s="71"/>
      <c r="T181" s="71"/>
      <c r="U181" s="71"/>
      <c r="V181" s="71"/>
      <c r="W181" s="71"/>
      <c r="X181" s="71"/>
      <c r="Y181" s="71"/>
      <c r="Z181" s="71"/>
    </row>
    <row r="182" ht="15.75" customHeight="1">
      <c r="A182" s="49" t="s">
        <v>501</v>
      </c>
      <c r="B182" s="49" t="s">
        <v>215</v>
      </c>
      <c r="C182" s="49" t="s">
        <v>284</v>
      </c>
      <c r="D182" s="55">
        <v>1.0</v>
      </c>
      <c r="E182" s="58">
        <v>1.0</v>
      </c>
      <c r="F182" s="52">
        <f t="shared" si="1"/>
        <v>0</v>
      </c>
      <c r="G182" s="53"/>
      <c r="H182" s="53">
        <v>255000.0</v>
      </c>
      <c r="I182" s="54">
        <f t="shared" si="2"/>
        <v>255000</v>
      </c>
      <c r="J182" s="55" t="s">
        <v>178</v>
      </c>
      <c r="K182" s="58" t="s">
        <v>505</v>
      </c>
      <c r="L182" s="58" t="s">
        <v>508</v>
      </c>
      <c r="M182" s="58" t="s">
        <v>507</v>
      </c>
      <c r="N182" s="59"/>
      <c r="O182" s="59"/>
      <c r="P182" s="59"/>
      <c r="Q182" s="59"/>
      <c r="R182" s="61"/>
      <c r="S182" s="71"/>
      <c r="T182" s="71"/>
      <c r="U182" s="71"/>
      <c r="V182" s="71"/>
      <c r="W182" s="71"/>
      <c r="X182" s="71"/>
      <c r="Y182" s="71"/>
      <c r="Z182" s="71"/>
    </row>
    <row r="183" ht="15.75" customHeight="1">
      <c r="A183" s="33" t="s">
        <v>501</v>
      </c>
      <c r="B183" s="33" t="s">
        <v>215</v>
      </c>
      <c r="C183" s="33" t="s">
        <v>284</v>
      </c>
      <c r="D183" s="64">
        <v>1.0</v>
      </c>
      <c r="E183" s="43">
        <v>1.0</v>
      </c>
      <c r="F183" s="35">
        <f t="shared" si="1"/>
        <v>0</v>
      </c>
      <c r="G183" s="37"/>
      <c r="H183" s="37">
        <v>255000.0</v>
      </c>
      <c r="I183" s="40">
        <f t="shared" si="2"/>
        <v>255000</v>
      </c>
      <c r="J183" s="68" t="s">
        <v>192</v>
      </c>
      <c r="K183" s="43" t="s">
        <v>505</v>
      </c>
      <c r="L183" s="43" t="s">
        <v>508</v>
      </c>
      <c r="M183" s="43" t="s">
        <v>507</v>
      </c>
      <c r="N183" s="44"/>
      <c r="O183" s="44"/>
      <c r="P183" s="44"/>
      <c r="Q183" s="44"/>
      <c r="R183" s="66"/>
      <c r="S183" s="71"/>
      <c r="T183" s="71"/>
      <c r="U183" s="71"/>
      <c r="V183" s="71"/>
      <c r="W183" s="71"/>
      <c r="X183" s="71"/>
      <c r="Y183" s="71"/>
      <c r="Z183" s="71"/>
    </row>
    <row r="184" ht="15.75" customHeight="1">
      <c r="A184" s="49" t="s">
        <v>511</v>
      </c>
      <c r="B184" s="49" t="s">
        <v>512</v>
      </c>
      <c r="C184" s="49" t="s">
        <v>479</v>
      </c>
      <c r="D184" s="55">
        <v>1.0</v>
      </c>
      <c r="E184" s="131">
        <v>1.0</v>
      </c>
      <c r="F184" s="52">
        <f t="shared" si="1"/>
        <v>0</v>
      </c>
      <c r="G184" s="53"/>
      <c r="H184" s="53">
        <v>274000.0</v>
      </c>
      <c r="I184" s="54">
        <f t="shared" si="2"/>
        <v>274000</v>
      </c>
      <c r="J184" s="55" t="s">
        <v>513</v>
      </c>
      <c r="K184" s="58" t="s">
        <v>505</v>
      </c>
      <c r="L184" s="58" t="s">
        <v>413</v>
      </c>
      <c r="M184" s="58" t="s">
        <v>509</v>
      </c>
      <c r="N184" s="59"/>
      <c r="O184" s="59"/>
      <c r="P184" s="59"/>
      <c r="Q184" s="139">
        <v>46365.0</v>
      </c>
      <c r="R184" s="61"/>
      <c r="S184" s="71"/>
      <c r="T184" s="71"/>
      <c r="U184" s="71"/>
      <c r="V184" s="71"/>
      <c r="W184" s="71"/>
      <c r="X184" s="71"/>
      <c r="Y184" s="71"/>
      <c r="Z184" s="71"/>
    </row>
    <row r="185" ht="15.75" customHeight="1">
      <c r="A185" s="33" t="s">
        <v>511</v>
      </c>
      <c r="B185" s="33" t="s">
        <v>512</v>
      </c>
      <c r="C185" s="33" t="s">
        <v>479</v>
      </c>
      <c r="D185" s="64">
        <v>1.0</v>
      </c>
      <c r="E185" s="64">
        <v>1.0</v>
      </c>
      <c r="F185" s="35">
        <f t="shared" si="1"/>
        <v>0</v>
      </c>
      <c r="G185" s="37"/>
      <c r="H185" s="37">
        <v>274000.0</v>
      </c>
      <c r="I185" s="40">
        <f t="shared" si="2"/>
        <v>274000</v>
      </c>
      <c r="J185" s="64" t="s">
        <v>134</v>
      </c>
      <c r="K185" s="43" t="s">
        <v>505</v>
      </c>
      <c r="L185" s="43" t="s">
        <v>508</v>
      </c>
      <c r="M185" s="43" t="s">
        <v>507</v>
      </c>
      <c r="N185" s="44"/>
      <c r="O185" s="44"/>
      <c r="P185" s="44"/>
      <c r="Q185" s="140">
        <v>46365.0</v>
      </c>
      <c r="R185" s="66"/>
      <c r="S185" s="71"/>
      <c r="T185" s="71"/>
      <c r="U185" s="71"/>
      <c r="V185" s="71"/>
      <c r="W185" s="71"/>
      <c r="X185" s="71"/>
      <c r="Y185" s="71"/>
      <c r="Z185" s="71"/>
    </row>
    <row r="186" ht="15.75" customHeight="1">
      <c r="A186" s="49" t="s">
        <v>511</v>
      </c>
      <c r="B186" s="49" t="s">
        <v>512</v>
      </c>
      <c r="C186" s="49" t="s">
        <v>479</v>
      </c>
      <c r="D186" s="55">
        <v>1.0</v>
      </c>
      <c r="E186" s="58">
        <v>1.0</v>
      </c>
      <c r="F186" s="52">
        <f t="shared" si="1"/>
        <v>0</v>
      </c>
      <c r="G186" s="53"/>
      <c r="H186" s="53">
        <v>274000.0</v>
      </c>
      <c r="I186" s="54">
        <f t="shared" si="2"/>
        <v>274000</v>
      </c>
      <c r="J186" s="55" t="s">
        <v>161</v>
      </c>
      <c r="K186" s="58" t="s">
        <v>505</v>
      </c>
      <c r="L186" s="58" t="s">
        <v>508</v>
      </c>
      <c r="M186" s="58" t="s">
        <v>507</v>
      </c>
      <c r="N186" s="59"/>
      <c r="O186" s="59"/>
      <c r="P186" s="59"/>
      <c r="Q186" s="139">
        <v>46365.0</v>
      </c>
      <c r="R186" s="61"/>
      <c r="S186" s="71"/>
      <c r="T186" s="71"/>
      <c r="U186" s="71"/>
      <c r="V186" s="71"/>
      <c r="W186" s="71"/>
      <c r="X186" s="71"/>
      <c r="Y186" s="71"/>
      <c r="Z186" s="71"/>
    </row>
    <row r="187" ht="15.75" customHeight="1">
      <c r="A187" s="33" t="s">
        <v>511</v>
      </c>
      <c r="B187" s="33" t="s">
        <v>512</v>
      </c>
      <c r="C187" s="33" t="s">
        <v>479</v>
      </c>
      <c r="D187" s="64">
        <v>1.0</v>
      </c>
      <c r="E187" s="43">
        <v>1.0</v>
      </c>
      <c r="F187" s="35">
        <f t="shared" si="1"/>
        <v>0</v>
      </c>
      <c r="G187" s="37"/>
      <c r="H187" s="37">
        <v>274000.0</v>
      </c>
      <c r="I187" s="40">
        <f t="shared" si="2"/>
        <v>274000</v>
      </c>
      <c r="J187" s="64" t="s">
        <v>178</v>
      </c>
      <c r="K187" s="43" t="s">
        <v>505</v>
      </c>
      <c r="L187" s="43" t="s">
        <v>508</v>
      </c>
      <c r="M187" s="43" t="s">
        <v>509</v>
      </c>
      <c r="N187" s="44"/>
      <c r="O187" s="44"/>
      <c r="P187" s="44"/>
      <c r="Q187" s="140">
        <v>46365.0</v>
      </c>
      <c r="R187" s="66"/>
      <c r="S187" s="71"/>
      <c r="T187" s="71"/>
      <c r="U187" s="71"/>
      <c r="V187" s="71"/>
      <c r="W187" s="71"/>
      <c r="X187" s="71"/>
      <c r="Y187" s="71"/>
      <c r="Z187" s="71"/>
    </row>
    <row r="188" ht="15.75" customHeight="1">
      <c r="A188" s="49" t="s">
        <v>511</v>
      </c>
      <c r="B188" s="49" t="s">
        <v>512</v>
      </c>
      <c r="C188" s="49" t="s">
        <v>479</v>
      </c>
      <c r="D188" s="55">
        <v>2.0</v>
      </c>
      <c r="E188" s="111">
        <v>1.0</v>
      </c>
      <c r="F188" s="52">
        <f t="shared" si="1"/>
        <v>1</v>
      </c>
      <c r="G188" s="53"/>
      <c r="H188" s="53">
        <v>274000.0</v>
      </c>
      <c r="I188" s="54">
        <f t="shared" si="2"/>
        <v>548000</v>
      </c>
      <c r="J188" s="55" t="s">
        <v>520</v>
      </c>
      <c r="K188" s="58" t="s">
        <v>505</v>
      </c>
      <c r="L188" s="58" t="s">
        <v>413</v>
      </c>
      <c r="M188" s="58" t="s">
        <v>509</v>
      </c>
      <c r="N188" s="59"/>
      <c r="O188" s="59"/>
      <c r="P188" s="59"/>
      <c r="Q188" s="139">
        <v>46365.0</v>
      </c>
      <c r="R188" s="61"/>
      <c r="S188" s="71"/>
      <c r="T188" s="71"/>
      <c r="U188" s="71"/>
      <c r="V188" s="71"/>
      <c r="W188" s="71"/>
      <c r="X188" s="71"/>
      <c r="Y188" s="71"/>
      <c r="Z188" s="71"/>
    </row>
    <row r="189" ht="15.75" customHeight="1">
      <c r="A189" s="33" t="s">
        <v>511</v>
      </c>
      <c r="B189" s="33" t="s">
        <v>512</v>
      </c>
      <c r="C189" s="33" t="s">
        <v>479</v>
      </c>
      <c r="D189" s="64">
        <v>1.0</v>
      </c>
      <c r="E189" s="111">
        <v>1.0</v>
      </c>
      <c r="F189" s="35">
        <f t="shared" si="1"/>
        <v>0</v>
      </c>
      <c r="G189" s="37"/>
      <c r="H189" s="37">
        <v>274000.0</v>
      </c>
      <c r="I189" s="40">
        <f t="shared" si="2"/>
        <v>274000</v>
      </c>
      <c r="J189" s="64" t="s">
        <v>199</v>
      </c>
      <c r="K189" s="43" t="s">
        <v>505</v>
      </c>
      <c r="L189" s="43" t="s">
        <v>508</v>
      </c>
      <c r="M189" s="43" t="s">
        <v>507</v>
      </c>
      <c r="N189" s="44"/>
      <c r="O189" s="44"/>
      <c r="P189" s="44"/>
      <c r="Q189" s="140">
        <v>46365.0</v>
      </c>
      <c r="R189" s="66"/>
      <c r="S189" s="71"/>
      <c r="T189" s="71"/>
      <c r="U189" s="71"/>
      <c r="V189" s="71"/>
      <c r="W189" s="71"/>
      <c r="X189" s="71"/>
      <c r="Y189" s="71"/>
      <c r="Z189" s="71"/>
    </row>
    <row r="190" ht="15.75" customHeight="1">
      <c r="A190" s="49" t="s">
        <v>511</v>
      </c>
      <c r="B190" s="49" t="s">
        <v>512</v>
      </c>
      <c r="C190" s="49" t="s">
        <v>479</v>
      </c>
      <c r="D190" s="55">
        <v>1.0</v>
      </c>
      <c r="E190" s="111">
        <v>1.0</v>
      </c>
      <c r="F190" s="52">
        <f t="shared" si="1"/>
        <v>0</v>
      </c>
      <c r="G190" s="53"/>
      <c r="H190" s="53">
        <v>274000.0</v>
      </c>
      <c r="I190" s="54">
        <f t="shared" si="2"/>
        <v>274000</v>
      </c>
      <c r="J190" s="55" t="s">
        <v>214</v>
      </c>
      <c r="K190" s="58" t="s">
        <v>505</v>
      </c>
      <c r="L190" s="58" t="s">
        <v>508</v>
      </c>
      <c r="M190" s="58" t="s">
        <v>507</v>
      </c>
      <c r="N190" s="59"/>
      <c r="O190" s="59"/>
      <c r="P190" s="59"/>
      <c r="Q190" s="139">
        <v>46365.0</v>
      </c>
      <c r="R190" s="61"/>
      <c r="S190" s="71"/>
      <c r="T190" s="71"/>
      <c r="U190" s="71"/>
      <c r="V190" s="71"/>
      <c r="W190" s="71"/>
      <c r="X190" s="71"/>
      <c r="Y190" s="71"/>
      <c r="Z190" s="71"/>
    </row>
    <row r="191" ht="15.75" customHeight="1">
      <c r="A191" s="33" t="s">
        <v>526</v>
      </c>
      <c r="B191" s="33" t="s">
        <v>528</v>
      </c>
      <c r="C191" s="33" t="s">
        <v>488</v>
      </c>
      <c r="D191" s="64">
        <v>1.0</v>
      </c>
      <c r="E191" s="111">
        <v>1.0</v>
      </c>
      <c r="F191" s="35">
        <f t="shared" si="1"/>
        <v>0</v>
      </c>
      <c r="G191" s="37"/>
      <c r="H191" s="37">
        <v>345000.0</v>
      </c>
      <c r="I191" s="40">
        <f t="shared" si="2"/>
        <v>345000</v>
      </c>
      <c r="J191" s="68" t="s">
        <v>161</v>
      </c>
      <c r="K191" s="43" t="s">
        <v>529</v>
      </c>
      <c r="L191" s="43" t="s">
        <v>530</v>
      </c>
      <c r="M191" s="43" t="s">
        <v>259</v>
      </c>
      <c r="N191" s="44"/>
      <c r="O191" s="44"/>
      <c r="P191" s="44"/>
      <c r="Q191" s="44"/>
      <c r="R191" s="66"/>
      <c r="S191" s="71"/>
      <c r="T191" s="71"/>
      <c r="U191" s="71"/>
      <c r="V191" s="71"/>
      <c r="W191" s="71"/>
      <c r="X191" s="71"/>
      <c r="Y191" s="71"/>
      <c r="Z191" s="71"/>
    </row>
    <row r="192" ht="15.75" customHeight="1">
      <c r="A192" s="49" t="s">
        <v>526</v>
      </c>
      <c r="B192" s="49" t="s">
        <v>528</v>
      </c>
      <c r="C192" s="49" t="s">
        <v>488</v>
      </c>
      <c r="D192" s="55">
        <v>1.0</v>
      </c>
      <c r="E192" s="111">
        <v>1.0</v>
      </c>
      <c r="F192" s="52">
        <f t="shared" si="1"/>
        <v>0</v>
      </c>
      <c r="G192" s="53"/>
      <c r="H192" s="53">
        <v>345000.0</v>
      </c>
      <c r="I192" s="54">
        <f t="shared" si="2"/>
        <v>345000</v>
      </c>
      <c r="J192" s="62" t="s">
        <v>113</v>
      </c>
      <c r="K192" s="58" t="s">
        <v>529</v>
      </c>
      <c r="L192" s="58" t="s">
        <v>445</v>
      </c>
      <c r="M192" s="58" t="s">
        <v>259</v>
      </c>
      <c r="N192" s="59"/>
      <c r="O192" s="59"/>
      <c r="P192" s="59"/>
      <c r="Q192" s="59"/>
      <c r="R192" s="61"/>
      <c r="S192" s="71"/>
      <c r="T192" s="71"/>
      <c r="U192" s="71"/>
      <c r="V192" s="71"/>
      <c r="W192" s="71"/>
      <c r="X192" s="71"/>
      <c r="Y192" s="71"/>
      <c r="Z192" s="71"/>
    </row>
    <row r="193" ht="15.75" customHeight="1">
      <c r="A193" s="33" t="s">
        <v>526</v>
      </c>
      <c r="B193" s="33" t="s">
        <v>528</v>
      </c>
      <c r="C193" s="33" t="s">
        <v>488</v>
      </c>
      <c r="D193" s="64">
        <v>1.0</v>
      </c>
      <c r="E193" s="64">
        <v>1.0</v>
      </c>
      <c r="F193" s="35">
        <f t="shared" si="1"/>
        <v>0</v>
      </c>
      <c r="G193" s="37"/>
      <c r="H193" s="37">
        <v>345000.0</v>
      </c>
      <c r="I193" s="40">
        <f t="shared" si="2"/>
        <v>345000</v>
      </c>
      <c r="J193" s="64" t="s">
        <v>117</v>
      </c>
      <c r="K193" s="43" t="s">
        <v>529</v>
      </c>
      <c r="L193" s="43" t="s">
        <v>530</v>
      </c>
      <c r="M193" s="43" t="s">
        <v>259</v>
      </c>
      <c r="N193" s="44"/>
      <c r="O193" s="44"/>
      <c r="P193" s="44"/>
      <c r="Q193" s="44"/>
      <c r="R193" s="66"/>
      <c r="S193" s="71"/>
      <c r="T193" s="71"/>
      <c r="U193" s="71"/>
      <c r="V193" s="71"/>
      <c r="W193" s="71"/>
      <c r="X193" s="71"/>
      <c r="Y193" s="71"/>
      <c r="Z193" s="71"/>
    </row>
    <row r="194" ht="15.75" customHeight="1">
      <c r="A194" s="49" t="s">
        <v>526</v>
      </c>
      <c r="B194" s="49" t="s">
        <v>528</v>
      </c>
      <c r="C194" s="49" t="s">
        <v>488</v>
      </c>
      <c r="D194" s="55">
        <v>1.0</v>
      </c>
      <c r="E194" s="58">
        <v>1.0</v>
      </c>
      <c r="F194" s="52">
        <f t="shared" si="1"/>
        <v>0</v>
      </c>
      <c r="G194" s="53"/>
      <c r="H194" s="53">
        <v>345000.0</v>
      </c>
      <c r="I194" s="54">
        <f t="shared" si="2"/>
        <v>345000</v>
      </c>
      <c r="J194" s="55" t="s">
        <v>89</v>
      </c>
      <c r="K194" s="58" t="s">
        <v>529</v>
      </c>
      <c r="L194" s="58" t="s">
        <v>530</v>
      </c>
      <c r="M194" s="58" t="s">
        <v>259</v>
      </c>
      <c r="N194" s="59"/>
      <c r="O194" s="59"/>
      <c r="P194" s="59"/>
      <c r="Q194" s="59"/>
      <c r="R194" s="61"/>
      <c r="S194" s="71"/>
      <c r="T194" s="71"/>
      <c r="U194" s="71"/>
      <c r="V194" s="71"/>
      <c r="W194" s="71"/>
      <c r="X194" s="71"/>
      <c r="Y194" s="71"/>
      <c r="Z194" s="71"/>
    </row>
    <row r="195" ht="15.75" customHeight="1">
      <c r="A195" s="33" t="s">
        <v>526</v>
      </c>
      <c r="B195" s="33" t="s">
        <v>528</v>
      </c>
      <c r="C195" s="33" t="s">
        <v>488</v>
      </c>
      <c r="D195" s="64">
        <v>1.0</v>
      </c>
      <c r="E195" s="43">
        <v>1.0</v>
      </c>
      <c r="F195" s="35">
        <f t="shared" si="1"/>
        <v>0</v>
      </c>
      <c r="G195" s="37"/>
      <c r="H195" s="37">
        <v>345000.0</v>
      </c>
      <c r="I195" s="40">
        <f t="shared" si="2"/>
        <v>345000</v>
      </c>
      <c r="J195" s="64" t="s">
        <v>154</v>
      </c>
      <c r="K195" s="43" t="s">
        <v>529</v>
      </c>
      <c r="L195" s="43" t="s">
        <v>530</v>
      </c>
      <c r="M195" s="43" t="s">
        <v>259</v>
      </c>
      <c r="N195" s="44"/>
      <c r="O195" s="44"/>
      <c r="P195" s="44"/>
      <c r="Q195" s="44"/>
      <c r="R195" s="66"/>
      <c r="S195" s="71"/>
      <c r="T195" s="71"/>
      <c r="U195" s="71"/>
      <c r="V195" s="71"/>
      <c r="W195" s="71"/>
      <c r="X195" s="71"/>
      <c r="Y195" s="71"/>
      <c r="Z195" s="71"/>
    </row>
    <row r="196" ht="15.75" customHeight="1">
      <c r="A196" s="49" t="s">
        <v>526</v>
      </c>
      <c r="B196" s="49" t="s">
        <v>528</v>
      </c>
      <c r="C196" s="49" t="s">
        <v>488</v>
      </c>
      <c r="D196" s="55">
        <v>1.0</v>
      </c>
      <c r="E196" s="58">
        <v>1.0</v>
      </c>
      <c r="F196" s="52">
        <f t="shared" si="1"/>
        <v>0</v>
      </c>
      <c r="G196" s="53"/>
      <c r="H196" s="53">
        <v>345000.0</v>
      </c>
      <c r="I196" s="54">
        <f t="shared" si="2"/>
        <v>345000</v>
      </c>
      <c r="J196" s="55" t="s">
        <v>175</v>
      </c>
      <c r="K196" s="58" t="s">
        <v>529</v>
      </c>
      <c r="L196" s="58" t="s">
        <v>530</v>
      </c>
      <c r="M196" s="58" t="s">
        <v>259</v>
      </c>
      <c r="N196" s="59"/>
      <c r="O196" s="59"/>
      <c r="P196" s="59"/>
      <c r="Q196" s="59"/>
      <c r="R196" s="61"/>
      <c r="S196" s="71"/>
      <c r="T196" s="71"/>
      <c r="U196" s="71"/>
      <c r="V196" s="71"/>
      <c r="W196" s="71"/>
      <c r="X196" s="71"/>
      <c r="Y196" s="71"/>
      <c r="Z196" s="71"/>
    </row>
    <row r="197" ht="15.75" customHeight="1">
      <c r="A197" s="33" t="s">
        <v>526</v>
      </c>
      <c r="B197" s="33" t="s">
        <v>528</v>
      </c>
      <c r="C197" s="33" t="s">
        <v>488</v>
      </c>
      <c r="D197" s="64">
        <v>1.0</v>
      </c>
      <c r="E197" s="43">
        <v>1.0</v>
      </c>
      <c r="F197" s="35">
        <f t="shared" si="1"/>
        <v>0</v>
      </c>
      <c r="G197" s="37"/>
      <c r="H197" s="37">
        <v>345000.0</v>
      </c>
      <c r="I197" s="40">
        <f t="shared" si="2"/>
        <v>345000</v>
      </c>
      <c r="J197" s="64" t="s">
        <v>188</v>
      </c>
      <c r="K197" s="43" t="s">
        <v>529</v>
      </c>
      <c r="L197" s="43" t="s">
        <v>530</v>
      </c>
      <c r="M197" s="43" t="s">
        <v>259</v>
      </c>
      <c r="N197" s="44"/>
      <c r="O197" s="44"/>
      <c r="P197" s="44"/>
      <c r="Q197" s="44"/>
      <c r="R197" s="66"/>
      <c r="S197" s="71"/>
      <c r="T197" s="71"/>
      <c r="U197" s="71"/>
      <c r="V197" s="71"/>
      <c r="W197" s="71"/>
      <c r="X197" s="71"/>
      <c r="Y197" s="71"/>
      <c r="Z197" s="71"/>
    </row>
    <row r="198" ht="15.75" customHeight="1">
      <c r="A198" s="49" t="s">
        <v>526</v>
      </c>
      <c r="B198" s="49" t="s">
        <v>528</v>
      </c>
      <c r="C198" s="49" t="s">
        <v>488</v>
      </c>
      <c r="D198" s="55">
        <v>1.0</v>
      </c>
      <c r="E198" s="111">
        <v>1.0</v>
      </c>
      <c r="F198" s="52">
        <f t="shared" si="1"/>
        <v>0</v>
      </c>
      <c r="G198" s="53"/>
      <c r="H198" s="53">
        <v>345000.0</v>
      </c>
      <c r="I198" s="54">
        <f t="shared" si="2"/>
        <v>345000</v>
      </c>
      <c r="J198" s="62" t="s">
        <v>196</v>
      </c>
      <c r="K198" s="58" t="s">
        <v>529</v>
      </c>
      <c r="L198" s="58" t="s">
        <v>530</v>
      </c>
      <c r="M198" s="58" t="s">
        <v>259</v>
      </c>
      <c r="N198" s="59"/>
      <c r="O198" s="59"/>
      <c r="P198" s="59"/>
      <c r="Q198" s="59"/>
      <c r="R198" s="61"/>
      <c r="S198" s="71"/>
      <c r="T198" s="71"/>
      <c r="U198" s="71"/>
      <c r="V198" s="71"/>
      <c r="W198" s="71"/>
      <c r="X198" s="71"/>
      <c r="Y198" s="71"/>
      <c r="Z198" s="71"/>
    </row>
    <row r="199" ht="15.75" customHeight="1">
      <c r="A199" s="33" t="s">
        <v>526</v>
      </c>
      <c r="B199" s="33" t="s">
        <v>528</v>
      </c>
      <c r="C199" s="33" t="s">
        <v>488</v>
      </c>
      <c r="D199" s="64">
        <v>1.0</v>
      </c>
      <c r="E199" s="111">
        <v>1.0</v>
      </c>
      <c r="F199" s="35">
        <f t="shared" si="1"/>
        <v>0</v>
      </c>
      <c r="G199" s="37"/>
      <c r="H199" s="37">
        <v>345000.0</v>
      </c>
      <c r="I199" s="40">
        <f t="shared" si="2"/>
        <v>345000</v>
      </c>
      <c r="J199" s="64" t="s">
        <v>201</v>
      </c>
      <c r="K199" s="43" t="s">
        <v>529</v>
      </c>
      <c r="L199" s="43" t="s">
        <v>530</v>
      </c>
      <c r="M199" s="43" t="s">
        <v>259</v>
      </c>
      <c r="N199" s="44"/>
      <c r="O199" s="44"/>
      <c r="P199" s="44"/>
      <c r="Q199" s="44"/>
      <c r="R199" s="66"/>
      <c r="S199" s="71"/>
      <c r="T199" s="71"/>
      <c r="U199" s="71"/>
      <c r="V199" s="71"/>
      <c r="W199" s="71"/>
      <c r="X199" s="71"/>
      <c r="Y199" s="71"/>
      <c r="Z199" s="71"/>
    </row>
    <row r="200" ht="15.75" customHeight="1">
      <c r="A200" s="49" t="s">
        <v>526</v>
      </c>
      <c r="B200" s="49" t="s">
        <v>528</v>
      </c>
      <c r="C200" s="49" t="s">
        <v>488</v>
      </c>
      <c r="D200" s="55">
        <v>1.0</v>
      </c>
      <c r="E200" s="111">
        <v>1.0</v>
      </c>
      <c r="F200" s="52">
        <f t="shared" si="1"/>
        <v>0</v>
      </c>
      <c r="G200" s="53"/>
      <c r="H200" s="53">
        <v>345000.0</v>
      </c>
      <c r="I200" s="54">
        <f t="shared" si="2"/>
        <v>345000</v>
      </c>
      <c r="J200" s="62" t="s">
        <v>199</v>
      </c>
      <c r="K200" s="58" t="s">
        <v>529</v>
      </c>
      <c r="L200" s="58" t="s">
        <v>530</v>
      </c>
      <c r="M200" s="58" t="s">
        <v>259</v>
      </c>
      <c r="N200" s="59"/>
      <c r="O200" s="59"/>
      <c r="P200" s="59"/>
      <c r="Q200" s="59"/>
      <c r="R200" s="61"/>
      <c r="S200" s="71"/>
      <c r="T200" s="71"/>
      <c r="U200" s="71"/>
      <c r="V200" s="71"/>
      <c r="W200" s="71"/>
      <c r="X200" s="71"/>
      <c r="Y200" s="71"/>
      <c r="Z200" s="71"/>
    </row>
    <row r="201" ht="15.75" customHeight="1">
      <c r="A201" s="33" t="s">
        <v>526</v>
      </c>
      <c r="B201" s="33" t="s">
        <v>528</v>
      </c>
      <c r="C201" s="33" t="s">
        <v>488</v>
      </c>
      <c r="D201" s="64">
        <v>1.0</v>
      </c>
      <c r="E201" s="111">
        <v>1.0</v>
      </c>
      <c r="F201" s="35">
        <f t="shared" si="1"/>
        <v>0</v>
      </c>
      <c r="G201" s="37"/>
      <c r="H201" s="37">
        <v>345000.0</v>
      </c>
      <c r="I201" s="40">
        <f t="shared" si="2"/>
        <v>345000</v>
      </c>
      <c r="J201" s="68" t="s">
        <v>210</v>
      </c>
      <c r="K201" s="43" t="s">
        <v>529</v>
      </c>
      <c r="L201" s="43" t="s">
        <v>530</v>
      </c>
      <c r="M201" s="43" t="s">
        <v>259</v>
      </c>
      <c r="N201" s="44"/>
      <c r="O201" s="44"/>
      <c r="P201" s="44"/>
      <c r="Q201" s="44"/>
      <c r="R201" s="66"/>
      <c r="S201" s="71"/>
      <c r="T201" s="71"/>
      <c r="U201" s="71"/>
      <c r="V201" s="71"/>
      <c r="W201" s="71"/>
      <c r="X201" s="71"/>
      <c r="Y201" s="71"/>
      <c r="Z201" s="71"/>
    </row>
    <row r="202" ht="15.75" customHeight="1">
      <c r="A202" s="49" t="s">
        <v>545</v>
      </c>
      <c r="B202" s="49" t="s">
        <v>546</v>
      </c>
      <c r="C202" s="49" t="s">
        <v>327</v>
      </c>
      <c r="D202" s="55">
        <v>1.0</v>
      </c>
      <c r="E202" s="58">
        <v>1.0</v>
      </c>
      <c r="F202" s="52">
        <f t="shared" si="1"/>
        <v>0</v>
      </c>
      <c r="G202" s="53"/>
      <c r="H202" s="53">
        <v>74800.0</v>
      </c>
      <c r="I202" s="54">
        <f t="shared" si="2"/>
        <v>74800</v>
      </c>
      <c r="J202" s="55" t="s">
        <v>58</v>
      </c>
      <c r="K202" s="58" t="s">
        <v>547</v>
      </c>
      <c r="L202" s="58" t="s">
        <v>548</v>
      </c>
      <c r="M202" s="58" t="s">
        <v>549</v>
      </c>
      <c r="N202" s="59"/>
      <c r="O202" s="59"/>
      <c r="P202" s="59"/>
      <c r="Q202" s="59"/>
      <c r="R202" s="61"/>
      <c r="S202" s="71"/>
      <c r="T202" s="71"/>
      <c r="U202" s="71"/>
      <c r="V202" s="71"/>
      <c r="W202" s="71"/>
      <c r="X202" s="71"/>
      <c r="Y202" s="71"/>
      <c r="Z202" s="71"/>
    </row>
    <row r="203" ht="15.75" customHeight="1">
      <c r="A203" s="33" t="s">
        <v>545</v>
      </c>
      <c r="B203" s="33" t="s">
        <v>546</v>
      </c>
      <c r="C203" s="33" t="s">
        <v>327</v>
      </c>
      <c r="D203" s="64">
        <v>1.0</v>
      </c>
      <c r="E203" s="43">
        <v>0.0</v>
      </c>
      <c r="F203" s="35">
        <f t="shared" si="1"/>
        <v>1</v>
      </c>
      <c r="G203" s="37"/>
      <c r="H203" s="37">
        <v>74800.0</v>
      </c>
      <c r="I203" s="40">
        <f t="shared" si="2"/>
        <v>74800</v>
      </c>
      <c r="J203" s="64" t="s">
        <v>85</v>
      </c>
      <c r="K203" s="43" t="s">
        <v>547</v>
      </c>
      <c r="L203" s="43" t="s">
        <v>554</v>
      </c>
      <c r="M203" s="43" t="s">
        <v>549</v>
      </c>
      <c r="N203" s="44"/>
      <c r="O203" s="44"/>
      <c r="P203" s="44"/>
      <c r="Q203" s="44"/>
      <c r="R203" s="66"/>
      <c r="S203" s="71"/>
      <c r="T203" s="71"/>
      <c r="U203" s="71"/>
      <c r="V203" s="71"/>
      <c r="W203" s="71"/>
      <c r="X203" s="71"/>
      <c r="Y203" s="71"/>
      <c r="Z203" s="71"/>
    </row>
    <row r="204" ht="15.75" customHeight="1">
      <c r="A204" s="49" t="s">
        <v>545</v>
      </c>
      <c r="B204" s="49" t="s">
        <v>546</v>
      </c>
      <c r="C204" s="49" t="s">
        <v>327</v>
      </c>
      <c r="D204" s="55">
        <v>1.0</v>
      </c>
      <c r="E204" s="58">
        <v>0.0</v>
      </c>
      <c r="F204" s="52">
        <f t="shared" si="1"/>
        <v>1</v>
      </c>
      <c r="G204" s="53"/>
      <c r="H204" s="53">
        <v>74800.0</v>
      </c>
      <c r="I204" s="54">
        <f t="shared" si="2"/>
        <v>74800</v>
      </c>
      <c r="J204" s="55" t="s">
        <v>103</v>
      </c>
      <c r="K204" s="58" t="s">
        <v>547</v>
      </c>
      <c r="L204" s="58" t="s">
        <v>548</v>
      </c>
      <c r="M204" s="58" t="s">
        <v>549</v>
      </c>
      <c r="N204" s="59"/>
      <c r="O204" s="59"/>
      <c r="P204" s="59"/>
      <c r="Q204" s="59"/>
      <c r="R204" s="61"/>
      <c r="S204" s="71"/>
      <c r="T204" s="71"/>
      <c r="U204" s="71"/>
      <c r="V204" s="71"/>
      <c r="W204" s="71"/>
      <c r="X204" s="71"/>
      <c r="Y204" s="71"/>
      <c r="Z204" s="71"/>
    </row>
    <row r="205" ht="15.75" customHeight="1">
      <c r="A205" s="33" t="s">
        <v>545</v>
      </c>
      <c r="B205" s="33" t="s">
        <v>546</v>
      </c>
      <c r="C205" s="33" t="s">
        <v>327</v>
      </c>
      <c r="D205" s="64">
        <v>1.0</v>
      </c>
      <c r="E205" s="43">
        <v>0.0</v>
      </c>
      <c r="F205" s="35">
        <f t="shared" si="1"/>
        <v>1</v>
      </c>
      <c r="G205" s="37"/>
      <c r="H205" s="37">
        <v>74800.0</v>
      </c>
      <c r="I205" s="40">
        <f t="shared" si="2"/>
        <v>74800</v>
      </c>
      <c r="J205" s="64" t="s">
        <v>113</v>
      </c>
      <c r="K205" s="43" t="s">
        <v>562</v>
      </c>
      <c r="L205" s="43" t="s">
        <v>548</v>
      </c>
      <c r="M205" s="43" t="s">
        <v>549</v>
      </c>
      <c r="N205" s="44"/>
      <c r="O205" s="44"/>
      <c r="P205" s="44"/>
      <c r="Q205" s="44"/>
      <c r="R205" s="66"/>
      <c r="S205" s="71"/>
      <c r="T205" s="71"/>
      <c r="U205" s="71"/>
      <c r="V205" s="71"/>
      <c r="W205" s="71"/>
      <c r="X205" s="71"/>
      <c r="Y205" s="71"/>
      <c r="Z205" s="71"/>
    </row>
    <row r="206" ht="15.75" customHeight="1">
      <c r="A206" s="49" t="s">
        <v>545</v>
      </c>
      <c r="B206" s="49" t="s">
        <v>546</v>
      </c>
      <c r="C206" s="49" t="s">
        <v>327</v>
      </c>
      <c r="D206" s="55">
        <v>1.0</v>
      </c>
      <c r="E206" s="58">
        <v>0.0</v>
      </c>
      <c r="F206" s="52">
        <f t="shared" si="1"/>
        <v>1</v>
      </c>
      <c r="G206" s="53"/>
      <c r="H206" s="53">
        <v>74800.0</v>
      </c>
      <c r="I206" s="54">
        <f t="shared" si="2"/>
        <v>74800</v>
      </c>
      <c r="J206" s="55" t="s">
        <v>286</v>
      </c>
      <c r="K206" s="58" t="s">
        <v>547</v>
      </c>
      <c r="L206" s="58" t="s">
        <v>548</v>
      </c>
      <c r="M206" s="58" t="s">
        <v>549</v>
      </c>
      <c r="N206" s="59"/>
      <c r="O206" s="59"/>
      <c r="P206" s="59"/>
      <c r="Q206" s="59"/>
      <c r="R206" s="61"/>
      <c r="S206" s="71"/>
      <c r="T206" s="71"/>
      <c r="U206" s="71"/>
      <c r="V206" s="71"/>
      <c r="W206" s="71"/>
      <c r="X206" s="71"/>
      <c r="Y206" s="71"/>
      <c r="Z206" s="71"/>
    </row>
    <row r="207" ht="15.75" customHeight="1">
      <c r="A207" s="33" t="s">
        <v>545</v>
      </c>
      <c r="B207" s="33" t="s">
        <v>546</v>
      </c>
      <c r="C207" s="33" t="s">
        <v>327</v>
      </c>
      <c r="D207" s="64">
        <v>1.0</v>
      </c>
      <c r="E207" s="43">
        <v>0.0</v>
      </c>
      <c r="F207" s="35">
        <f t="shared" si="1"/>
        <v>1</v>
      </c>
      <c r="G207" s="37"/>
      <c r="H207" s="37">
        <v>74800.0</v>
      </c>
      <c r="I207" s="40">
        <f t="shared" si="2"/>
        <v>74800</v>
      </c>
      <c r="J207" s="64" t="s">
        <v>89</v>
      </c>
      <c r="K207" s="43" t="s">
        <v>547</v>
      </c>
      <c r="L207" s="43" t="s">
        <v>548</v>
      </c>
      <c r="M207" s="43" t="s">
        <v>567</v>
      </c>
      <c r="N207" s="44"/>
      <c r="O207" s="44"/>
      <c r="P207" s="44"/>
      <c r="Q207" s="44"/>
      <c r="R207" s="66"/>
      <c r="S207" s="71"/>
      <c r="T207" s="71"/>
      <c r="U207" s="71"/>
      <c r="V207" s="71"/>
      <c r="W207" s="71"/>
      <c r="X207" s="71"/>
      <c r="Y207" s="71"/>
      <c r="Z207" s="71"/>
    </row>
    <row r="208" ht="15.75" customHeight="1">
      <c r="A208" s="49" t="s">
        <v>545</v>
      </c>
      <c r="B208" s="49" t="s">
        <v>546</v>
      </c>
      <c r="C208" s="49" t="s">
        <v>327</v>
      </c>
      <c r="D208" s="55">
        <v>1.0</v>
      </c>
      <c r="E208" s="58">
        <v>0.0</v>
      </c>
      <c r="F208" s="52">
        <f t="shared" si="1"/>
        <v>1</v>
      </c>
      <c r="G208" s="53"/>
      <c r="H208" s="53">
        <v>74800.0</v>
      </c>
      <c r="I208" s="54">
        <f t="shared" si="2"/>
        <v>74800</v>
      </c>
      <c r="J208" s="55" t="s">
        <v>228</v>
      </c>
      <c r="K208" s="58" t="s">
        <v>547</v>
      </c>
      <c r="L208" s="58" t="s">
        <v>548</v>
      </c>
      <c r="M208" s="58" t="s">
        <v>549</v>
      </c>
      <c r="N208" s="59"/>
      <c r="O208" s="59"/>
      <c r="P208" s="59"/>
      <c r="Q208" s="59"/>
      <c r="R208" s="61"/>
      <c r="S208" s="71"/>
      <c r="T208" s="71"/>
      <c r="U208" s="71"/>
      <c r="V208" s="71"/>
      <c r="W208" s="71"/>
      <c r="X208" s="71"/>
      <c r="Y208" s="71"/>
      <c r="Z208" s="71"/>
    </row>
    <row r="209" ht="15.75" customHeight="1">
      <c r="A209" s="33" t="s">
        <v>545</v>
      </c>
      <c r="B209" s="33" t="s">
        <v>546</v>
      </c>
      <c r="C209" s="33" t="s">
        <v>327</v>
      </c>
      <c r="D209" s="64">
        <v>1.0</v>
      </c>
      <c r="E209" s="43">
        <v>0.0</v>
      </c>
      <c r="F209" s="35">
        <f t="shared" si="1"/>
        <v>1</v>
      </c>
      <c r="G209" s="37"/>
      <c r="H209" s="37">
        <v>74800.0</v>
      </c>
      <c r="I209" s="40">
        <f t="shared" si="2"/>
        <v>74800</v>
      </c>
      <c r="J209" s="64" t="s">
        <v>154</v>
      </c>
      <c r="K209" s="43" t="s">
        <v>547</v>
      </c>
      <c r="L209" s="43" t="s">
        <v>548</v>
      </c>
      <c r="M209" s="43" t="s">
        <v>549</v>
      </c>
      <c r="N209" s="44"/>
      <c r="O209" s="44"/>
      <c r="P209" s="44"/>
      <c r="Q209" s="44"/>
      <c r="R209" s="66"/>
      <c r="S209" s="71"/>
      <c r="T209" s="71"/>
      <c r="U209" s="71"/>
      <c r="V209" s="71"/>
      <c r="W209" s="71"/>
      <c r="X209" s="71"/>
      <c r="Y209" s="71"/>
      <c r="Z209" s="71"/>
    </row>
    <row r="210" ht="15.75" customHeight="1">
      <c r="A210" s="49" t="s">
        <v>545</v>
      </c>
      <c r="B210" s="49" t="s">
        <v>546</v>
      </c>
      <c r="C210" s="49" t="s">
        <v>327</v>
      </c>
      <c r="D210" s="55">
        <v>1.0</v>
      </c>
      <c r="E210" s="58">
        <v>0.0</v>
      </c>
      <c r="F210" s="52">
        <f t="shared" si="1"/>
        <v>1</v>
      </c>
      <c r="G210" s="53"/>
      <c r="H210" s="53">
        <v>74800.0</v>
      </c>
      <c r="I210" s="54">
        <f t="shared" si="2"/>
        <v>74800</v>
      </c>
      <c r="J210" s="55" t="s">
        <v>454</v>
      </c>
      <c r="K210" s="58" t="s">
        <v>547</v>
      </c>
      <c r="L210" s="58" t="s">
        <v>548</v>
      </c>
      <c r="M210" s="58" t="s">
        <v>549</v>
      </c>
      <c r="N210" s="59"/>
      <c r="O210" s="59"/>
      <c r="P210" s="59"/>
      <c r="Q210" s="59"/>
      <c r="R210" s="61"/>
      <c r="S210" s="71"/>
      <c r="T210" s="71"/>
      <c r="U210" s="71"/>
      <c r="V210" s="71"/>
      <c r="W210" s="71"/>
      <c r="X210" s="71"/>
      <c r="Y210" s="71"/>
      <c r="Z210" s="71"/>
    </row>
    <row r="211" ht="15.75" customHeight="1">
      <c r="A211" s="33" t="s">
        <v>545</v>
      </c>
      <c r="B211" s="33" t="s">
        <v>546</v>
      </c>
      <c r="C211" s="33" t="s">
        <v>327</v>
      </c>
      <c r="D211" s="64">
        <v>1.0</v>
      </c>
      <c r="E211" s="43">
        <v>0.0</v>
      </c>
      <c r="F211" s="35">
        <f t="shared" si="1"/>
        <v>1</v>
      </c>
      <c r="G211" s="37"/>
      <c r="H211" s="37">
        <v>74800.0</v>
      </c>
      <c r="I211" s="40">
        <f t="shared" si="2"/>
        <v>74800</v>
      </c>
      <c r="J211" s="64" t="s">
        <v>197</v>
      </c>
      <c r="K211" s="43" t="s">
        <v>547</v>
      </c>
      <c r="L211" s="43" t="s">
        <v>548</v>
      </c>
      <c r="M211" s="43" t="s">
        <v>549</v>
      </c>
      <c r="N211" s="44"/>
      <c r="O211" s="44"/>
      <c r="P211" s="44"/>
      <c r="Q211" s="44"/>
      <c r="R211" s="66"/>
      <c r="S211" s="71"/>
      <c r="T211" s="71"/>
      <c r="U211" s="71"/>
      <c r="V211" s="71"/>
      <c r="W211" s="71"/>
      <c r="X211" s="71"/>
      <c r="Y211" s="71"/>
      <c r="Z211" s="71"/>
    </row>
    <row r="212" ht="15.75" customHeight="1">
      <c r="A212" s="49" t="s">
        <v>545</v>
      </c>
      <c r="B212" s="49" t="s">
        <v>546</v>
      </c>
      <c r="C212" s="49" t="s">
        <v>327</v>
      </c>
      <c r="D212" s="55">
        <v>1.0</v>
      </c>
      <c r="E212" s="58">
        <v>0.0</v>
      </c>
      <c r="F212" s="52">
        <f t="shared" si="1"/>
        <v>1</v>
      </c>
      <c r="G212" s="53"/>
      <c r="H212" s="53">
        <v>74800.0</v>
      </c>
      <c r="I212" s="54">
        <f t="shared" si="2"/>
        <v>74800</v>
      </c>
      <c r="J212" s="55" t="s">
        <v>160</v>
      </c>
      <c r="K212" s="58" t="s">
        <v>547</v>
      </c>
      <c r="L212" s="58" t="s">
        <v>548</v>
      </c>
      <c r="M212" s="58" t="s">
        <v>549</v>
      </c>
      <c r="N212" s="59"/>
      <c r="O212" s="59"/>
      <c r="P212" s="59"/>
      <c r="Q212" s="59"/>
      <c r="R212" s="61"/>
      <c r="S212" s="71"/>
      <c r="T212" s="71"/>
      <c r="U212" s="71"/>
      <c r="V212" s="71"/>
      <c r="W212" s="71"/>
      <c r="X212" s="71"/>
      <c r="Y212" s="71"/>
      <c r="Z212" s="71"/>
    </row>
    <row r="213" ht="15.75" customHeight="1">
      <c r="A213" s="33" t="s">
        <v>545</v>
      </c>
      <c r="B213" s="33" t="s">
        <v>546</v>
      </c>
      <c r="C213" s="33" t="s">
        <v>327</v>
      </c>
      <c r="D213" s="64">
        <v>1.0</v>
      </c>
      <c r="E213" s="43">
        <v>0.0</v>
      </c>
      <c r="F213" s="35">
        <f t="shared" si="1"/>
        <v>1</v>
      </c>
      <c r="G213" s="37"/>
      <c r="H213" s="37">
        <v>74800.0</v>
      </c>
      <c r="I213" s="40">
        <f t="shared" si="2"/>
        <v>74800</v>
      </c>
      <c r="J213" s="64" t="s">
        <v>196</v>
      </c>
      <c r="K213" s="43" t="s">
        <v>547</v>
      </c>
      <c r="L213" s="43" t="s">
        <v>548</v>
      </c>
      <c r="M213" s="43" t="s">
        <v>549</v>
      </c>
      <c r="N213" s="44"/>
      <c r="O213" s="44"/>
      <c r="P213" s="44"/>
      <c r="Q213" s="44"/>
      <c r="R213" s="66"/>
      <c r="S213" s="71"/>
      <c r="T213" s="71"/>
      <c r="U213" s="71"/>
      <c r="V213" s="71"/>
      <c r="W213" s="71"/>
      <c r="X213" s="71"/>
      <c r="Y213" s="71"/>
      <c r="Z213" s="71"/>
    </row>
    <row r="214" ht="15.75" customHeight="1">
      <c r="A214" s="49" t="s">
        <v>545</v>
      </c>
      <c r="B214" s="49" t="s">
        <v>546</v>
      </c>
      <c r="C214" s="49" t="s">
        <v>327</v>
      </c>
      <c r="D214" s="55">
        <v>1.0</v>
      </c>
      <c r="E214" s="58">
        <v>0.0</v>
      </c>
      <c r="F214" s="52">
        <f t="shared" si="1"/>
        <v>1</v>
      </c>
      <c r="G214" s="53"/>
      <c r="H214" s="53">
        <v>74800.0</v>
      </c>
      <c r="I214" s="54">
        <f t="shared" si="2"/>
        <v>74800</v>
      </c>
      <c r="J214" s="55" t="s">
        <v>201</v>
      </c>
      <c r="K214" s="58" t="s">
        <v>547</v>
      </c>
      <c r="L214" s="58" t="s">
        <v>548</v>
      </c>
      <c r="M214" s="58" t="s">
        <v>549</v>
      </c>
      <c r="N214" s="59"/>
      <c r="O214" s="59"/>
      <c r="P214" s="59"/>
      <c r="Q214" s="59"/>
      <c r="R214" s="61"/>
      <c r="S214" s="71"/>
      <c r="T214" s="71"/>
      <c r="U214" s="71"/>
      <c r="V214" s="71"/>
      <c r="W214" s="71"/>
      <c r="X214" s="71"/>
      <c r="Y214" s="71"/>
      <c r="Z214" s="71"/>
    </row>
    <row r="215" ht="15.75" customHeight="1">
      <c r="A215" s="33" t="s">
        <v>545</v>
      </c>
      <c r="B215" s="33" t="s">
        <v>546</v>
      </c>
      <c r="C215" s="33" t="s">
        <v>327</v>
      </c>
      <c r="D215" s="64">
        <v>1.0</v>
      </c>
      <c r="E215" s="43">
        <v>0.0</v>
      </c>
      <c r="F215" s="35">
        <f t="shared" si="1"/>
        <v>1</v>
      </c>
      <c r="G215" s="37"/>
      <c r="H215" s="37">
        <v>74800.0</v>
      </c>
      <c r="I215" s="40">
        <f t="shared" si="2"/>
        <v>74800</v>
      </c>
      <c r="J215" s="64" t="s">
        <v>178</v>
      </c>
      <c r="K215" s="43" t="s">
        <v>547</v>
      </c>
      <c r="L215" s="43" t="s">
        <v>548</v>
      </c>
      <c r="M215" s="43" t="s">
        <v>549</v>
      </c>
      <c r="N215" s="44"/>
      <c r="O215" s="44"/>
      <c r="P215" s="44"/>
      <c r="Q215" s="44"/>
      <c r="R215" s="66"/>
      <c r="S215" s="71"/>
      <c r="T215" s="71"/>
      <c r="U215" s="71"/>
      <c r="V215" s="71"/>
      <c r="W215" s="71"/>
      <c r="X215" s="71"/>
      <c r="Y215" s="71"/>
      <c r="Z215" s="71"/>
    </row>
    <row r="216" ht="15.75" customHeight="1">
      <c r="A216" s="49" t="s">
        <v>545</v>
      </c>
      <c r="B216" s="49" t="s">
        <v>546</v>
      </c>
      <c r="C216" s="49" t="s">
        <v>327</v>
      </c>
      <c r="D216" s="55">
        <v>1.0</v>
      </c>
      <c r="E216" s="58">
        <v>0.0</v>
      </c>
      <c r="F216" s="52">
        <f t="shared" si="1"/>
        <v>1</v>
      </c>
      <c r="G216" s="53"/>
      <c r="H216" s="53">
        <v>74800.0</v>
      </c>
      <c r="I216" s="54">
        <f t="shared" si="2"/>
        <v>74800</v>
      </c>
      <c r="J216" s="55" t="s">
        <v>189</v>
      </c>
      <c r="K216" s="58" t="s">
        <v>547</v>
      </c>
      <c r="L216" s="58" t="s">
        <v>548</v>
      </c>
      <c r="M216" s="58" t="s">
        <v>549</v>
      </c>
      <c r="N216" s="59"/>
      <c r="O216" s="59"/>
      <c r="P216" s="59"/>
      <c r="Q216" s="59"/>
      <c r="R216" s="61"/>
      <c r="S216" s="71"/>
      <c r="T216" s="71"/>
      <c r="U216" s="71"/>
      <c r="V216" s="71"/>
      <c r="W216" s="71"/>
      <c r="X216" s="71"/>
      <c r="Y216" s="71"/>
      <c r="Z216" s="71"/>
    </row>
    <row r="217" ht="15.75" customHeight="1">
      <c r="A217" s="33" t="s">
        <v>545</v>
      </c>
      <c r="B217" s="33" t="s">
        <v>546</v>
      </c>
      <c r="C217" s="33" t="s">
        <v>327</v>
      </c>
      <c r="D217" s="64">
        <v>1.0</v>
      </c>
      <c r="E217" s="43">
        <v>0.0</v>
      </c>
      <c r="F217" s="35">
        <f t="shared" si="1"/>
        <v>1</v>
      </c>
      <c r="G217" s="37"/>
      <c r="H217" s="37">
        <v>74800.0</v>
      </c>
      <c r="I217" s="40">
        <f t="shared" si="2"/>
        <v>74800</v>
      </c>
      <c r="J217" s="64" t="s">
        <v>192</v>
      </c>
      <c r="K217" s="43" t="s">
        <v>547</v>
      </c>
      <c r="L217" s="43" t="s">
        <v>548</v>
      </c>
      <c r="M217" s="43" t="s">
        <v>549</v>
      </c>
      <c r="N217" s="44"/>
      <c r="O217" s="44"/>
      <c r="P217" s="44"/>
      <c r="Q217" s="44"/>
      <c r="R217" s="66"/>
      <c r="S217" s="71"/>
      <c r="T217" s="71"/>
      <c r="U217" s="71"/>
      <c r="V217" s="71"/>
      <c r="W217" s="71"/>
      <c r="X217" s="71"/>
      <c r="Y217" s="71"/>
      <c r="Z217" s="71"/>
    </row>
    <row r="218" ht="15.75" customHeight="1">
      <c r="A218" s="49" t="s">
        <v>545</v>
      </c>
      <c r="B218" s="49" t="s">
        <v>546</v>
      </c>
      <c r="C218" s="49" t="s">
        <v>327</v>
      </c>
      <c r="D218" s="55">
        <v>1.0</v>
      </c>
      <c r="E218" s="58">
        <v>1.0</v>
      </c>
      <c r="F218" s="52">
        <f t="shared" si="1"/>
        <v>0</v>
      </c>
      <c r="G218" s="53"/>
      <c r="H218" s="53">
        <v>74800.0</v>
      </c>
      <c r="I218" s="54">
        <f t="shared" si="2"/>
        <v>74800</v>
      </c>
      <c r="J218" s="55" t="s">
        <v>194</v>
      </c>
      <c r="K218" s="58" t="s">
        <v>547</v>
      </c>
      <c r="L218" s="58" t="s">
        <v>548</v>
      </c>
      <c r="M218" s="58" t="s">
        <v>549</v>
      </c>
      <c r="N218" s="59"/>
      <c r="O218" s="59"/>
      <c r="P218" s="59"/>
      <c r="Q218" s="59"/>
      <c r="R218" s="61"/>
      <c r="S218" s="71"/>
      <c r="T218" s="71"/>
      <c r="U218" s="71"/>
      <c r="V218" s="71"/>
      <c r="W218" s="71"/>
      <c r="X218" s="71"/>
      <c r="Y218" s="71"/>
      <c r="Z218" s="71"/>
    </row>
    <row r="219" ht="15.75" customHeight="1">
      <c r="A219" s="33" t="s">
        <v>545</v>
      </c>
      <c r="B219" s="33" t="s">
        <v>546</v>
      </c>
      <c r="C219" s="33" t="s">
        <v>327</v>
      </c>
      <c r="D219" s="64">
        <v>1.0</v>
      </c>
      <c r="E219" s="43">
        <v>0.0</v>
      </c>
      <c r="F219" s="35">
        <f t="shared" si="1"/>
        <v>1</v>
      </c>
      <c r="G219" s="37"/>
      <c r="H219" s="37">
        <v>74800.0</v>
      </c>
      <c r="I219" s="40">
        <f t="shared" si="2"/>
        <v>74800</v>
      </c>
      <c r="J219" s="64" t="s">
        <v>199</v>
      </c>
      <c r="K219" s="43" t="s">
        <v>547</v>
      </c>
      <c r="L219" s="43" t="s">
        <v>548</v>
      </c>
      <c r="M219" s="43" t="s">
        <v>549</v>
      </c>
      <c r="N219" s="44"/>
      <c r="O219" s="44"/>
      <c r="P219" s="44"/>
      <c r="Q219" s="44"/>
      <c r="R219" s="66"/>
      <c r="S219" s="71"/>
      <c r="T219" s="71"/>
      <c r="U219" s="71"/>
      <c r="V219" s="71"/>
      <c r="W219" s="71"/>
      <c r="X219" s="71"/>
      <c r="Y219" s="71"/>
      <c r="Z219" s="71"/>
    </row>
    <row r="220" ht="15.75" customHeight="1">
      <c r="A220" s="49" t="s">
        <v>545</v>
      </c>
      <c r="B220" s="49" t="s">
        <v>546</v>
      </c>
      <c r="C220" s="49" t="s">
        <v>327</v>
      </c>
      <c r="D220" s="55">
        <v>1.0</v>
      </c>
      <c r="E220" s="58">
        <v>0.0</v>
      </c>
      <c r="F220" s="52">
        <f t="shared" si="1"/>
        <v>1</v>
      </c>
      <c r="G220" s="53"/>
      <c r="H220" s="53">
        <v>74800.0</v>
      </c>
      <c r="I220" s="54">
        <f t="shared" si="2"/>
        <v>74800</v>
      </c>
      <c r="J220" s="55" t="s">
        <v>210</v>
      </c>
      <c r="K220" s="58" t="s">
        <v>547</v>
      </c>
      <c r="L220" s="58" t="s">
        <v>548</v>
      </c>
      <c r="M220" s="58" t="s">
        <v>549</v>
      </c>
      <c r="N220" s="59"/>
      <c r="O220" s="59"/>
      <c r="P220" s="59"/>
      <c r="Q220" s="59"/>
      <c r="R220" s="61"/>
      <c r="S220" s="71"/>
      <c r="T220" s="71"/>
      <c r="U220" s="71"/>
      <c r="V220" s="71"/>
      <c r="W220" s="71"/>
      <c r="X220" s="71"/>
      <c r="Y220" s="71"/>
      <c r="Z220" s="71"/>
    </row>
    <row r="221" ht="15.75" customHeight="1">
      <c r="A221" s="33" t="s">
        <v>545</v>
      </c>
      <c r="B221" s="33" t="s">
        <v>546</v>
      </c>
      <c r="C221" s="33" t="s">
        <v>327</v>
      </c>
      <c r="D221" s="64">
        <v>1.0</v>
      </c>
      <c r="E221" s="43">
        <v>0.0</v>
      </c>
      <c r="F221" s="231">
        <f t="shared" si="1"/>
        <v>1</v>
      </c>
      <c r="G221" s="37"/>
      <c r="H221" s="37">
        <v>74800.0</v>
      </c>
      <c r="I221" s="40">
        <f t="shared" si="2"/>
        <v>74800</v>
      </c>
      <c r="J221" s="64" t="s">
        <v>214</v>
      </c>
      <c r="K221" s="43" t="s">
        <v>547</v>
      </c>
      <c r="L221" s="43" t="s">
        <v>548</v>
      </c>
      <c r="M221" s="43" t="s">
        <v>549</v>
      </c>
      <c r="N221" s="172"/>
      <c r="O221" s="172"/>
      <c r="P221" s="172"/>
      <c r="Q221" s="172"/>
      <c r="R221" s="173"/>
      <c r="S221" s="165"/>
      <c r="T221" s="165"/>
      <c r="U221" s="165"/>
      <c r="V221" s="165"/>
      <c r="W221" s="165"/>
      <c r="X221" s="165"/>
      <c r="Y221" s="165"/>
      <c r="Z221" s="165"/>
    </row>
    <row r="222" ht="15.75" customHeight="1">
      <c r="A222" s="184" t="s">
        <v>590</v>
      </c>
      <c r="B222" s="184" t="s">
        <v>591</v>
      </c>
      <c r="C222" s="185" t="s">
        <v>592</v>
      </c>
      <c r="D222" s="55">
        <v>1.0</v>
      </c>
      <c r="E222" s="58">
        <v>1.0</v>
      </c>
      <c r="F222" s="232">
        <f t="shared" si="1"/>
        <v>0</v>
      </c>
      <c r="G222" s="134"/>
      <c r="H222" s="134">
        <v>150818.0</v>
      </c>
      <c r="I222" s="54">
        <f t="shared" si="2"/>
        <v>150818</v>
      </c>
      <c r="J222" s="55" t="s">
        <v>58</v>
      </c>
      <c r="K222" s="136" t="s">
        <v>593</v>
      </c>
      <c r="L222" s="136" t="s">
        <v>594</v>
      </c>
      <c r="M222" s="136" t="s">
        <v>595</v>
      </c>
      <c r="N222" s="126"/>
      <c r="O222" s="126"/>
      <c r="P222" s="126"/>
      <c r="Q222" s="126"/>
      <c r="R222" s="128"/>
      <c r="S222" s="165"/>
      <c r="T222" s="165"/>
      <c r="U222" s="165"/>
      <c r="V222" s="165"/>
      <c r="W222" s="165"/>
      <c r="X222" s="165"/>
      <c r="Y222" s="165"/>
      <c r="Z222" s="165"/>
    </row>
    <row r="223" ht="15.75" customHeight="1">
      <c r="A223" s="189" t="s">
        <v>590</v>
      </c>
      <c r="B223" s="189" t="s">
        <v>591</v>
      </c>
      <c r="C223" s="233" t="s">
        <v>592</v>
      </c>
      <c r="D223" s="64">
        <v>1.0</v>
      </c>
      <c r="E223" s="43">
        <v>1.0</v>
      </c>
      <c r="F223" s="231">
        <f t="shared" si="1"/>
        <v>0</v>
      </c>
      <c r="G223" s="171"/>
      <c r="H223" s="171">
        <v>150818.0</v>
      </c>
      <c r="I223" s="40">
        <f t="shared" si="2"/>
        <v>150818</v>
      </c>
      <c r="J223" s="64" t="s">
        <v>85</v>
      </c>
      <c r="K223" s="138" t="s">
        <v>593</v>
      </c>
      <c r="L223" s="138" t="s">
        <v>430</v>
      </c>
      <c r="M223" s="138" t="s">
        <v>431</v>
      </c>
      <c r="N223" s="172"/>
      <c r="O223" s="172"/>
      <c r="P223" s="172"/>
      <c r="Q223" s="172"/>
      <c r="R223" s="173"/>
      <c r="S223" s="165"/>
      <c r="T223" s="165"/>
      <c r="U223" s="165"/>
      <c r="V223" s="165"/>
      <c r="W223" s="165"/>
      <c r="X223" s="165"/>
      <c r="Y223" s="165"/>
      <c r="Z223" s="165"/>
    </row>
    <row r="224" ht="15.75" customHeight="1">
      <c r="A224" s="184" t="s">
        <v>590</v>
      </c>
      <c r="B224" s="184" t="s">
        <v>591</v>
      </c>
      <c r="C224" s="185" t="s">
        <v>592</v>
      </c>
      <c r="D224" s="55">
        <v>1.0</v>
      </c>
      <c r="E224" s="58">
        <v>1.0</v>
      </c>
      <c r="F224" s="232">
        <f t="shared" si="1"/>
        <v>0</v>
      </c>
      <c r="G224" s="134"/>
      <c r="H224" s="134">
        <v>150818.0</v>
      </c>
      <c r="I224" s="54">
        <f t="shared" si="2"/>
        <v>150818</v>
      </c>
      <c r="J224" s="55" t="s">
        <v>175</v>
      </c>
      <c r="K224" s="136" t="s">
        <v>593</v>
      </c>
      <c r="L224" s="136" t="s">
        <v>430</v>
      </c>
      <c r="M224" s="136" t="s">
        <v>431</v>
      </c>
      <c r="N224" s="126"/>
      <c r="O224" s="126"/>
      <c r="P224" s="126"/>
      <c r="Q224" s="126"/>
      <c r="R224" s="128"/>
      <c r="S224" s="165"/>
      <c r="T224" s="165"/>
      <c r="U224" s="165"/>
      <c r="V224" s="165"/>
      <c r="W224" s="165"/>
      <c r="X224" s="165"/>
      <c r="Y224" s="165"/>
      <c r="Z224" s="165"/>
    </row>
    <row r="225" ht="15.75" customHeight="1">
      <c r="A225" s="189" t="s">
        <v>590</v>
      </c>
      <c r="B225" s="189" t="s">
        <v>591</v>
      </c>
      <c r="C225" s="233" t="s">
        <v>592</v>
      </c>
      <c r="D225" s="64">
        <v>1.0</v>
      </c>
      <c r="E225" s="43">
        <v>1.0</v>
      </c>
      <c r="F225" s="231">
        <f t="shared" si="1"/>
        <v>0</v>
      </c>
      <c r="G225" s="171"/>
      <c r="H225" s="171">
        <v>150818.0</v>
      </c>
      <c r="I225" s="40">
        <f t="shared" si="2"/>
        <v>150818</v>
      </c>
      <c r="J225" s="64" t="s">
        <v>189</v>
      </c>
      <c r="K225" s="138" t="s">
        <v>593</v>
      </c>
      <c r="L225" s="138" t="s">
        <v>430</v>
      </c>
      <c r="M225" s="138" t="s">
        <v>595</v>
      </c>
      <c r="N225" s="172"/>
      <c r="O225" s="172"/>
      <c r="P225" s="172"/>
      <c r="Q225" s="172"/>
      <c r="R225" s="173"/>
      <c r="S225" s="165"/>
      <c r="T225" s="165"/>
      <c r="U225" s="165"/>
      <c r="V225" s="165"/>
      <c r="W225" s="165"/>
      <c r="X225" s="165"/>
      <c r="Y225" s="165"/>
      <c r="Z225" s="165"/>
    </row>
    <row r="226" ht="15.75" customHeight="1">
      <c r="A226" s="184" t="s">
        <v>590</v>
      </c>
      <c r="B226" s="184" t="s">
        <v>591</v>
      </c>
      <c r="C226" s="185" t="s">
        <v>592</v>
      </c>
      <c r="D226" s="55">
        <v>1.0</v>
      </c>
      <c r="E226" s="58">
        <v>1.0</v>
      </c>
      <c r="F226" s="232">
        <f t="shared" si="1"/>
        <v>0</v>
      </c>
      <c r="G226" s="134"/>
      <c r="H226" s="134">
        <v>150818.0</v>
      </c>
      <c r="I226" s="54">
        <f t="shared" si="2"/>
        <v>150818</v>
      </c>
      <c r="J226" s="55" t="s">
        <v>197</v>
      </c>
      <c r="K226" s="136" t="s">
        <v>593</v>
      </c>
      <c r="L226" s="136" t="s">
        <v>430</v>
      </c>
      <c r="M226" s="136" t="s">
        <v>431</v>
      </c>
      <c r="N226" s="126"/>
      <c r="O226" s="126"/>
      <c r="P226" s="126"/>
      <c r="Q226" s="126"/>
      <c r="R226" s="128"/>
      <c r="S226" s="165"/>
      <c r="T226" s="165"/>
      <c r="U226" s="165"/>
      <c r="V226" s="165"/>
      <c r="W226" s="165"/>
      <c r="X226" s="165"/>
      <c r="Y226" s="165"/>
      <c r="Z226" s="165"/>
    </row>
    <row r="227" ht="15.75" customHeight="1">
      <c r="A227" s="189" t="s">
        <v>590</v>
      </c>
      <c r="B227" s="189" t="s">
        <v>591</v>
      </c>
      <c r="C227" s="233" t="s">
        <v>592</v>
      </c>
      <c r="D227" s="64">
        <v>1.0</v>
      </c>
      <c r="E227" s="43">
        <v>1.0</v>
      </c>
      <c r="F227" s="231">
        <f t="shared" si="1"/>
        <v>0</v>
      </c>
      <c r="G227" s="171"/>
      <c r="H227" s="171">
        <v>150818.0</v>
      </c>
      <c r="I227" s="40">
        <f t="shared" si="2"/>
        <v>150818</v>
      </c>
      <c r="J227" s="64" t="s">
        <v>160</v>
      </c>
      <c r="K227" s="138" t="s">
        <v>593</v>
      </c>
      <c r="L227" s="138" t="s">
        <v>430</v>
      </c>
      <c r="M227" s="138" t="s">
        <v>595</v>
      </c>
      <c r="N227" s="172"/>
      <c r="O227" s="172"/>
      <c r="P227" s="172"/>
      <c r="Q227" s="172"/>
      <c r="R227" s="173"/>
      <c r="S227" s="165"/>
      <c r="T227" s="165"/>
      <c r="U227" s="165"/>
      <c r="V227" s="165"/>
      <c r="W227" s="165"/>
      <c r="X227" s="165"/>
      <c r="Y227" s="165"/>
      <c r="Z227" s="165"/>
    </row>
    <row r="228" ht="15.75" customHeight="1">
      <c r="A228" s="184" t="s">
        <v>590</v>
      </c>
      <c r="B228" s="184" t="s">
        <v>591</v>
      </c>
      <c r="C228" s="185" t="s">
        <v>592</v>
      </c>
      <c r="D228" s="55">
        <v>1.0</v>
      </c>
      <c r="E228" s="58">
        <v>1.0</v>
      </c>
      <c r="F228" s="232">
        <f t="shared" si="1"/>
        <v>0</v>
      </c>
      <c r="G228" s="134"/>
      <c r="H228" s="134">
        <v>150818.0</v>
      </c>
      <c r="I228" s="54">
        <f t="shared" si="2"/>
        <v>150818</v>
      </c>
      <c r="J228" s="55" t="s">
        <v>196</v>
      </c>
      <c r="K228" s="136" t="s">
        <v>593</v>
      </c>
      <c r="L228" s="136" t="s">
        <v>430</v>
      </c>
      <c r="M228" s="136" t="s">
        <v>431</v>
      </c>
      <c r="N228" s="126"/>
      <c r="O228" s="126"/>
      <c r="P228" s="126"/>
      <c r="Q228" s="126"/>
      <c r="R228" s="128"/>
      <c r="S228" s="165"/>
      <c r="T228" s="165"/>
      <c r="U228" s="165"/>
      <c r="V228" s="165"/>
      <c r="W228" s="165"/>
      <c r="X228" s="165"/>
      <c r="Y228" s="165"/>
      <c r="Z228" s="165"/>
    </row>
    <row r="229" ht="15.75" customHeight="1">
      <c r="A229" s="189" t="s">
        <v>590</v>
      </c>
      <c r="B229" s="189" t="s">
        <v>591</v>
      </c>
      <c r="C229" s="233" t="s">
        <v>592</v>
      </c>
      <c r="D229" s="64">
        <v>1.0</v>
      </c>
      <c r="E229" s="43">
        <v>1.0</v>
      </c>
      <c r="F229" s="231">
        <f t="shared" si="1"/>
        <v>0</v>
      </c>
      <c r="G229" s="171"/>
      <c r="H229" s="171">
        <v>150818.0</v>
      </c>
      <c r="I229" s="40">
        <f t="shared" si="2"/>
        <v>150818</v>
      </c>
      <c r="J229" s="64" t="s">
        <v>201</v>
      </c>
      <c r="K229" s="138" t="s">
        <v>593</v>
      </c>
      <c r="L229" s="138" t="s">
        <v>430</v>
      </c>
      <c r="M229" s="138" t="s">
        <v>431</v>
      </c>
      <c r="N229" s="172"/>
      <c r="O229" s="172"/>
      <c r="P229" s="172"/>
      <c r="Q229" s="172"/>
      <c r="R229" s="173"/>
      <c r="S229" s="165"/>
      <c r="T229" s="165"/>
      <c r="U229" s="165"/>
      <c r="V229" s="165"/>
      <c r="W229" s="165"/>
      <c r="X229" s="165"/>
      <c r="Y229" s="165"/>
      <c r="Z229" s="165"/>
    </row>
    <row r="230" ht="15.75" customHeight="1">
      <c r="A230" s="184" t="s">
        <v>590</v>
      </c>
      <c r="B230" s="184" t="s">
        <v>591</v>
      </c>
      <c r="C230" s="185" t="s">
        <v>592</v>
      </c>
      <c r="D230" s="55">
        <v>1.0</v>
      </c>
      <c r="E230" s="55">
        <v>1.0</v>
      </c>
      <c r="F230" s="232">
        <f t="shared" si="1"/>
        <v>0</v>
      </c>
      <c r="G230" s="134"/>
      <c r="H230" s="134">
        <v>150818.0</v>
      </c>
      <c r="I230" s="54">
        <f t="shared" si="2"/>
        <v>150818</v>
      </c>
      <c r="J230" s="55" t="s">
        <v>189</v>
      </c>
      <c r="K230" s="136" t="s">
        <v>593</v>
      </c>
      <c r="L230" s="136" t="s">
        <v>430</v>
      </c>
      <c r="M230" s="136" t="s">
        <v>431</v>
      </c>
      <c r="N230" s="126"/>
      <c r="O230" s="126"/>
      <c r="P230" s="126"/>
      <c r="Q230" s="126"/>
      <c r="R230" s="128"/>
      <c r="S230" s="165"/>
      <c r="T230" s="165"/>
      <c r="U230" s="165"/>
      <c r="V230" s="165"/>
      <c r="W230" s="165"/>
      <c r="X230" s="165"/>
      <c r="Y230" s="165"/>
      <c r="Z230" s="165"/>
    </row>
    <row r="231" ht="15.75" customHeight="1">
      <c r="A231" s="189" t="s">
        <v>590</v>
      </c>
      <c r="B231" s="189" t="s">
        <v>591</v>
      </c>
      <c r="C231" s="233" t="s">
        <v>592</v>
      </c>
      <c r="D231" s="64">
        <v>1.0</v>
      </c>
      <c r="E231" s="64">
        <v>1.0</v>
      </c>
      <c r="F231" s="231">
        <f t="shared" si="1"/>
        <v>0</v>
      </c>
      <c r="G231" s="171"/>
      <c r="H231" s="171">
        <v>150818.0</v>
      </c>
      <c r="I231" s="40">
        <f t="shared" si="2"/>
        <v>150818</v>
      </c>
      <c r="J231" s="64" t="s">
        <v>304</v>
      </c>
      <c r="K231" s="138" t="s">
        <v>593</v>
      </c>
      <c r="L231" s="138" t="s">
        <v>430</v>
      </c>
      <c r="M231" s="138" t="s">
        <v>595</v>
      </c>
      <c r="N231" s="172"/>
      <c r="O231" s="172"/>
      <c r="P231" s="172"/>
      <c r="Q231" s="172"/>
      <c r="R231" s="173"/>
      <c r="S231" s="165"/>
      <c r="T231" s="165"/>
      <c r="U231" s="165"/>
      <c r="V231" s="165"/>
      <c r="W231" s="165"/>
      <c r="X231" s="165"/>
      <c r="Y231" s="165"/>
      <c r="Z231" s="165"/>
    </row>
    <row r="232" ht="15.75" customHeight="1">
      <c r="A232" s="184" t="s">
        <v>590</v>
      </c>
      <c r="B232" s="184" t="s">
        <v>591</v>
      </c>
      <c r="C232" s="185" t="s">
        <v>592</v>
      </c>
      <c r="D232" s="55">
        <v>1.0</v>
      </c>
      <c r="E232" s="55">
        <v>1.0</v>
      </c>
      <c r="F232" s="232">
        <f t="shared" si="1"/>
        <v>0</v>
      </c>
      <c r="G232" s="134"/>
      <c r="H232" s="134">
        <v>150818.0</v>
      </c>
      <c r="I232" s="54">
        <f t="shared" si="2"/>
        <v>150818</v>
      </c>
      <c r="J232" s="62" t="s">
        <v>272</v>
      </c>
      <c r="K232" s="136" t="s">
        <v>593</v>
      </c>
      <c r="L232" s="136" t="s">
        <v>430</v>
      </c>
      <c r="M232" s="136" t="s">
        <v>431</v>
      </c>
      <c r="N232" s="126"/>
      <c r="O232" s="126"/>
      <c r="P232" s="126"/>
      <c r="Q232" s="126"/>
      <c r="R232" s="128"/>
      <c r="S232" s="165"/>
      <c r="T232" s="165"/>
      <c r="U232" s="165"/>
      <c r="V232" s="165"/>
      <c r="W232" s="165"/>
      <c r="X232" s="165"/>
      <c r="Y232" s="165"/>
      <c r="Z232" s="165"/>
    </row>
    <row r="233" ht="15.75" customHeight="1">
      <c r="A233" s="189" t="s">
        <v>590</v>
      </c>
      <c r="B233" s="189" t="s">
        <v>591</v>
      </c>
      <c r="C233" s="233" t="s">
        <v>592</v>
      </c>
      <c r="D233" s="64">
        <v>1.0</v>
      </c>
      <c r="E233" s="64">
        <v>1.0</v>
      </c>
      <c r="F233" s="231">
        <f t="shared" si="1"/>
        <v>0</v>
      </c>
      <c r="G233" s="171"/>
      <c r="H233" s="171">
        <v>150818.0</v>
      </c>
      <c r="I233" s="40">
        <f t="shared" si="2"/>
        <v>150818</v>
      </c>
      <c r="J233" s="64" t="s">
        <v>210</v>
      </c>
      <c r="K233" s="138" t="s">
        <v>593</v>
      </c>
      <c r="L233" s="138" t="s">
        <v>430</v>
      </c>
      <c r="M233" s="138" t="s">
        <v>431</v>
      </c>
      <c r="N233" s="172"/>
      <c r="O233" s="172"/>
      <c r="P233" s="172"/>
      <c r="Q233" s="172"/>
      <c r="R233" s="173"/>
      <c r="S233" s="165"/>
      <c r="T233" s="165"/>
      <c r="U233" s="165"/>
      <c r="V233" s="165"/>
      <c r="W233" s="165"/>
      <c r="X233" s="165"/>
      <c r="Y233" s="165"/>
      <c r="Z233" s="165"/>
    </row>
    <row r="234" ht="15.75" customHeight="1">
      <c r="A234" s="184" t="s">
        <v>590</v>
      </c>
      <c r="B234" s="184" t="s">
        <v>591</v>
      </c>
      <c r="C234" s="185" t="s">
        <v>592</v>
      </c>
      <c r="D234" s="55">
        <v>1.0</v>
      </c>
      <c r="E234" s="55">
        <v>1.0</v>
      </c>
      <c r="F234" s="232">
        <f t="shared" si="1"/>
        <v>0</v>
      </c>
      <c r="G234" s="134"/>
      <c r="H234" s="134">
        <v>150818.0</v>
      </c>
      <c r="I234" s="54">
        <f t="shared" si="2"/>
        <v>150818</v>
      </c>
      <c r="J234" s="55" t="s">
        <v>214</v>
      </c>
      <c r="K234" s="136" t="s">
        <v>593</v>
      </c>
      <c r="L234" s="136" t="s">
        <v>430</v>
      </c>
      <c r="M234" s="136" t="s">
        <v>431</v>
      </c>
      <c r="N234" s="126"/>
      <c r="O234" s="126"/>
      <c r="P234" s="126"/>
      <c r="Q234" s="126"/>
      <c r="R234" s="128"/>
      <c r="S234" s="165"/>
      <c r="T234" s="165"/>
      <c r="U234" s="165"/>
      <c r="V234" s="165"/>
      <c r="W234" s="165"/>
      <c r="X234" s="165"/>
      <c r="Y234" s="165"/>
      <c r="Z234" s="165"/>
    </row>
    <row r="235" ht="15.75" customHeight="1">
      <c r="A235" s="189" t="s">
        <v>604</v>
      </c>
      <c r="B235" s="189" t="s">
        <v>605</v>
      </c>
      <c r="C235" s="233" t="s">
        <v>606</v>
      </c>
      <c r="D235" s="64">
        <v>1.0</v>
      </c>
      <c r="E235" s="43">
        <v>1.0</v>
      </c>
      <c r="F235" s="231">
        <f t="shared" si="1"/>
        <v>0</v>
      </c>
      <c r="G235" s="171"/>
      <c r="H235" s="171">
        <v>680000.0</v>
      </c>
      <c r="I235" s="40">
        <f t="shared" si="2"/>
        <v>680000</v>
      </c>
      <c r="J235" s="64" t="s">
        <v>96</v>
      </c>
      <c r="K235" s="138" t="s">
        <v>607</v>
      </c>
      <c r="L235" s="138" t="s">
        <v>608</v>
      </c>
      <c r="M235" s="138" t="s">
        <v>609</v>
      </c>
      <c r="N235" s="172"/>
      <c r="O235" s="172"/>
      <c r="P235" s="172"/>
      <c r="Q235" s="172"/>
      <c r="R235" s="173"/>
      <c r="S235" s="165"/>
      <c r="T235" s="165"/>
      <c r="U235" s="165"/>
      <c r="V235" s="165"/>
      <c r="W235" s="165"/>
      <c r="X235" s="165"/>
      <c r="Y235" s="165"/>
      <c r="Z235" s="165"/>
    </row>
    <row r="236" ht="15.75" customHeight="1">
      <c r="A236" s="184" t="s">
        <v>604</v>
      </c>
      <c r="B236" s="184" t="s">
        <v>605</v>
      </c>
      <c r="C236" s="185" t="s">
        <v>606</v>
      </c>
      <c r="D236" s="55">
        <v>1.0</v>
      </c>
      <c r="E236" s="111">
        <v>1.0</v>
      </c>
      <c r="F236" s="232">
        <f t="shared" si="1"/>
        <v>0</v>
      </c>
      <c r="G236" s="134"/>
      <c r="H236" s="134">
        <v>680000.0</v>
      </c>
      <c r="I236" s="54">
        <f t="shared" si="2"/>
        <v>680000</v>
      </c>
      <c r="J236" s="55" t="s">
        <v>113</v>
      </c>
      <c r="K236" s="136" t="s">
        <v>610</v>
      </c>
      <c r="L236" s="136" t="s">
        <v>611</v>
      </c>
      <c r="M236" s="136" t="s">
        <v>612</v>
      </c>
      <c r="N236" s="126"/>
      <c r="O236" s="126"/>
      <c r="P236" s="126"/>
      <c r="Q236" s="126"/>
      <c r="R236" s="128"/>
      <c r="S236" s="165"/>
      <c r="T236" s="165"/>
      <c r="U236" s="165"/>
      <c r="V236" s="165"/>
      <c r="W236" s="165"/>
      <c r="X236" s="165"/>
      <c r="Y236" s="165"/>
      <c r="Z236" s="165"/>
    </row>
    <row r="237" ht="15.75" customHeight="1">
      <c r="A237" s="189" t="s">
        <v>604</v>
      </c>
      <c r="B237" s="189" t="s">
        <v>605</v>
      </c>
      <c r="C237" s="233" t="s">
        <v>606</v>
      </c>
      <c r="D237" s="64">
        <v>1.0</v>
      </c>
      <c r="E237" s="111">
        <v>1.0</v>
      </c>
      <c r="F237" s="231">
        <f t="shared" si="1"/>
        <v>0</v>
      </c>
      <c r="G237" s="171"/>
      <c r="H237" s="171">
        <v>680000.0</v>
      </c>
      <c r="I237" s="40">
        <f t="shared" si="2"/>
        <v>680000</v>
      </c>
      <c r="J237" s="64" t="s">
        <v>142</v>
      </c>
      <c r="K237" s="138" t="s">
        <v>610</v>
      </c>
      <c r="L237" s="138" t="s">
        <v>611</v>
      </c>
      <c r="M237" s="138" t="s">
        <v>612</v>
      </c>
      <c r="N237" s="172"/>
      <c r="O237" s="172"/>
      <c r="P237" s="172"/>
      <c r="Q237" s="172"/>
      <c r="R237" s="173"/>
      <c r="S237" s="165"/>
      <c r="T237" s="165"/>
      <c r="U237" s="165"/>
      <c r="V237" s="165"/>
      <c r="W237" s="165"/>
      <c r="X237" s="165"/>
      <c r="Y237" s="165"/>
      <c r="Z237" s="165"/>
    </row>
    <row r="238" ht="15.75" customHeight="1">
      <c r="A238" s="184" t="s">
        <v>604</v>
      </c>
      <c r="B238" s="184" t="s">
        <v>605</v>
      </c>
      <c r="C238" s="185" t="s">
        <v>606</v>
      </c>
      <c r="D238" s="55">
        <v>1.0</v>
      </c>
      <c r="E238" s="58">
        <v>1.0</v>
      </c>
      <c r="F238" s="232">
        <f t="shared" si="1"/>
        <v>0</v>
      </c>
      <c r="G238" s="134"/>
      <c r="H238" s="134">
        <v>680000.0</v>
      </c>
      <c r="I238" s="54">
        <f t="shared" si="2"/>
        <v>680000</v>
      </c>
      <c r="J238" s="55" t="s">
        <v>161</v>
      </c>
      <c r="K238" s="136" t="s">
        <v>610</v>
      </c>
      <c r="L238" s="136" t="s">
        <v>611</v>
      </c>
      <c r="M238" s="136" t="s">
        <v>612</v>
      </c>
      <c r="N238" s="126"/>
      <c r="O238" s="126"/>
      <c r="P238" s="126"/>
      <c r="Q238" s="126"/>
      <c r="R238" s="128"/>
      <c r="S238" s="165"/>
      <c r="T238" s="165"/>
      <c r="U238" s="165"/>
      <c r="V238" s="165"/>
      <c r="W238" s="165"/>
      <c r="X238" s="165"/>
      <c r="Y238" s="165"/>
      <c r="Z238" s="165"/>
    </row>
    <row r="239" ht="15.75" customHeight="1">
      <c r="A239" s="189" t="s">
        <v>604</v>
      </c>
      <c r="B239" s="189" t="s">
        <v>605</v>
      </c>
      <c r="C239" s="233" t="s">
        <v>606</v>
      </c>
      <c r="D239" s="64">
        <v>1.0</v>
      </c>
      <c r="E239" s="43">
        <v>1.0</v>
      </c>
      <c r="F239" s="231">
        <f t="shared" si="1"/>
        <v>0</v>
      </c>
      <c r="G239" s="171"/>
      <c r="H239" s="171">
        <v>680000.0</v>
      </c>
      <c r="I239" s="40">
        <f t="shared" si="2"/>
        <v>680000</v>
      </c>
      <c r="J239" s="64" t="s">
        <v>154</v>
      </c>
      <c r="K239" s="138" t="s">
        <v>610</v>
      </c>
      <c r="L239" s="138" t="s">
        <v>611</v>
      </c>
      <c r="M239" s="138" t="s">
        <v>612</v>
      </c>
      <c r="N239" s="172"/>
      <c r="O239" s="172"/>
      <c r="P239" s="172"/>
      <c r="Q239" s="172"/>
      <c r="R239" s="173"/>
      <c r="S239" s="165"/>
      <c r="T239" s="165"/>
      <c r="U239" s="165"/>
      <c r="V239" s="165"/>
      <c r="W239" s="165"/>
      <c r="X239" s="165"/>
      <c r="Y239" s="165"/>
      <c r="Z239" s="165"/>
    </row>
    <row r="240" ht="15.75" customHeight="1">
      <c r="A240" s="184" t="s">
        <v>604</v>
      </c>
      <c r="B240" s="184" t="s">
        <v>605</v>
      </c>
      <c r="C240" s="185" t="s">
        <v>606</v>
      </c>
      <c r="D240" s="55">
        <v>1.0</v>
      </c>
      <c r="E240" s="111">
        <v>1.0</v>
      </c>
      <c r="F240" s="232">
        <f t="shared" si="1"/>
        <v>0</v>
      </c>
      <c r="G240" s="134"/>
      <c r="H240" s="134">
        <v>680000.0</v>
      </c>
      <c r="I240" s="54">
        <f t="shared" si="2"/>
        <v>680000</v>
      </c>
      <c r="J240" s="62" t="s">
        <v>194</v>
      </c>
      <c r="K240" s="136" t="s">
        <v>610</v>
      </c>
      <c r="L240" s="136" t="s">
        <v>611</v>
      </c>
      <c r="M240" s="136" t="s">
        <v>612</v>
      </c>
      <c r="N240" s="126"/>
      <c r="O240" s="126"/>
      <c r="P240" s="126"/>
      <c r="Q240" s="126"/>
      <c r="R240" s="128"/>
      <c r="S240" s="165"/>
      <c r="T240" s="165"/>
      <c r="U240" s="165"/>
      <c r="V240" s="165"/>
      <c r="W240" s="165"/>
      <c r="X240" s="165"/>
      <c r="Y240" s="165"/>
      <c r="Z240" s="165"/>
    </row>
    <row r="241" ht="15.75" customHeight="1">
      <c r="A241" s="189" t="s">
        <v>604</v>
      </c>
      <c r="B241" s="189" t="s">
        <v>605</v>
      </c>
      <c r="C241" s="233" t="s">
        <v>606</v>
      </c>
      <c r="D241" s="64">
        <v>1.0</v>
      </c>
      <c r="E241" s="43">
        <v>1.0</v>
      </c>
      <c r="F241" s="231">
        <f t="shared" si="1"/>
        <v>0</v>
      </c>
      <c r="G241" s="171"/>
      <c r="H241" s="171">
        <v>680000.0</v>
      </c>
      <c r="I241" s="40">
        <f t="shared" si="2"/>
        <v>680000</v>
      </c>
      <c r="J241" s="64" t="s">
        <v>201</v>
      </c>
      <c r="K241" s="138" t="s">
        <v>607</v>
      </c>
      <c r="L241" s="138" t="s">
        <v>608</v>
      </c>
      <c r="M241" s="138" t="s">
        <v>612</v>
      </c>
      <c r="N241" s="172"/>
      <c r="O241" s="172"/>
      <c r="P241" s="172"/>
      <c r="Q241" s="172"/>
      <c r="R241" s="173"/>
      <c r="S241" s="165"/>
      <c r="T241" s="165"/>
      <c r="U241" s="165"/>
      <c r="V241" s="165"/>
      <c r="W241" s="165"/>
      <c r="X241" s="165"/>
      <c r="Y241" s="165"/>
      <c r="Z241" s="165"/>
    </row>
    <row r="242" ht="15.75" customHeight="1">
      <c r="A242" s="184" t="s">
        <v>604</v>
      </c>
      <c r="B242" s="184" t="s">
        <v>605</v>
      </c>
      <c r="C242" s="185" t="s">
        <v>606</v>
      </c>
      <c r="D242" s="55">
        <v>1.0</v>
      </c>
      <c r="E242" s="58">
        <v>1.0</v>
      </c>
      <c r="F242" s="232">
        <f t="shared" si="1"/>
        <v>0</v>
      </c>
      <c r="G242" s="134"/>
      <c r="H242" s="134">
        <v>680000.0</v>
      </c>
      <c r="I242" s="54">
        <f t="shared" si="2"/>
        <v>680000</v>
      </c>
      <c r="J242" s="55" t="s">
        <v>178</v>
      </c>
      <c r="K242" s="136" t="s">
        <v>610</v>
      </c>
      <c r="L242" s="136" t="s">
        <v>608</v>
      </c>
      <c r="M242" s="136" t="s">
        <v>609</v>
      </c>
      <c r="N242" s="126"/>
      <c r="O242" s="126"/>
      <c r="P242" s="126"/>
      <c r="Q242" s="126"/>
      <c r="R242" s="128"/>
      <c r="S242" s="165"/>
      <c r="T242" s="165"/>
      <c r="U242" s="165"/>
      <c r="V242" s="165"/>
      <c r="W242" s="165"/>
      <c r="X242" s="165"/>
      <c r="Y242" s="165"/>
      <c r="Z242" s="165"/>
    </row>
    <row r="243" ht="15.75" customHeight="1">
      <c r="A243" s="189" t="s">
        <v>604</v>
      </c>
      <c r="B243" s="189" t="s">
        <v>605</v>
      </c>
      <c r="C243" s="233" t="s">
        <v>606</v>
      </c>
      <c r="D243" s="64">
        <v>1.0</v>
      </c>
      <c r="E243" s="43">
        <v>1.0</v>
      </c>
      <c r="F243" s="231">
        <f t="shared" si="1"/>
        <v>0</v>
      </c>
      <c r="G243" s="171"/>
      <c r="H243" s="171">
        <v>680000.0</v>
      </c>
      <c r="I243" s="40">
        <f t="shared" si="2"/>
        <v>680000</v>
      </c>
      <c r="J243" s="64" t="s">
        <v>189</v>
      </c>
      <c r="K243" s="138" t="s">
        <v>610</v>
      </c>
      <c r="L243" s="138" t="s">
        <v>611</v>
      </c>
      <c r="M243" s="138" t="s">
        <v>612</v>
      </c>
      <c r="N243" s="172"/>
      <c r="O243" s="172"/>
      <c r="P243" s="172"/>
      <c r="Q243" s="172"/>
      <c r="R243" s="173"/>
      <c r="S243" s="165"/>
      <c r="T243" s="165"/>
      <c r="U243" s="165"/>
      <c r="V243" s="165"/>
      <c r="W243" s="165"/>
      <c r="X243" s="165"/>
      <c r="Y243" s="165"/>
      <c r="Z243" s="165"/>
    </row>
    <row r="244" ht="15.75" customHeight="1">
      <c r="A244" s="184" t="s">
        <v>604</v>
      </c>
      <c r="B244" s="184" t="s">
        <v>605</v>
      </c>
      <c r="C244" s="185" t="s">
        <v>606</v>
      </c>
      <c r="D244" s="55">
        <v>1.0</v>
      </c>
      <c r="E244" s="111">
        <v>1.0</v>
      </c>
      <c r="F244" s="232">
        <f t="shared" si="1"/>
        <v>0</v>
      </c>
      <c r="G244" s="134"/>
      <c r="H244" s="134">
        <v>680000.0</v>
      </c>
      <c r="I244" s="54">
        <f t="shared" si="2"/>
        <v>680000</v>
      </c>
      <c r="J244" s="62" t="s">
        <v>210</v>
      </c>
      <c r="K244" s="136" t="s">
        <v>610</v>
      </c>
      <c r="L244" s="136" t="s">
        <v>611</v>
      </c>
      <c r="M244" s="136" t="s">
        <v>612</v>
      </c>
      <c r="N244" s="126"/>
      <c r="O244" s="126"/>
      <c r="P244" s="126"/>
      <c r="Q244" s="126"/>
      <c r="R244" s="128"/>
      <c r="S244" s="165"/>
      <c r="T244" s="165"/>
      <c r="U244" s="165"/>
      <c r="V244" s="165"/>
      <c r="W244" s="165"/>
      <c r="X244" s="165"/>
      <c r="Y244" s="165"/>
      <c r="Z244" s="165"/>
    </row>
    <row r="245" ht="15.75" customHeight="1">
      <c r="A245" s="189" t="s">
        <v>626</v>
      </c>
      <c r="B245" s="189" t="s">
        <v>627</v>
      </c>
      <c r="C245" s="177" t="s">
        <v>399</v>
      </c>
      <c r="D245" s="64">
        <v>1.0</v>
      </c>
      <c r="E245" s="111">
        <v>1.0</v>
      </c>
      <c r="F245" s="231">
        <f t="shared" si="1"/>
        <v>0</v>
      </c>
      <c r="G245" s="171"/>
      <c r="H245" s="171">
        <v>920000.0</v>
      </c>
      <c r="I245" s="40">
        <f t="shared" si="2"/>
        <v>920000</v>
      </c>
      <c r="J245" s="64" t="s">
        <v>58</v>
      </c>
      <c r="K245" s="138" t="s">
        <v>628</v>
      </c>
      <c r="L245" s="138" t="s">
        <v>629</v>
      </c>
      <c r="M245" s="138" t="s">
        <v>630</v>
      </c>
      <c r="N245" s="172"/>
      <c r="O245" s="172"/>
      <c r="P245" s="172"/>
      <c r="Q245" s="172"/>
      <c r="R245" s="173"/>
      <c r="S245" s="165"/>
      <c r="T245" s="165"/>
      <c r="U245" s="165"/>
      <c r="V245" s="165"/>
      <c r="W245" s="165"/>
      <c r="X245" s="165"/>
      <c r="Y245" s="165"/>
      <c r="Z245" s="165"/>
    </row>
    <row r="246" ht="15.75" customHeight="1">
      <c r="A246" s="184" t="s">
        <v>626</v>
      </c>
      <c r="B246" s="184" t="s">
        <v>627</v>
      </c>
      <c r="C246" s="181" t="s">
        <v>399</v>
      </c>
      <c r="D246" s="55">
        <v>1.0</v>
      </c>
      <c r="E246" s="58">
        <v>1.0</v>
      </c>
      <c r="F246" s="232">
        <f t="shared" si="1"/>
        <v>0</v>
      </c>
      <c r="G246" s="134"/>
      <c r="H246" s="134">
        <v>920000.0</v>
      </c>
      <c r="I246" s="54">
        <f t="shared" si="2"/>
        <v>920000</v>
      </c>
      <c r="J246" s="55" t="s">
        <v>85</v>
      </c>
      <c r="K246" s="136" t="s">
        <v>628</v>
      </c>
      <c r="L246" s="136" t="s">
        <v>629</v>
      </c>
      <c r="M246" s="136" t="s">
        <v>631</v>
      </c>
      <c r="N246" s="126"/>
      <c r="O246" s="126"/>
      <c r="P246" s="126"/>
      <c r="Q246" s="126"/>
      <c r="R246" s="128"/>
      <c r="S246" s="241"/>
      <c r="T246" s="241"/>
      <c r="U246" s="241"/>
      <c r="V246" s="241"/>
      <c r="W246" s="241"/>
      <c r="X246" s="241"/>
      <c r="Y246" s="241"/>
      <c r="Z246" s="241"/>
    </row>
    <row r="247" ht="15.75" customHeight="1">
      <c r="A247" s="189" t="s">
        <v>626</v>
      </c>
      <c r="B247" s="189" t="s">
        <v>627</v>
      </c>
      <c r="C247" s="177" t="s">
        <v>399</v>
      </c>
      <c r="D247" s="64">
        <v>1.0</v>
      </c>
      <c r="E247" s="43">
        <v>0.0</v>
      </c>
      <c r="F247" s="231">
        <f t="shared" si="1"/>
        <v>1</v>
      </c>
      <c r="G247" s="171"/>
      <c r="H247" s="171">
        <v>920000.0</v>
      </c>
      <c r="I247" s="40">
        <f t="shared" si="2"/>
        <v>920000</v>
      </c>
      <c r="J247" s="64" t="s">
        <v>117</v>
      </c>
      <c r="K247" s="138" t="s">
        <v>628</v>
      </c>
      <c r="L247" s="138" t="s">
        <v>632</v>
      </c>
      <c r="M247" s="138" t="s">
        <v>631</v>
      </c>
      <c r="N247" s="172"/>
      <c r="O247" s="172"/>
      <c r="P247" s="172"/>
      <c r="Q247" s="172"/>
      <c r="R247" s="173"/>
      <c r="S247" s="241"/>
      <c r="T247" s="241"/>
      <c r="U247" s="241"/>
      <c r="V247" s="241"/>
      <c r="W247" s="241"/>
      <c r="X247" s="241"/>
      <c r="Y247" s="241"/>
      <c r="Z247" s="241"/>
    </row>
    <row r="248" ht="15.75" customHeight="1">
      <c r="A248" s="184" t="s">
        <v>626</v>
      </c>
      <c r="B248" s="184" t="s">
        <v>627</v>
      </c>
      <c r="C248" s="181" t="s">
        <v>399</v>
      </c>
      <c r="D248" s="55">
        <v>1.0</v>
      </c>
      <c r="E248" s="58">
        <v>0.0</v>
      </c>
      <c r="F248" s="232">
        <f t="shared" si="1"/>
        <v>1</v>
      </c>
      <c r="G248" s="134"/>
      <c r="H248" s="134">
        <v>920000.0</v>
      </c>
      <c r="I248" s="54">
        <f t="shared" si="2"/>
        <v>920000</v>
      </c>
      <c r="J248" s="55" t="s">
        <v>286</v>
      </c>
      <c r="K248" s="136" t="s">
        <v>628</v>
      </c>
      <c r="L248" s="136" t="s">
        <v>629</v>
      </c>
      <c r="M248" s="136" t="s">
        <v>630</v>
      </c>
      <c r="N248" s="126"/>
      <c r="O248" s="126"/>
      <c r="P248" s="126"/>
      <c r="Q248" s="126"/>
      <c r="R248" s="128"/>
      <c r="S248" s="241"/>
      <c r="T248" s="241"/>
      <c r="U248" s="241"/>
      <c r="V248" s="241"/>
      <c r="W248" s="241"/>
      <c r="X248" s="241"/>
      <c r="Y248" s="241"/>
      <c r="Z248" s="241"/>
    </row>
    <row r="249" ht="15.75" customHeight="1">
      <c r="A249" s="189" t="s">
        <v>626</v>
      </c>
      <c r="B249" s="189" t="s">
        <v>627</v>
      </c>
      <c r="C249" s="177" t="s">
        <v>399</v>
      </c>
      <c r="D249" s="64">
        <v>1.0</v>
      </c>
      <c r="E249" s="43">
        <v>0.0</v>
      </c>
      <c r="F249" s="231">
        <f t="shared" si="1"/>
        <v>1</v>
      </c>
      <c r="G249" s="171"/>
      <c r="H249" s="171">
        <v>920000.0</v>
      </c>
      <c r="I249" s="40">
        <f t="shared" si="2"/>
        <v>920000</v>
      </c>
      <c r="J249" s="64" t="s">
        <v>161</v>
      </c>
      <c r="K249" s="138" t="s">
        <v>628</v>
      </c>
      <c r="L249" s="138" t="s">
        <v>629</v>
      </c>
      <c r="M249" s="138" t="s">
        <v>631</v>
      </c>
      <c r="N249" s="172"/>
      <c r="O249" s="172"/>
      <c r="P249" s="172"/>
      <c r="Q249" s="172"/>
      <c r="R249" s="173"/>
      <c r="S249" s="241"/>
      <c r="T249" s="241"/>
      <c r="U249" s="241"/>
      <c r="V249" s="241"/>
      <c r="W249" s="241"/>
      <c r="X249" s="241"/>
      <c r="Y249" s="241"/>
      <c r="Z249" s="241"/>
    </row>
    <row r="250" ht="15.75" customHeight="1">
      <c r="A250" s="184" t="s">
        <v>626</v>
      </c>
      <c r="B250" s="184" t="s">
        <v>627</v>
      </c>
      <c r="C250" s="181" t="s">
        <v>399</v>
      </c>
      <c r="D250" s="55">
        <v>1.0</v>
      </c>
      <c r="E250" s="58">
        <v>0.0</v>
      </c>
      <c r="F250" s="232">
        <f t="shared" si="1"/>
        <v>1</v>
      </c>
      <c r="G250" s="134"/>
      <c r="H250" s="134">
        <v>920000.0</v>
      </c>
      <c r="I250" s="54">
        <f t="shared" si="2"/>
        <v>920000</v>
      </c>
      <c r="J250" s="55" t="s">
        <v>154</v>
      </c>
      <c r="K250" s="136" t="s">
        <v>628</v>
      </c>
      <c r="L250" s="136" t="s">
        <v>632</v>
      </c>
      <c r="M250" s="136" t="s">
        <v>631</v>
      </c>
      <c r="N250" s="126"/>
      <c r="O250" s="126"/>
      <c r="P250" s="126"/>
      <c r="Q250" s="126"/>
      <c r="R250" s="128"/>
      <c r="S250" s="241"/>
      <c r="T250" s="241"/>
      <c r="U250" s="241"/>
      <c r="V250" s="241"/>
      <c r="W250" s="241"/>
      <c r="X250" s="241"/>
      <c r="Y250" s="241"/>
      <c r="Z250" s="241"/>
    </row>
    <row r="251" ht="15.75" customHeight="1">
      <c r="A251" s="189" t="s">
        <v>626</v>
      </c>
      <c r="B251" s="189" t="s">
        <v>627</v>
      </c>
      <c r="C251" s="177" t="s">
        <v>399</v>
      </c>
      <c r="D251" s="64">
        <v>1.0</v>
      </c>
      <c r="E251" s="43">
        <v>0.0</v>
      </c>
      <c r="F251" s="231">
        <f t="shared" si="1"/>
        <v>1</v>
      </c>
      <c r="G251" s="171"/>
      <c r="H251" s="171">
        <v>920000.0</v>
      </c>
      <c r="I251" s="40">
        <f t="shared" si="2"/>
        <v>920000</v>
      </c>
      <c r="J251" s="64" t="s">
        <v>231</v>
      </c>
      <c r="K251" s="138" t="s">
        <v>628</v>
      </c>
      <c r="L251" s="138" t="s">
        <v>629</v>
      </c>
      <c r="M251" s="138" t="s">
        <v>631</v>
      </c>
      <c r="N251" s="172"/>
      <c r="O251" s="172"/>
      <c r="P251" s="172"/>
      <c r="Q251" s="172"/>
      <c r="R251" s="173"/>
      <c r="S251" s="241"/>
      <c r="T251" s="241"/>
      <c r="U251" s="241"/>
      <c r="V251" s="241"/>
      <c r="W251" s="241"/>
      <c r="X251" s="241"/>
      <c r="Y251" s="241"/>
      <c r="Z251" s="241"/>
    </row>
    <row r="252" ht="15.75" customHeight="1">
      <c r="A252" s="184" t="s">
        <v>626</v>
      </c>
      <c r="B252" s="184" t="s">
        <v>627</v>
      </c>
      <c r="C252" s="181" t="s">
        <v>399</v>
      </c>
      <c r="D252" s="55">
        <v>1.0</v>
      </c>
      <c r="E252" s="111">
        <v>1.0</v>
      </c>
      <c r="F252" s="232">
        <f t="shared" si="1"/>
        <v>0</v>
      </c>
      <c r="G252" s="134"/>
      <c r="H252" s="134">
        <v>920000.0</v>
      </c>
      <c r="I252" s="54">
        <f t="shared" si="2"/>
        <v>920000</v>
      </c>
      <c r="J252" s="55" t="s">
        <v>175</v>
      </c>
      <c r="K252" s="136" t="s">
        <v>628</v>
      </c>
      <c r="L252" s="136" t="s">
        <v>629</v>
      </c>
      <c r="M252" s="136" t="s">
        <v>631</v>
      </c>
      <c r="N252" s="126"/>
      <c r="O252" s="126"/>
      <c r="P252" s="126"/>
      <c r="Q252" s="126"/>
      <c r="R252" s="128"/>
      <c r="S252" s="241"/>
      <c r="T252" s="241"/>
      <c r="U252" s="241"/>
      <c r="V252" s="241"/>
      <c r="W252" s="241"/>
      <c r="X252" s="241"/>
      <c r="Y252" s="241"/>
      <c r="Z252" s="241"/>
    </row>
    <row r="253" ht="15.75" customHeight="1">
      <c r="A253" s="189" t="s">
        <v>626</v>
      </c>
      <c r="B253" s="189" t="s">
        <v>627</v>
      </c>
      <c r="C253" s="177" t="s">
        <v>399</v>
      </c>
      <c r="D253" s="64">
        <v>1.0</v>
      </c>
      <c r="E253" s="43">
        <v>0.0</v>
      </c>
      <c r="F253" s="231">
        <f t="shared" si="1"/>
        <v>1</v>
      </c>
      <c r="G253" s="171"/>
      <c r="H253" s="171">
        <v>920000.0</v>
      </c>
      <c r="I253" s="40">
        <f t="shared" si="2"/>
        <v>920000</v>
      </c>
      <c r="J253" s="64" t="s">
        <v>160</v>
      </c>
      <c r="K253" s="138" t="s">
        <v>628</v>
      </c>
      <c r="L253" s="138" t="s">
        <v>629</v>
      </c>
      <c r="M253" s="138" t="s">
        <v>631</v>
      </c>
      <c r="N253" s="172"/>
      <c r="O253" s="172"/>
      <c r="P253" s="172"/>
      <c r="Q253" s="172"/>
      <c r="R253" s="173"/>
      <c r="S253" s="241"/>
      <c r="T253" s="241"/>
      <c r="U253" s="241"/>
      <c r="V253" s="241"/>
      <c r="W253" s="241"/>
      <c r="X253" s="241"/>
      <c r="Y253" s="241"/>
      <c r="Z253" s="241"/>
    </row>
    <row r="254" ht="15.75" customHeight="1">
      <c r="A254" s="184" t="s">
        <v>626</v>
      </c>
      <c r="B254" s="184" t="s">
        <v>627</v>
      </c>
      <c r="C254" s="181" t="s">
        <v>399</v>
      </c>
      <c r="D254" s="55">
        <v>1.0</v>
      </c>
      <c r="E254" s="58">
        <v>0.0</v>
      </c>
      <c r="F254" s="232">
        <f t="shared" si="1"/>
        <v>1</v>
      </c>
      <c r="G254" s="134"/>
      <c r="H254" s="134">
        <v>920000.0</v>
      </c>
      <c r="I254" s="54">
        <f t="shared" si="2"/>
        <v>920000</v>
      </c>
      <c r="J254" s="55" t="s">
        <v>196</v>
      </c>
      <c r="K254" s="136" t="s">
        <v>628</v>
      </c>
      <c r="L254" s="136" t="s">
        <v>629</v>
      </c>
      <c r="M254" s="136" t="s">
        <v>631</v>
      </c>
      <c r="N254" s="126"/>
      <c r="O254" s="126"/>
      <c r="P254" s="126"/>
      <c r="Q254" s="126"/>
      <c r="R254" s="128"/>
      <c r="S254" s="241"/>
      <c r="T254" s="241"/>
      <c r="U254" s="241"/>
      <c r="V254" s="241"/>
      <c r="W254" s="241"/>
      <c r="X254" s="241"/>
      <c r="Y254" s="241"/>
      <c r="Z254" s="241"/>
    </row>
    <row r="255" ht="15.75" customHeight="1">
      <c r="A255" s="189" t="s">
        <v>626</v>
      </c>
      <c r="B255" s="189" t="s">
        <v>627</v>
      </c>
      <c r="C255" s="177" t="s">
        <v>399</v>
      </c>
      <c r="D255" s="64">
        <v>1.0</v>
      </c>
      <c r="E255" s="43">
        <v>0.0</v>
      </c>
      <c r="F255" s="231">
        <f t="shared" si="1"/>
        <v>1</v>
      </c>
      <c r="G255" s="171"/>
      <c r="H255" s="171">
        <v>920000.0</v>
      </c>
      <c r="I255" s="40">
        <f t="shared" si="2"/>
        <v>920000</v>
      </c>
      <c r="J255" s="64" t="s">
        <v>178</v>
      </c>
      <c r="K255" s="138" t="s">
        <v>628</v>
      </c>
      <c r="L255" s="138" t="s">
        <v>629</v>
      </c>
      <c r="M255" s="138" t="s">
        <v>631</v>
      </c>
      <c r="N255" s="172"/>
      <c r="O255" s="172"/>
      <c r="P255" s="172"/>
      <c r="Q255" s="172"/>
      <c r="R255" s="173"/>
      <c r="S255" s="241"/>
      <c r="T255" s="241"/>
      <c r="U255" s="241"/>
      <c r="V255" s="241"/>
      <c r="W255" s="241"/>
      <c r="X255" s="241"/>
      <c r="Y255" s="241"/>
      <c r="Z255" s="241"/>
    </row>
    <row r="256" ht="15.75" customHeight="1">
      <c r="A256" s="184" t="s">
        <v>626</v>
      </c>
      <c r="B256" s="184" t="s">
        <v>627</v>
      </c>
      <c r="C256" s="181" t="s">
        <v>399</v>
      </c>
      <c r="D256" s="55">
        <v>1.0</v>
      </c>
      <c r="E256" s="58">
        <v>1.0</v>
      </c>
      <c r="F256" s="232">
        <f t="shared" si="1"/>
        <v>0</v>
      </c>
      <c r="G256" s="134"/>
      <c r="H256" s="134">
        <v>920000.0</v>
      </c>
      <c r="I256" s="54">
        <f t="shared" si="2"/>
        <v>920000</v>
      </c>
      <c r="J256" s="55" t="s">
        <v>189</v>
      </c>
      <c r="K256" s="136" t="s">
        <v>628</v>
      </c>
      <c r="L256" s="136" t="s">
        <v>629</v>
      </c>
      <c r="M256" s="136" t="s">
        <v>631</v>
      </c>
      <c r="N256" s="126"/>
      <c r="O256" s="126"/>
      <c r="P256" s="126"/>
      <c r="Q256" s="126"/>
      <c r="R256" s="128"/>
      <c r="S256" s="241"/>
      <c r="T256" s="241"/>
      <c r="U256" s="241"/>
      <c r="V256" s="241"/>
      <c r="W256" s="241"/>
      <c r="X256" s="241"/>
      <c r="Y256" s="241"/>
      <c r="Z256" s="241"/>
    </row>
    <row r="257" ht="15.75" customHeight="1">
      <c r="A257" s="189" t="s">
        <v>626</v>
      </c>
      <c r="B257" s="189" t="s">
        <v>627</v>
      </c>
      <c r="C257" s="177" t="s">
        <v>399</v>
      </c>
      <c r="D257" s="64">
        <v>1.0</v>
      </c>
      <c r="E257" s="43">
        <v>0.0</v>
      </c>
      <c r="F257" s="231">
        <f t="shared" si="1"/>
        <v>1</v>
      </c>
      <c r="G257" s="171"/>
      <c r="H257" s="171">
        <v>920000.0</v>
      </c>
      <c r="I257" s="40">
        <f t="shared" si="2"/>
        <v>920000</v>
      </c>
      <c r="J257" s="64" t="s">
        <v>194</v>
      </c>
      <c r="K257" s="138" t="s">
        <v>628</v>
      </c>
      <c r="L257" s="138" t="s">
        <v>629</v>
      </c>
      <c r="M257" s="138" t="s">
        <v>631</v>
      </c>
      <c r="N257" s="172"/>
      <c r="O257" s="172"/>
      <c r="P257" s="172"/>
      <c r="Q257" s="172"/>
      <c r="R257" s="173"/>
      <c r="S257" s="241"/>
      <c r="T257" s="241"/>
      <c r="U257" s="241"/>
      <c r="V257" s="241"/>
      <c r="W257" s="241"/>
      <c r="X257" s="241"/>
      <c r="Y257" s="241"/>
      <c r="Z257" s="241"/>
    </row>
    <row r="258" ht="15.75" customHeight="1">
      <c r="A258" s="184" t="s">
        <v>626</v>
      </c>
      <c r="B258" s="184" t="s">
        <v>627</v>
      </c>
      <c r="C258" s="181" t="s">
        <v>399</v>
      </c>
      <c r="D258" s="55">
        <v>1.0</v>
      </c>
      <c r="E258" s="58">
        <v>1.0</v>
      </c>
      <c r="F258" s="232">
        <f t="shared" si="1"/>
        <v>0</v>
      </c>
      <c r="G258" s="134"/>
      <c r="H258" s="134">
        <v>920000.0</v>
      </c>
      <c r="I258" s="54">
        <f t="shared" si="2"/>
        <v>920000</v>
      </c>
      <c r="J258" s="55" t="s">
        <v>199</v>
      </c>
      <c r="K258" s="136" t="s">
        <v>628</v>
      </c>
      <c r="L258" s="136" t="s">
        <v>629</v>
      </c>
      <c r="M258" s="136" t="s">
        <v>631</v>
      </c>
      <c r="N258" s="126"/>
      <c r="O258" s="126"/>
      <c r="P258" s="126"/>
      <c r="Q258" s="126"/>
      <c r="R258" s="128"/>
      <c r="S258" s="241"/>
      <c r="T258" s="241"/>
      <c r="U258" s="241"/>
      <c r="V258" s="241"/>
      <c r="W258" s="241"/>
      <c r="X258" s="241"/>
      <c r="Y258" s="241"/>
      <c r="Z258" s="241"/>
    </row>
    <row r="259" ht="15.75" customHeight="1">
      <c r="A259" s="189" t="s">
        <v>626</v>
      </c>
      <c r="B259" s="189" t="s">
        <v>627</v>
      </c>
      <c r="C259" s="177" t="s">
        <v>399</v>
      </c>
      <c r="D259" s="64">
        <v>1.0</v>
      </c>
      <c r="E259" s="111">
        <v>1.0</v>
      </c>
      <c r="F259" s="231">
        <f t="shared" si="1"/>
        <v>0</v>
      </c>
      <c r="G259" s="171"/>
      <c r="H259" s="171">
        <v>920000.0</v>
      </c>
      <c r="I259" s="40">
        <f t="shared" si="2"/>
        <v>920000</v>
      </c>
      <c r="J259" s="68" t="s">
        <v>304</v>
      </c>
      <c r="K259" s="138" t="s">
        <v>628</v>
      </c>
      <c r="L259" s="138" t="s">
        <v>629</v>
      </c>
      <c r="M259" s="138" t="s">
        <v>631</v>
      </c>
      <c r="N259" s="172"/>
      <c r="O259" s="172"/>
      <c r="P259" s="172"/>
      <c r="Q259" s="172"/>
      <c r="R259" s="173"/>
      <c r="S259" s="241"/>
      <c r="T259" s="241"/>
      <c r="U259" s="241"/>
      <c r="V259" s="241"/>
      <c r="W259" s="241"/>
      <c r="X259" s="241"/>
      <c r="Y259" s="241"/>
      <c r="Z259" s="241"/>
    </row>
    <row r="260" ht="15.75" customHeight="1">
      <c r="A260" s="184" t="s">
        <v>649</v>
      </c>
      <c r="B260" s="184" t="s">
        <v>271</v>
      </c>
      <c r="C260" s="185" t="s">
        <v>273</v>
      </c>
      <c r="D260" s="55">
        <v>1.0</v>
      </c>
      <c r="E260" s="58">
        <v>0.0</v>
      </c>
      <c r="F260" s="232">
        <f t="shared" si="1"/>
        <v>1</v>
      </c>
      <c r="G260" s="134"/>
      <c r="H260" s="134">
        <v>23000.0</v>
      </c>
      <c r="I260" s="54">
        <f t="shared" si="2"/>
        <v>23000</v>
      </c>
      <c r="J260" s="55" t="s">
        <v>142</v>
      </c>
      <c r="K260" s="136" t="s">
        <v>650</v>
      </c>
      <c r="L260" s="136" t="s">
        <v>430</v>
      </c>
      <c r="M260" s="136" t="s">
        <v>651</v>
      </c>
      <c r="N260" s="126"/>
      <c r="O260" s="126"/>
      <c r="P260" s="126"/>
      <c r="Q260" s="126"/>
      <c r="R260" s="128"/>
      <c r="S260" s="241"/>
      <c r="T260" s="241"/>
      <c r="U260" s="241"/>
      <c r="V260" s="241"/>
      <c r="W260" s="241"/>
      <c r="X260" s="241"/>
      <c r="Y260" s="241"/>
      <c r="Z260" s="241"/>
    </row>
    <row r="261" ht="15.75" customHeight="1">
      <c r="A261" s="189" t="s">
        <v>649</v>
      </c>
      <c r="B261" s="189" t="s">
        <v>271</v>
      </c>
      <c r="C261" s="233" t="s">
        <v>273</v>
      </c>
      <c r="D261" s="64">
        <v>2.0</v>
      </c>
      <c r="E261" s="43">
        <v>0.0</v>
      </c>
      <c r="F261" s="231">
        <f t="shared" si="1"/>
        <v>2</v>
      </c>
      <c r="G261" s="171"/>
      <c r="H261" s="171">
        <v>23000.0</v>
      </c>
      <c r="I261" s="40">
        <f t="shared" si="2"/>
        <v>46000</v>
      </c>
      <c r="J261" s="64" t="s">
        <v>175</v>
      </c>
      <c r="K261" s="138" t="s">
        <v>650</v>
      </c>
      <c r="L261" s="138" t="s">
        <v>430</v>
      </c>
      <c r="M261" s="138" t="s">
        <v>651</v>
      </c>
      <c r="N261" s="172"/>
      <c r="O261" s="172"/>
      <c r="P261" s="172"/>
      <c r="Q261" s="172"/>
      <c r="R261" s="173"/>
      <c r="S261" s="241"/>
      <c r="T261" s="241"/>
      <c r="U261" s="241"/>
      <c r="V261" s="241"/>
      <c r="W261" s="241"/>
      <c r="X261" s="241"/>
      <c r="Y261" s="241"/>
      <c r="Z261" s="241"/>
    </row>
    <row r="262" ht="15.75" customHeight="1">
      <c r="A262" s="184" t="s">
        <v>649</v>
      </c>
      <c r="B262" s="184" t="s">
        <v>271</v>
      </c>
      <c r="C262" s="185" t="s">
        <v>273</v>
      </c>
      <c r="D262" s="55">
        <v>2.0</v>
      </c>
      <c r="E262" s="58">
        <v>0.0</v>
      </c>
      <c r="F262" s="232">
        <f t="shared" si="1"/>
        <v>2</v>
      </c>
      <c r="G262" s="134"/>
      <c r="H262" s="134">
        <v>23000.0</v>
      </c>
      <c r="I262" s="54">
        <f t="shared" si="2"/>
        <v>46000</v>
      </c>
      <c r="J262" s="62" t="s">
        <v>210</v>
      </c>
      <c r="K262" s="136" t="s">
        <v>650</v>
      </c>
      <c r="L262" s="136" t="s">
        <v>430</v>
      </c>
      <c r="M262" s="136" t="s">
        <v>651</v>
      </c>
      <c r="N262" s="126"/>
      <c r="O262" s="126"/>
      <c r="P262" s="126"/>
      <c r="Q262" s="126"/>
      <c r="R262" s="128"/>
      <c r="S262" s="241"/>
      <c r="T262" s="241"/>
      <c r="U262" s="241"/>
      <c r="V262" s="241"/>
      <c r="W262" s="241"/>
      <c r="X262" s="241"/>
      <c r="Y262" s="241"/>
      <c r="Z262" s="241"/>
    </row>
    <row r="263" ht="15.75" customHeight="1">
      <c r="A263" s="189" t="s">
        <v>652</v>
      </c>
      <c r="B263" s="176" t="s">
        <v>653</v>
      </c>
      <c r="C263" s="177" t="s">
        <v>500</v>
      </c>
      <c r="D263" s="64">
        <v>1.0</v>
      </c>
      <c r="E263" s="43">
        <v>0.0</v>
      </c>
      <c r="F263" s="231">
        <f t="shared" si="1"/>
        <v>1</v>
      </c>
      <c r="G263" s="171"/>
      <c r="H263" s="171">
        <v>257000.0</v>
      </c>
      <c r="I263" s="40">
        <f t="shared" si="2"/>
        <v>257000</v>
      </c>
      <c r="J263" s="64" t="s">
        <v>142</v>
      </c>
      <c r="K263" s="138" t="s">
        <v>654</v>
      </c>
      <c r="L263" s="138" t="s">
        <v>508</v>
      </c>
      <c r="M263" s="138" t="s">
        <v>507</v>
      </c>
      <c r="N263" s="172"/>
      <c r="O263" s="172"/>
      <c r="P263" s="172"/>
      <c r="Q263" s="140">
        <v>46365.0</v>
      </c>
      <c r="R263" s="173"/>
      <c r="S263" s="241"/>
      <c r="T263" s="241"/>
      <c r="U263" s="241"/>
      <c r="V263" s="241"/>
      <c r="W263" s="241"/>
      <c r="X263" s="241"/>
      <c r="Y263" s="241"/>
      <c r="Z263" s="241"/>
    </row>
    <row r="264" ht="15.75" customHeight="1">
      <c r="A264" s="184" t="s">
        <v>652</v>
      </c>
      <c r="B264" s="180" t="s">
        <v>653</v>
      </c>
      <c r="C264" s="181" t="s">
        <v>500</v>
      </c>
      <c r="D264" s="55">
        <v>1.0</v>
      </c>
      <c r="E264" s="58">
        <v>0.0</v>
      </c>
      <c r="F264" s="232">
        <f t="shared" si="1"/>
        <v>1</v>
      </c>
      <c r="G264" s="134"/>
      <c r="H264" s="134">
        <v>257000.0</v>
      </c>
      <c r="I264" s="54">
        <f t="shared" si="2"/>
        <v>257000</v>
      </c>
      <c r="J264" s="55" t="s">
        <v>175</v>
      </c>
      <c r="K264" s="136" t="s">
        <v>654</v>
      </c>
      <c r="L264" s="136" t="s">
        <v>508</v>
      </c>
      <c r="M264" s="136" t="s">
        <v>507</v>
      </c>
      <c r="N264" s="126"/>
      <c r="O264" s="126"/>
      <c r="P264" s="126"/>
      <c r="Q264" s="139">
        <v>46365.0</v>
      </c>
      <c r="R264" s="128"/>
      <c r="S264" s="241"/>
      <c r="T264" s="241"/>
      <c r="U264" s="241"/>
      <c r="V264" s="241"/>
      <c r="W264" s="241"/>
      <c r="X264" s="241"/>
      <c r="Y264" s="241"/>
      <c r="Z264" s="241"/>
    </row>
    <row r="265" ht="15.75" customHeight="1">
      <c r="A265" s="189" t="s">
        <v>652</v>
      </c>
      <c r="B265" s="176" t="s">
        <v>653</v>
      </c>
      <c r="C265" s="177" t="s">
        <v>500</v>
      </c>
      <c r="D265" s="64">
        <v>1.0</v>
      </c>
      <c r="E265" s="43">
        <v>0.0</v>
      </c>
      <c r="F265" s="231">
        <f t="shared" si="1"/>
        <v>1</v>
      </c>
      <c r="G265" s="171"/>
      <c r="H265" s="171">
        <v>257000.0</v>
      </c>
      <c r="I265" s="40">
        <f t="shared" si="2"/>
        <v>257000</v>
      </c>
      <c r="J265" s="64" t="s">
        <v>188</v>
      </c>
      <c r="K265" s="138" t="s">
        <v>654</v>
      </c>
      <c r="L265" s="138" t="s">
        <v>508</v>
      </c>
      <c r="M265" s="138" t="s">
        <v>507</v>
      </c>
      <c r="N265" s="172"/>
      <c r="O265" s="172"/>
      <c r="P265" s="172"/>
      <c r="Q265" s="140">
        <v>46365.0</v>
      </c>
      <c r="R265" s="173"/>
      <c r="S265" s="241"/>
      <c r="T265" s="241"/>
      <c r="U265" s="241"/>
      <c r="V265" s="241"/>
      <c r="W265" s="241"/>
      <c r="X265" s="241"/>
      <c r="Y265" s="241"/>
      <c r="Z265" s="241"/>
    </row>
    <row r="266" ht="15.75" customHeight="1">
      <c r="A266" s="184" t="s">
        <v>652</v>
      </c>
      <c r="B266" s="180" t="s">
        <v>653</v>
      </c>
      <c r="C266" s="181" t="s">
        <v>500</v>
      </c>
      <c r="D266" s="55">
        <v>1.0</v>
      </c>
      <c r="E266" s="58">
        <v>0.0</v>
      </c>
      <c r="F266" s="232">
        <f t="shared" si="1"/>
        <v>1</v>
      </c>
      <c r="G266" s="134"/>
      <c r="H266" s="134">
        <v>257000.0</v>
      </c>
      <c r="I266" s="54">
        <f t="shared" si="2"/>
        <v>257000</v>
      </c>
      <c r="J266" s="55" t="s">
        <v>178</v>
      </c>
      <c r="K266" s="136" t="s">
        <v>654</v>
      </c>
      <c r="L266" s="136" t="s">
        <v>508</v>
      </c>
      <c r="M266" s="136" t="s">
        <v>507</v>
      </c>
      <c r="N266" s="126"/>
      <c r="O266" s="126"/>
      <c r="P266" s="126"/>
      <c r="Q266" s="139">
        <v>46365.0</v>
      </c>
      <c r="R266" s="128"/>
      <c r="S266" s="241"/>
      <c r="T266" s="241"/>
      <c r="U266" s="241"/>
      <c r="V266" s="241"/>
      <c r="W266" s="241"/>
      <c r="X266" s="241"/>
      <c r="Y266" s="241"/>
      <c r="Z266" s="241"/>
    </row>
    <row r="267" ht="15.75" customHeight="1">
      <c r="A267" s="189" t="s">
        <v>652</v>
      </c>
      <c r="B267" s="176" t="s">
        <v>653</v>
      </c>
      <c r="C267" s="177" t="s">
        <v>500</v>
      </c>
      <c r="D267" s="64">
        <v>1.0</v>
      </c>
      <c r="E267" s="131">
        <v>1.0</v>
      </c>
      <c r="F267" s="231">
        <f t="shared" si="1"/>
        <v>0</v>
      </c>
      <c r="G267" s="171"/>
      <c r="H267" s="171">
        <v>257000.0</v>
      </c>
      <c r="I267" s="40">
        <f t="shared" si="2"/>
        <v>257000</v>
      </c>
      <c r="J267" s="143" t="s">
        <v>192</v>
      </c>
      <c r="K267" s="138" t="s">
        <v>654</v>
      </c>
      <c r="L267" s="138" t="s">
        <v>508</v>
      </c>
      <c r="M267" s="138" t="s">
        <v>507</v>
      </c>
      <c r="N267" s="172"/>
      <c r="O267" s="172"/>
      <c r="P267" s="172"/>
      <c r="Q267" s="140">
        <v>46365.0</v>
      </c>
      <c r="R267" s="173"/>
      <c r="S267" s="241"/>
      <c r="T267" s="241"/>
      <c r="U267" s="241"/>
      <c r="V267" s="241"/>
      <c r="W267" s="241"/>
      <c r="X267" s="241"/>
      <c r="Y267" s="241"/>
      <c r="Z267" s="241"/>
    </row>
    <row r="268" ht="15.75" customHeight="1">
      <c r="A268" s="184" t="s">
        <v>652</v>
      </c>
      <c r="B268" s="180" t="s">
        <v>653</v>
      </c>
      <c r="C268" s="181" t="s">
        <v>500</v>
      </c>
      <c r="D268" s="55">
        <v>1.0</v>
      </c>
      <c r="E268" s="111">
        <v>1.0</v>
      </c>
      <c r="F268" s="232">
        <f t="shared" si="1"/>
        <v>0</v>
      </c>
      <c r="G268" s="134"/>
      <c r="H268" s="134">
        <v>257000.0</v>
      </c>
      <c r="I268" s="54">
        <f t="shared" si="2"/>
        <v>257000</v>
      </c>
      <c r="J268" s="141" t="s">
        <v>160</v>
      </c>
      <c r="K268" s="136" t="s">
        <v>654</v>
      </c>
      <c r="L268" s="136" t="s">
        <v>508</v>
      </c>
      <c r="M268" s="136" t="s">
        <v>507</v>
      </c>
      <c r="N268" s="126"/>
      <c r="O268" s="126"/>
      <c r="P268" s="126"/>
      <c r="Q268" s="139">
        <v>46365.0</v>
      </c>
      <c r="R268" s="128"/>
      <c r="S268" s="241"/>
      <c r="T268" s="241"/>
      <c r="U268" s="241"/>
      <c r="V268" s="241"/>
      <c r="W268" s="241"/>
      <c r="X268" s="241"/>
      <c r="Y268" s="241"/>
      <c r="Z268" s="241"/>
    </row>
    <row r="269" ht="15.75" customHeight="1">
      <c r="A269" s="189" t="s">
        <v>652</v>
      </c>
      <c r="B269" s="176" t="s">
        <v>653</v>
      </c>
      <c r="C269" s="177" t="s">
        <v>500</v>
      </c>
      <c r="D269" s="64">
        <v>1.0</v>
      </c>
      <c r="E269" s="111">
        <v>1.0</v>
      </c>
      <c r="F269" s="231">
        <f t="shared" si="1"/>
        <v>0</v>
      </c>
      <c r="G269" s="171"/>
      <c r="H269" s="171">
        <v>257000.0</v>
      </c>
      <c r="I269" s="40">
        <f t="shared" si="2"/>
        <v>257000</v>
      </c>
      <c r="J269" s="143" t="s">
        <v>199</v>
      </c>
      <c r="K269" s="138" t="s">
        <v>654</v>
      </c>
      <c r="L269" s="138" t="s">
        <v>508</v>
      </c>
      <c r="M269" s="138" t="s">
        <v>507</v>
      </c>
      <c r="N269" s="172"/>
      <c r="O269" s="172"/>
      <c r="P269" s="172"/>
      <c r="Q269" s="140">
        <v>46365.0</v>
      </c>
      <c r="R269" s="173"/>
      <c r="S269" s="241"/>
      <c r="T269" s="241"/>
      <c r="U269" s="241"/>
      <c r="V269" s="241"/>
      <c r="W269" s="241"/>
      <c r="X269" s="241"/>
      <c r="Y269" s="241"/>
      <c r="Z269" s="241"/>
    </row>
    <row r="270" ht="15.75" customHeight="1">
      <c r="A270" s="184" t="s">
        <v>652</v>
      </c>
      <c r="B270" s="180" t="s">
        <v>653</v>
      </c>
      <c r="C270" s="181" t="s">
        <v>500</v>
      </c>
      <c r="D270" s="55">
        <v>1.0</v>
      </c>
      <c r="E270" s="58">
        <v>0.0</v>
      </c>
      <c r="F270" s="232">
        <f t="shared" si="1"/>
        <v>1</v>
      </c>
      <c r="G270" s="134"/>
      <c r="H270" s="134">
        <v>257000.0</v>
      </c>
      <c r="I270" s="54">
        <f t="shared" si="2"/>
        <v>257000</v>
      </c>
      <c r="J270" s="141" t="s">
        <v>196</v>
      </c>
      <c r="K270" s="136" t="s">
        <v>654</v>
      </c>
      <c r="L270" s="136" t="s">
        <v>508</v>
      </c>
      <c r="M270" s="136" t="s">
        <v>507</v>
      </c>
      <c r="N270" s="126"/>
      <c r="O270" s="126"/>
      <c r="P270" s="126"/>
      <c r="Q270" s="139">
        <v>46365.0</v>
      </c>
      <c r="R270" s="128"/>
      <c r="S270" s="241"/>
      <c r="T270" s="241"/>
      <c r="U270" s="241"/>
      <c r="V270" s="241"/>
      <c r="W270" s="241"/>
      <c r="X270" s="241"/>
      <c r="Y270" s="241"/>
      <c r="Z270" s="241"/>
    </row>
    <row r="271" ht="15.75" customHeight="1">
      <c r="A271" s="189" t="s">
        <v>652</v>
      </c>
      <c r="B271" s="176" t="s">
        <v>653</v>
      </c>
      <c r="C271" s="177" t="s">
        <v>500</v>
      </c>
      <c r="D271" s="64">
        <v>1.0</v>
      </c>
      <c r="E271" s="43">
        <v>0.0</v>
      </c>
      <c r="F271" s="231">
        <f t="shared" si="1"/>
        <v>1</v>
      </c>
      <c r="G271" s="171"/>
      <c r="H271" s="171">
        <v>257000.0</v>
      </c>
      <c r="I271" s="40">
        <f t="shared" si="2"/>
        <v>257000</v>
      </c>
      <c r="J271" s="143" t="s">
        <v>201</v>
      </c>
      <c r="K271" s="138" t="s">
        <v>654</v>
      </c>
      <c r="L271" s="138" t="s">
        <v>508</v>
      </c>
      <c r="M271" s="138" t="s">
        <v>507</v>
      </c>
      <c r="N271" s="172"/>
      <c r="O271" s="172"/>
      <c r="P271" s="172"/>
      <c r="Q271" s="140">
        <v>46365.0</v>
      </c>
      <c r="R271" s="173"/>
      <c r="S271" s="241"/>
      <c r="T271" s="241"/>
      <c r="U271" s="241"/>
      <c r="V271" s="241"/>
      <c r="W271" s="241"/>
      <c r="X271" s="241"/>
      <c r="Y271" s="241"/>
      <c r="Z271" s="241"/>
    </row>
    <row r="272" ht="15.75" customHeight="1">
      <c r="A272" s="184" t="s">
        <v>652</v>
      </c>
      <c r="B272" s="180" t="s">
        <v>653</v>
      </c>
      <c r="C272" s="181" t="s">
        <v>500</v>
      </c>
      <c r="D272" s="55">
        <v>1.0</v>
      </c>
      <c r="E272" s="58">
        <v>0.0</v>
      </c>
      <c r="F272" s="232">
        <f t="shared" si="1"/>
        <v>1</v>
      </c>
      <c r="G272" s="134"/>
      <c r="H272" s="134">
        <v>257000.0</v>
      </c>
      <c r="I272" s="54">
        <f t="shared" si="2"/>
        <v>257000</v>
      </c>
      <c r="J272" s="141" t="s">
        <v>272</v>
      </c>
      <c r="K272" s="136" t="s">
        <v>654</v>
      </c>
      <c r="L272" s="136" t="s">
        <v>508</v>
      </c>
      <c r="M272" s="136" t="s">
        <v>507</v>
      </c>
      <c r="N272" s="126"/>
      <c r="O272" s="126"/>
      <c r="P272" s="126"/>
      <c r="Q272" s="139">
        <v>46365.0</v>
      </c>
      <c r="R272" s="128"/>
      <c r="S272" s="241"/>
      <c r="T272" s="241"/>
      <c r="U272" s="241"/>
      <c r="V272" s="241"/>
      <c r="W272" s="241"/>
      <c r="X272" s="241"/>
      <c r="Y272" s="241"/>
      <c r="Z272" s="241"/>
    </row>
    <row r="273" ht="15.75" customHeight="1">
      <c r="A273" s="189" t="s">
        <v>652</v>
      </c>
      <c r="B273" s="176" t="s">
        <v>653</v>
      </c>
      <c r="C273" s="177" t="s">
        <v>500</v>
      </c>
      <c r="D273" s="64">
        <v>1.0</v>
      </c>
      <c r="E273" s="43">
        <v>0.0</v>
      </c>
      <c r="F273" s="231">
        <f t="shared" si="1"/>
        <v>1</v>
      </c>
      <c r="G273" s="171"/>
      <c r="H273" s="171">
        <v>257000.0</v>
      </c>
      <c r="I273" s="40">
        <f t="shared" si="2"/>
        <v>257000</v>
      </c>
      <c r="J273" s="143" t="s">
        <v>134</v>
      </c>
      <c r="K273" s="138" t="s">
        <v>654</v>
      </c>
      <c r="L273" s="138" t="s">
        <v>508</v>
      </c>
      <c r="M273" s="138" t="s">
        <v>507</v>
      </c>
      <c r="N273" s="172"/>
      <c r="O273" s="172"/>
      <c r="P273" s="172"/>
      <c r="Q273" s="140">
        <v>46365.0</v>
      </c>
      <c r="R273" s="173"/>
      <c r="S273" s="241"/>
      <c r="T273" s="241"/>
      <c r="U273" s="241"/>
      <c r="V273" s="241"/>
      <c r="W273" s="241"/>
      <c r="X273" s="241"/>
      <c r="Y273" s="241"/>
      <c r="Z273" s="241"/>
    </row>
    <row r="274" ht="15.75" customHeight="1">
      <c r="A274" s="184" t="s">
        <v>652</v>
      </c>
      <c r="B274" s="180" t="s">
        <v>653</v>
      </c>
      <c r="C274" s="181" t="s">
        <v>500</v>
      </c>
      <c r="D274" s="55">
        <v>1.0</v>
      </c>
      <c r="E274" s="111">
        <v>1.0</v>
      </c>
      <c r="F274" s="232">
        <f t="shared" si="1"/>
        <v>0</v>
      </c>
      <c r="G274" s="134"/>
      <c r="H274" s="134">
        <v>257000.0</v>
      </c>
      <c r="I274" s="54">
        <f t="shared" si="2"/>
        <v>257000</v>
      </c>
      <c r="J274" s="141" t="s">
        <v>304</v>
      </c>
      <c r="K274" s="136" t="s">
        <v>654</v>
      </c>
      <c r="L274" s="136" t="s">
        <v>508</v>
      </c>
      <c r="M274" s="136" t="s">
        <v>507</v>
      </c>
      <c r="N274" s="126"/>
      <c r="O274" s="126"/>
      <c r="P274" s="126"/>
      <c r="Q274" s="139">
        <v>46365.0</v>
      </c>
      <c r="R274" s="128"/>
      <c r="S274" s="241"/>
      <c r="T274" s="241"/>
      <c r="U274" s="241"/>
      <c r="V274" s="241"/>
      <c r="W274" s="241"/>
      <c r="X274" s="241"/>
      <c r="Y274" s="241"/>
      <c r="Z274" s="241"/>
    </row>
    <row r="275" ht="15.75" customHeight="1">
      <c r="A275" s="189" t="s">
        <v>652</v>
      </c>
      <c r="B275" s="176" t="s">
        <v>653</v>
      </c>
      <c r="C275" s="177" t="s">
        <v>500</v>
      </c>
      <c r="D275" s="64">
        <v>1.0</v>
      </c>
      <c r="E275" s="43">
        <v>0.0</v>
      </c>
      <c r="F275" s="231">
        <f t="shared" si="1"/>
        <v>1</v>
      </c>
      <c r="G275" s="171"/>
      <c r="H275" s="171">
        <v>257000.0</v>
      </c>
      <c r="I275" s="40">
        <f t="shared" si="2"/>
        <v>257000</v>
      </c>
      <c r="J275" s="64" t="s">
        <v>210</v>
      </c>
      <c r="K275" s="138" t="s">
        <v>654</v>
      </c>
      <c r="L275" s="138" t="s">
        <v>508</v>
      </c>
      <c r="M275" s="138" t="s">
        <v>507</v>
      </c>
      <c r="N275" s="172"/>
      <c r="O275" s="172"/>
      <c r="P275" s="172"/>
      <c r="Q275" s="140">
        <v>46365.0</v>
      </c>
      <c r="R275" s="173"/>
      <c r="S275" s="241"/>
      <c r="T275" s="241"/>
      <c r="U275" s="241"/>
      <c r="V275" s="241"/>
      <c r="W275" s="241"/>
      <c r="X275" s="241"/>
      <c r="Y275" s="241"/>
      <c r="Z275" s="241"/>
    </row>
    <row r="276" ht="15.75" customHeight="1">
      <c r="A276" s="184" t="s">
        <v>652</v>
      </c>
      <c r="B276" s="180" t="s">
        <v>653</v>
      </c>
      <c r="C276" s="181" t="s">
        <v>500</v>
      </c>
      <c r="D276" s="55">
        <v>1.0</v>
      </c>
      <c r="E276" s="58">
        <v>0.0</v>
      </c>
      <c r="F276" s="232">
        <f t="shared" si="1"/>
        <v>1</v>
      </c>
      <c r="G276" s="134"/>
      <c r="H276" s="134">
        <v>257000.0</v>
      </c>
      <c r="I276" s="54">
        <f t="shared" si="2"/>
        <v>257000</v>
      </c>
      <c r="J276" s="55" t="s">
        <v>214</v>
      </c>
      <c r="K276" s="136" t="s">
        <v>654</v>
      </c>
      <c r="L276" s="136" t="s">
        <v>508</v>
      </c>
      <c r="M276" s="136" t="s">
        <v>507</v>
      </c>
      <c r="N276" s="126"/>
      <c r="O276" s="126"/>
      <c r="P276" s="126"/>
      <c r="Q276" s="139">
        <v>46365.0</v>
      </c>
      <c r="R276" s="128"/>
      <c r="S276" s="241"/>
      <c r="T276" s="241"/>
      <c r="U276" s="241"/>
      <c r="V276" s="241"/>
      <c r="W276" s="241"/>
      <c r="X276" s="241"/>
      <c r="Y276" s="241"/>
      <c r="Z276" s="241"/>
    </row>
    <row r="277" ht="15.75" customHeight="1">
      <c r="A277" s="189">
        <v>31.0</v>
      </c>
      <c r="B277" s="176" t="s">
        <v>660</v>
      </c>
      <c r="C277" s="233" t="s">
        <v>495</v>
      </c>
      <c r="D277" s="64">
        <v>1.0</v>
      </c>
      <c r="E277" s="43">
        <v>0.0</v>
      </c>
      <c r="F277" s="231">
        <f t="shared" si="1"/>
        <v>1</v>
      </c>
      <c r="G277" s="247"/>
      <c r="H277" s="247"/>
      <c r="I277" s="40">
        <f t="shared" si="2"/>
        <v>0</v>
      </c>
      <c r="J277" s="143" t="s">
        <v>134</v>
      </c>
      <c r="K277" s="172"/>
      <c r="L277" s="172"/>
      <c r="M277" s="172"/>
      <c r="N277" s="172"/>
      <c r="O277" s="172"/>
      <c r="P277" s="172"/>
      <c r="Q277" s="172"/>
      <c r="R277" s="173"/>
      <c r="S277" s="241"/>
      <c r="T277" s="241"/>
      <c r="U277" s="241"/>
      <c r="V277" s="241"/>
      <c r="W277" s="241"/>
      <c r="X277" s="241"/>
      <c r="Y277" s="241"/>
      <c r="Z277" s="241"/>
    </row>
    <row r="278" ht="15.75" customHeight="1">
      <c r="A278" s="184">
        <v>31.0</v>
      </c>
      <c r="B278" s="180" t="s">
        <v>660</v>
      </c>
      <c r="C278" s="185" t="s">
        <v>495</v>
      </c>
      <c r="D278" s="55">
        <v>1.0</v>
      </c>
      <c r="E278" s="58">
        <v>0.0</v>
      </c>
      <c r="F278" s="232">
        <f t="shared" si="1"/>
        <v>1</v>
      </c>
      <c r="G278" s="248"/>
      <c r="H278" s="248"/>
      <c r="I278" s="54">
        <f t="shared" si="2"/>
        <v>0</v>
      </c>
      <c r="J278" s="141" t="s">
        <v>160</v>
      </c>
      <c r="K278" s="126"/>
      <c r="L278" s="126"/>
      <c r="M278" s="126"/>
      <c r="N278" s="126"/>
      <c r="O278" s="126"/>
      <c r="P278" s="126"/>
      <c r="Q278" s="126"/>
      <c r="R278" s="128"/>
      <c r="S278" s="241"/>
      <c r="T278" s="241"/>
      <c r="U278" s="241"/>
      <c r="V278" s="241"/>
      <c r="W278" s="241"/>
      <c r="X278" s="241"/>
      <c r="Y278" s="241"/>
      <c r="Z278" s="241"/>
    </row>
    <row r="279" ht="15.75" customHeight="1">
      <c r="A279" s="189">
        <v>31.0</v>
      </c>
      <c r="B279" s="176" t="s">
        <v>660</v>
      </c>
      <c r="C279" s="233" t="s">
        <v>495</v>
      </c>
      <c r="D279" s="64">
        <v>1.0</v>
      </c>
      <c r="E279" s="43">
        <v>0.0</v>
      </c>
      <c r="F279" s="231">
        <f t="shared" si="1"/>
        <v>1</v>
      </c>
      <c r="G279" s="247"/>
      <c r="H279" s="247"/>
      <c r="I279" s="40">
        <f t="shared" si="2"/>
        <v>0</v>
      </c>
      <c r="J279" s="143" t="s">
        <v>196</v>
      </c>
      <c r="K279" s="172"/>
      <c r="L279" s="172"/>
      <c r="M279" s="172"/>
      <c r="N279" s="172"/>
      <c r="O279" s="172"/>
      <c r="P279" s="172"/>
      <c r="Q279" s="172"/>
      <c r="R279" s="173"/>
      <c r="S279" s="241"/>
      <c r="T279" s="241"/>
      <c r="U279" s="241"/>
      <c r="V279" s="241"/>
      <c r="W279" s="241"/>
      <c r="X279" s="241"/>
      <c r="Y279" s="241"/>
      <c r="Z279" s="241"/>
    </row>
    <row r="280" ht="15.75" customHeight="1">
      <c r="A280" s="184">
        <v>31.0</v>
      </c>
      <c r="B280" s="180" t="s">
        <v>660</v>
      </c>
      <c r="C280" s="185" t="s">
        <v>495</v>
      </c>
      <c r="D280" s="55">
        <v>1.0</v>
      </c>
      <c r="E280" s="58">
        <v>0.0</v>
      </c>
      <c r="F280" s="232">
        <f t="shared" si="1"/>
        <v>1</v>
      </c>
      <c r="G280" s="248"/>
      <c r="H280" s="248"/>
      <c r="I280" s="54">
        <f t="shared" si="2"/>
        <v>0</v>
      </c>
      <c r="J280" s="141" t="s">
        <v>189</v>
      </c>
      <c r="K280" s="126"/>
      <c r="L280" s="126"/>
      <c r="M280" s="126"/>
      <c r="N280" s="126"/>
      <c r="O280" s="126"/>
      <c r="P280" s="126"/>
      <c r="Q280" s="126"/>
      <c r="R280" s="128"/>
      <c r="S280" s="241"/>
      <c r="T280" s="241"/>
      <c r="U280" s="241"/>
      <c r="V280" s="241"/>
      <c r="W280" s="241"/>
      <c r="X280" s="241"/>
      <c r="Y280" s="241"/>
      <c r="Z280" s="241"/>
    </row>
    <row r="281" ht="15.75" customHeight="1">
      <c r="A281" s="189">
        <v>31.0</v>
      </c>
      <c r="B281" s="176" t="s">
        <v>660</v>
      </c>
      <c r="C281" s="233" t="s">
        <v>495</v>
      </c>
      <c r="D281" s="64">
        <v>1.0</v>
      </c>
      <c r="E281" s="43">
        <v>0.0</v>
      </c>
      <c r="F281" s="231">
        <f t="shared" si="1"/>
        <v>1</v>
      </c>
      <c r="G281" s="247"/>
      <c r="H281" s="247"/>
      <c r="I281" s="40">
        <f t="shared" si="2"/>
        <v>0</v>
      </c>
      <c r="J281" s="143" t="s">
        <v>210</v>
      </c>
      <c r="K281" s="172"/>
      <c r="L281" s="172"/>
      <c r="M281" s="172"/>
      <c r="N281" s="172"/>
      <c r="O281" s="172"/>
      <c r="P281" s="172"/>
      <c r="Q281" s="172"/>
      <c r="R281" s="173"/>
      <c r="S281" s="241"/>
      <c r="T281" s="241"/>
      <c r="U281" s="241"/>
      <c r="V281" s="241"/>
      <c r="W281" s="241"/>
      <c r="X281" s="241"/>
      <c r="Y281" s="241"/>
      <c r="Z281" s="241"/>
    </row>
    <row r="282" ht="15.75" customHeight="1">
      <c r="A282" s="184">
        <v>31.0</v>
      </c>
      <c r="B282" s="180" t="s">
        <v>660</v>
      </c>
      <c r="C282" s="185" t="s">
        <v>495</v>
      </c>
      <c r="D282" s="55">
        <v>1.0</v>
      </c>
      <c r="E282" s="58">
        <v>0.0</v>
      </c>
      <c r="F282" s="232">
        <f t="shared" si="1"/>
        <v>1</v>
      </c>
      <c r="G282" s="248"/>
      <c r="H282" s="248"/>
      <c r="I282" s="54">
        <f t="shared" si="2"/>
        <v>0</v>
      </c>
      <c r="J282" s="141" t="s">
        <v>214</v>
      </c>
      <c r="K282" s="126"/>
      <c r="L282" s="126"/>
      <c r="M282" s="126"/>
      <c r="N282" s="126"/>
      <c r="O282" s="126"/>
      <c r="P282" s="126"/>
      <c r="Q282" s="126"/>
      <c r="R282" s="128"/>
      <c r="S282" s="241"/>
      <c r="T282" s="241"/>
      <c r="U282" s="241"/>
      <c r="V282" s="241"/>
      <c r="W282" s="241"/>
      <c r="X282" s="241"/>
      <c r="Y282" s="241"/>
      <c r="Z282" s="241"/>
    </row>
    <row r="283" ht="15.75" customHeight="1">
      <c r="A283" s="189">
        <v>31.0</v>
      </c>
      <c r="B283" s="176" t="s">
        <v>660</v>
      </c>
      <c r="C283" s="233" t="s">
        <v>495</v>
      </c>
      <c r="D283" s="64">
        <v>1.0</v>
      </c>
      <c r="E283" s="43">
        <v>0.0</v>
      </c>
      <c r="F283" s="231">
        <f t="shared" si="1"/>
        <v>1</v>
      </c>
      <c r="G283" s="247"/>
      <c r="H283" s="247"/>
      <c r="I283" s="40">
        <f t="shared" si="2"/>
        <v>0</v>
      </c>
      <c r="J283" s="143" t="s">
        <v>179</v>
      </c>
      <c r="K283" s="172"/>
      <c r="L283" s="172"/>
      <c r="M283" s="172"/>
      <c r="N283" s="172"/>
      <c r="O283" s="172"/>
      <c r="P283" s="172"/>
      <c r="Q283" s="172"/>
      <c r="R283" s="173"/>
      <c r="S283" s="241"/>
      <c r="T283" s="241"/>
      <c r="U283" s="241"/>
      <c r="V283" s="241"/>
      <c r="W283" s="241"/>
      <c r="X283" s="241"/>
      <c r="Y283" s="241"/>
      <c r="Z283" s="241"/>
    </row>
    <row r="284" ht="15.75" customHeight="1">
      <c r="A284" s="184">
        <v>31.0</v>
      </c>
      <c r="B284" s="180" t="s">
        <v>660</v>
      </c>
      <c r="C284" s="185" t="s">
        <v>495</v>
      </c>
      <c r="D284" s="55">
        <v>1.0</v>
      </c>
      <c r="E284" s="58">
        <v>0.0</v>
      </c>
      <c r="F284" s="232">
        <f t="shared" si="1"/>
        <v>1</v>
      </c>
      <c r="G284" s="248"/>
      <c r="H284" s="248"/>
      <c r="I284" s="54">
        <f t="shared" si="2"/>
        <v>0</v>
      </c>
      <c r="J284" s="141" t="s">
        <v>221</v>
      </c>
      <c r="K284" s="126"/>
      <c r="L284" s="126"/>
      <c r="M284" s="126"/>
      <c r="N284" s="126"/>
      <c r="O284" s="126"/>
      <c r="P284" s="126"/>
      <c r="Q284" s="126"/>
      <c r="R284" s="128"/>
      <c r="S284" s="241"/>
      <c r="T284" s="241"/>
      <c r="U284" s="241"/>
      <c r="V284" s="241"/>
      <c r="W284" s="241"/>
      <c r="X284" s="241"/>
      <c r="Y284" s="241"/>
      <c r="Z284" s="241"/>
    </row>
    <row r="285" ht="15.75" customHeight="1">
      <c r="A285" s="189">
        <v>31.0</v>
      </c>
      <c r="B285" s="176" t="s">
        <v>660</v>
      </c>
      <c r="C285" s="233" t="s">
        <v>495</v>
      </c>
      <c r="D285" s="64">
        <v>1.0</v>
      </c>
      <c r="E285" s="43">
        <v>0.0</v>
      </c>
      <c r="F285" s="231">
        <f t="shared" si="1"/>
        <v>1</v>
      </c>
      <c r="G285" s="247"/>
      <c r="H285" s="247"/>
      <c r="I285" s="40">
        <f t="shared" si="2"/>
        <v>0</v>
      </c>
      <c r="J285" s="64" t="s">
        <v>85</v>
      </c>
      <c r="K285" s="172"/>
      <c r="L285" s="172"/>
      <c r="M285" s="172"/>
      <c r="N285" s="172"/>
      <c r="O285" s="172"/>
      <c r="P285" s="172"/>
      <c r="Q285" s="172"/>
      <c r="R285" s="173"/>
      <c r="S285" s="241"/>
      <c r="T285" s="241"/>
      <c r="U285" s="241"/>
      <c r="V285" s="241"/>
      <c r="W285" s="241"/>
      <c r="X285" s="241"/>
      <c r="Y285" s="241"/>
      <c r="Z285" s="241"/>
    </row>
    <row r="286" ht="15.75" customHeight="1">
      <c r="A286" s="184">
        <v>31.0</v>
      </c>
      <c r="B286" s="180" t="s">
        <v>660</v>
      </c>
      <c r="C286" s="185" t="s">
        <v>495</v>
      </c>
      <c r="D286" s="55">
        <v>1.0</v>
      </c>
      <c r="E286" s="58">
        <v>0.0</v>
      </c>
      <c r="F286" s="232">
        <f t="shared" si="1"/>
        <v>1</v>
      </c>
      <c r="G286" s="248"/>
      <c r="H286" s="248"/>
      <c r="I286" s="54">
        <f t="shared" si="2"/>
        <v>0</v>
      </c>
      <c r="J286" s="55" t="s">
        <v>232</v>
      </c>
      <c r="K286" s="126"/>
      <c r="L286" s="126"/>
      <c r="M286" s="126"/>
      <c r="N286" s="126"/>
      <c r="O286" s="126"/>
      <c r="P286" s="126"/>
      <c r="Q286" s="126"/>
      <c r="R286" s="128"/>
      <c r="S286" s="241"/>
      <c r="T286" s="241"/>
      <c r="U286" s="241"/>
      <c r="V286" s="241"/>
      <c r="W286" s="241"/>
      <c r="X286" s="241"/>
      <c r="Y286" s="241"/>
      <c r="Z286" s="241"/>
    </row>
    <row r="287" ht="15.75" customHeight="1">
      <c r="A287" s="189">
        <v>31.0</v>
      </c>
      <c r="B287" s="176" t="s">
        <v>660</v>
      </c>
      <c r="C287" s="233" t="s">
        <v>495</v>
      </c>
      <c r="D287" s="64">
        <v>1.0</v>
      </c>
      <c r="E287" s="43">
        <v>0.0</v>
      </c>
      <c r="F287" s="231">
        <f t="shared" si="1"/>
        <v>1</v>
      </c>
      <c r="G287" s="247"/>
      <c r="H287" s="247"/>
      <c r="I287" s="40">
        <f t="shared" si="2"/>
        <v>0</v>
      </c>
      <c r="J287" s="143" t="s">
        <v>192</v>
      </c>
      <c r="K287" s="172"/>
      <c r="L287" s="172"/>
      <c r="M287" s="172"/>
      <c r="N287" s="172"/>
      <c r="O287" s="172"/>
      <c r="P287" s="172"/>
      <c r="Q287" s="172"/>
      <c r="R287" s="173"/>
      <c r="S287" s="241"/>
      <c r="T287" s="241"/>
      <c r="U287" s="241"/>
      <c r="V287" s="241"/>
      <c r="W287" s="241"/>
      <c r="X287" s="241"/>
      <c r="Y287" s="241"/>
      <c r="Z287" s="241"/>
    </row>
    <row r="288" ht="15.75" customHeight="1">
      <c r="A288" s="184">
        <v>32.0</v>
      </c>
      <c r="B288" s="184" t="s">
        <v>670</v>
      </c>
      <c r="C288" s="181" t="s">
        <v>671</v>
      </c>
      <c r="D288" s="55">
        <v>4.0</v>
      </c>
      <c r="E288" s="58">
        <v>0.0</v>
      </c>
      <c r="F288" s="232">
        <f t="shared" si="1"/>
        <v>4</v>
      </c>
      <c r="G288" s="248"/>
      <c r="H288" s="248"/>
      <c r="I288" s="54">
        <f t="shared" si="2"/>
        <v>0</v>
      </c>
      <c r="J288" s="55" t="s">
        <v>134</v>
      </c>
      <c r="K288" s="126"/>
      <c r="L288" s="126"/>
      <c r="M288" s="126"/>
      <c r="N288" s="126"/>
      <c r="O288" s="126"/>
      <c r="P288" s="126"/>
      <c r="Q288" s="126"/>
      <c r="R288" s="128"/>
      <c r="S288" s="241"/>
      <c r="T288" s="241"/>
      <c r="U288" s="241"/>
      <c r="V288" s="241"/>
      <c r="W288" s="241"/>
      <c r="X288" s="241"/>
      <c r="Y288" s="241"/>
      <c r="Z288" s="241"/>
    </row>
    <row r="289" ht="15.75" customHeight="1">
      <c r="A289" s="189">
        <v>32.0</v>
      </c>
      <c r="B289" s="189" t="s">
        <v>670</v>
      </c>
      <c r="C289" s="177" t="s">
        <v>671</v>
      </c>
      <c r="D289" s="64">
        <v>4.0</v>
      </c>
      <c r="E289" s="43">
        <v>0.0</v>
      </c>
      <c r="F289" s="231">
        <f t="shared" si="1"/>
        <v>4</v>
      </c>
      <c r="G289" s="247"/>
      <c r="H289" s="247"/>
      <c r="I289" s="40">
        <f t="shared" si="2"/>
        <v>0</v>
      </c>
      <c r="J289" s="64" t="s">
        <v>214</v>
      </c>
      <c r="K289" s="172"/>
      <c r="L289" s="172"/>
      <c r="M289" s="172"/>
      <c r="N289" s="172"/>
      <c r="O289" s="172"/>
      <c r="P289" s="172"/>
      <c r="Q289" s="172"/>
      <c r="R289" s="173"/>
      <c r="S289" s="241"/>
      <c r="T289" s="241"/>
      <c r="U289" s="241"/>
      <c r="V289" s="241"/>
      <c r="W289" s="241"/>
      <c r="X289" s="241"/>
      <c r="Y289" s="241"/>
      <c r="Z289" s="241"/>
    </row>
    <row r="290" ht="15.75" customHeight="1">
      <c r="A290" s="93" t="s">
        <v>672</v>
      </c>
      <c r="B290" s="93" t="s">
        <v>673</v>
      </c>
      <c r="C290" s="144" t="s">
        <v>459</v>
      </c>
      <c r="D290" s="55">
        <v>2.0</v>
      </c>
      <c r="E290" s="58">
        <v>1.0</v>
      </c>
      <c r="F290" s="232">
        <f t="shared" si="1"/>
        <v>1</v>
      </c>
      <c r="G290" s="134"/>
      <c r="H290" s="134">
        <v>349900.0</v>
      </c>
      <c r="I290" s="54">
        <f t="shared" si="2"/>
        <v>699800</v>
      </c>
      <c r="J290" s="55" t="s">
        <v>160</v>
      </c>
      <c r="K290" s="136" t="s">
        <v>674</v>
      </c>
      <c r="L290" s="136" t="s">
        <v>675</v>
      </c>
      <c r="M290" s="136" t="s">
        <v>326</v>
      </c>
      <c r="N290" s="136" t="s">
        <v>676</v>
      </c>
      <c r="O290" s="136" t="s">
        <v>677</v>
      </c>
      <c r="P290" s="126"/>
      <c r="Q290" s="252">
        <v>46318.0</v>
      </c>
      <c r="R290" s="128"/>
      <c r="S290" s="241"/>
      <c r="T290" s="241"/>
      <c r="U290" s="241"/>
      <c r="V290" s="241"/>
      <c r="W290" s="241"/>
      <c r="X290" s="241"/>
      <c r="Y290" s="241"/>
      <c r="Z290" s="241"/>
    </row>
    <row r="291" ht="15.75" customHeight="1">
      <c r="A291" s="80" t="s">
        <v>679</v>
      </c>
      <c r="B291" s="253" t="s">
        <v>680</v>
      </c>
      <c r="C291" s="254" t="s">
        <v>681</v>
      </c>
      <c r="D291" s="64">
        <v>1.0</v>
      </c>
      <c r="E291" s="43">
        <v>1.0</v>
      </c>
      <c r="F291" s="231">
        <f t="shared" si="1"/>
        <v>0</v>
      </c>
      <c r="G291" s="171"/>
      <c r="H291" s="171">
        <v>309700.0</v>
      </c>
      <c r="I291" s="40">
        <f t="shared" si="2"/>
        <v>309700</v>
      </c>
      <c r="J291" s="64" t="s">
        <v>683</v>
      </c>
      <c r="K291" s="138" t="s">
        <v>684</v>
      </c>
      <c r="L291" s="138" t="s">
        <v>685</v>
      </c>
      <c r="M291" s="138" t="s">
        <v>686</v>
      </c>
      <c r="N291" s="172"/>
      <c r="O291" s="172"/>
      <c r="P291" s="172"/>
      <c r="Q291" s="255">
        <v>46336.0</v>
      </c>
      <c r="R291" s="173"/>
      <c r="S291" s="241"/>
      <c r="T291" s="241"/>
      <c r="U291" s="241"/>
      <c r="V291" s="241"/>
      <c r="W291" s="241"/>
      <c r="X291" s="241"/>
      <c r="Y291" s="241"/>
      <c r="Z291" s="241"/>
    </row>
    <row r="292" ht="15.75" customHeight="1">
      <c r="A292" s="14"/>
      <c r="B292" s="14"/>
      <c r="C292" s="84"/>
      <c r="D292" s="14"/>
      <c r="E292" s="14"/>
      <c r="F292" s="14"/>
      <c r="G292" s="14"/>
      <c r="H292" s="14"/>
      <c r="I292" s="14"/>
      <c r="J292" s="14"/>
      <c r="K292" s="19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84"/>
      <c r="D293" s="14"/>
      <c r="E293" s="14"/>
      <c r="F293" s="86" t="s">
        <v>691</v>
      </c>
      <c r="G293" s="14"/>
      <c r="H293" s="14"/>
      <c r="I293" s="14"/>
      <c r="J293" s="14"/>
      <c r="K293" s="19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84"/>
      <c r="D294" s="14"/>
      <c r="E294" s="14"/>
      <c r="F294" s="14"/>
      <c r="G294" s="14"/>
      <c r="H294" s="14"/>
      <c r="I294" s="14"/>
      <c r="J294" s="14"/>
      <c r="K294" s="19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84"/>
      <c r="D295" s="14"/>
      <c r="E295" s="14"/>
      <c r="F295" s="14"/>
      <c r="G295" s="14"/>
      <c r="H295" s="14"/>
      <c r="I295" s="14"/>
      <c r="J295" s="14"/>
      <c r="K295" s="19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84"/>
      <c r="D296" s="14"/>
      <c r="E296" s="14"/>
      <c r="F296" s="14"/>
      <c r="G296" s="14"/>
      <c r="H296" s="14"/>
      <c r="I296" s="14"/>
      <c r="J296" s="14"/>
      <c r="K296" s="19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84"/>
      <c r="D297" s="14"/>
      <c r="E297" s="14"/>
      <c r="F297" s="14"/>
      <c r="G297" s="14"/>
      <c r="H297" s="14"/>
      <c r="I297" s="14"/>
      <c r="J297" s="14"/>
      <c r="K297" s="19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84"/>
      <c r="D298" s="14"/>
      <c r="E298" s="14"/>
      <c r="F298" s="14"/>
      <c r="G298" s="14"/>
      <c r="H298" s="14"/>
      <c r="I298" s="14"/>
      <c r="J298" s="14"/>
      <c r="K298" s="19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84"/>
      <c r="D299" s="14"/>
      <c r="E299" s="14"/>
      <c r="F299" s="14"/>
      <c r="G299" s="14"/>
      <c r="H299" s="14"/>
      <c r="I299" s="14"/>
      <c r="J299" s="14"/>
      <c r="K299" s="19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84"/>
      <c r="D300" s="14"/>
      <c r="E300" s="14"/>
      <c r="F300" s="14"/>
      <c r="G300" s="14"/>
      <c r="H300" s="14"/>
      <c r="I300" s="14"/>
      <c r="J300" s="14"/>
      <c r="K300" s="19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84"/>
      <c r="D301" s="14"/>
      <c r="E301" s="14"/>
      <c r="F301" s="14"/>
      <c r="G301" s="14"/>
      <c r="H301" s="14"/>
      <c r="I301" s="14"/>
      <c r="J301" s="14"/>
      <c r="K301" s="19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84"/>
      <c r="D302" s="14"/>
      <c r="E302" s="14"/>
      <c r="F302" s="14"/>
      <c r="G302" s="14"/>
      <c r="H302" s="14"/>
      <c r="I302" s="14"/>
      <c r="J302" s="14"/>
      <c r="K302" s="19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84"/>
      <c r="D303" s="14"/>
      <c r="E303" s="14"/>
      <c r="F303" s="14"/>
      <c r="G303" s="14"/>
      <c r="H303" s="14"/>
      <c r="I303" s="14"/>
      <c r="J303" s="14"/>
      <c r="K303" s="19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84"/>
      <c r="D304" s="14"/>
      <c r="E304" s="14"/>
      <c r="F304" s="14"/>
      <c r="G304" s="14"/>
      <c r="H304" s="14"/>
      <c r="I304" s="14"/>
      <c r="J304" s="14"/>
      <c r="K304" s="19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84"/>
      <c r="D305" s="14"/>
      <c r="E305" s="14"/>
      <c r="F305" s="14"/>
      <c r="G305" s="14"/>
      <c r="H305" s="14"/>
      <c r="I305" s="14"/>
      <c r="J305" s="14"/>
      <c r="K305" s="19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84"/>
      <c r="D306" s="14"/>
      <c r="E306" s="14"/>
      <c r="F306" s="14"/>
      <c r="G306" s="14"/>
      <c r="H306" s="14"/>
      <c r="I306" s="14"/>
      <c r="J306" s="14"/>
      <c r="K306" s="19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84"/>
      <c r="D307" s="14"/>
      <c r="E307" s="14"/>
      <c r="F307" s="14"/>
      <c r="G307" s="14"/>
      <c r="H307" s="14"/>
      <c r="I307" s="14"/>
      <c r="J307" s="14"/>
      <c r="K307" s="19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84"/>
      <c r="D308" s="14"/>
      <c r="E308" s="14"/>
      <c r="F308" s="14"/>
      <c r="G308" s="14"/>
      <c r="H308" s="14"/>
      <c r="I308" s="14"/>
      <c r="J308" s="14"/>
      <c r="K308" s="19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84"/>
      <c r="D309" s="14"/>
      <c r="E309" s="14"/>
      <c r="F309" s="14"/>
      <c r="G309" s="14"/>
      <c r="H309" s="14"/>
      <c r="I309" s="14"/>
      <c r="J309" s="14"/>
      <c r="K309" s="19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84"/>
      <c r="D310" s="14"/>
      <c r="E310" s="14"/>
      <c r="F310" s="14"/>
      <c r="G310" s="14"/>
      <c r="H310" s="14"/>
      <c r="I310" s="14"/>
      <c r="J310" s="14"/>
      <c r="K310" s="19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84"/>
      <c r="D311" s="14"/>
      <c r="E311" s="14"/>
      <c r="F311" s="14"/>
      <c r="G311" s="14"/>
      <c r="H311" s="14"/>
      <c r="I311" s="14"/>
      <c r="J311" s="14"/>
      <c r="K311" s="19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84"/>
      <c r="D312" s="14"/>
      <c r="E312" s="14"/>
      <c r="F312" s="14"/>
      <c r="G312" s="14"/>
      <c r="H312" s="14"/>
      <c r="I312" s="14"/>
      <c r="J312" s="14"/>
      <c r="K312" s="19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84"/>
      <c r="D313" s="14"/>
      <c r="E313" s="14"/>
      <c r="F313" s="14"/>
      <c r="G313" s="14"/>
      <c r="H313" s="14"/>
      <c r="I313" s="14"/>
      <c r="J313" s="14"/>
      <c r="K313" s="19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84"/>
      <c r="D314" s="14"/>
      <c r="E314" s="14"/>
      <c r="F314" s="14"/>
      <c r="G314" s="14"/>
      <c r="H314" s="14"/>
      <c r="I314" s="14"/>
      <c r="J314" s="14"/>
      <c r="K314" s="19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84"/>
      <c r="D315" s="14"/>
      <c r="E315" s="14"/>
      <c r="F315" s="14"/>
      <c r="G315" s="14"/>
      <c r="H315" s="14"/>
      <c r="I315" s="14"/>
      <c r="J315" s="14"/>
      <c r="K315" s="19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84"/>
      <c r="D316" s="14"/>
      <c r="E316" s="14"/>
      <c r="F316" s="14"/>
      <c r="G316" s="14"/>
      <c r="H316" s="14"/>
      <c r="I316" s="14"/>
      <c r="J316" s="14"/>
      <c r="K316" s="19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84"/>
      <c r="D317" s="14"/>
      <c r="E317" s="14"/>
      <c r="F317" s="14"/>
      <c r="G317" s="14"/>
      <c r="H317" s="14"/>
      <c r="I317" s="14"/>
      <c r="J317" s="14"/>
      <c r="K317" s="19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84"/>
      <c r="D318" s="14"/>
      <c r="E318" s="14"/>
      <c r="F318" s="14"/>
      <c r="G318" s="14"/>
      <c r="H318" s="14"/>
      <c r="I318" s="14"/>
      <c r="J318" s="14"/>
      <c r="K318" s="19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84"/>
      <c r="D319" s="14"/>
      <c r="E319" s="14"/>
      <c r="F319" s="14"/>
      <c r="G319" s="14"/>
      <c r="H319" s="14"/>
      <c r="I319" s="14"/>
      <c r="J319" s="14"/>
      <c r="K319" s="19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84"/>
      <c r="D320" s="14"/>
      <c r="E320" s="14"/>
      <c r="F320" s="14"/>
      <c r="G320" s="14"/>
      <c r="H320" s="14"/>
      <c r="I320" s="14"/>
      <c r="J320" s="14"/>
      <c r="K320" s="19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84"/>
      <c r="D321" s="14"/>
      <c r="E321" s="14"/>
      <c r="F321" s="14"/>
      <c r="G321" s="14"/>
      <c r="H321" s="14"/>
      <c r="I321" s="14"/>
      <c r="J321" s="14"/>
      <c r="K321" s="19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84"/>
      <c r="D322" s="14"/>
      <c r="E322" s="14"/>
      <c r="F322" s="14"/>
      <c r="G322" s="14"/>
      <c r="H322" s="14"/>
      <c r="I322" s="14"/>
      <c r="J322" s="14"/>
      <c r="K322" s="19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84"/>
      <c r="D323" s="14"/>
      <c r="E323" s="14"/>
      <c r="F323" s="14"/>
      <c r="G323" s="14"/>
      <c r="H323" s="14"/>
      <c r="I323" s="14"/>
      <c r="J323" s="14"/>
      <c r="K323" s="19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84"/>
      <c r="D324" s="14"/>
      <c r="E324" s="14"/>
      <c r="F324" s="14"/>
      <c r="G324" s="14"/>
      <c r="H324" s="14"/>
      <c r="I324" s="14"/>
      <c r="J324" s="14"/>
      <c r="K324" s="19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84"/>
      <c r="D325" s="14"/>
      <c r="E325" s="14"/>
      <c r="F325" s="14"/>
      <c r="G325" s="14"/>
      <c r="H325" s="14"/>
      <c r="I325" s="14"/>
      <c r="J325" s="14"/>
      <c r="K325" s="19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84"/>
      <c r="D326" s="14"/>
      <c r="E326" s="14"/>
      <c r="F326" s="14"/>
      <c r="G326" s="14"/>
      <c r="H326" s="14"/>
      <c r="I326" s="14"/>
      <c r="J326" s="14"/>
      <c r="K326" s="19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84"/>
      <c r="D327" s="14"/>
      <c r="E327" s="14"/>
      <c r="F327" s="14"/>
      <c r="G327" s="14"/>
      <c r="H327" s="14"/>
      <c r="I327" s="14"/>
      <c r="J327" s="14"/>
      <c r="K327" s="19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84"/>
      <c r="D328" s="14"/>
      <c r="E328" s="14"/>
      <c r="F328" s="14"/>
      <c r="G328" s="14"/>
      <c r="H328" s="14"/>
      <c r="I328" s="14"/>
      <c r="J328" s="14"/>
      <c r="K328" s="19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84"/>
      <c r="D329" s="14"/>
      <c r="E329" s="14"/>
      <c r="F329" s="14"/>
      <c r="G329" s="14"/>
      <c r="H329" s="14"/>
      <c r="I329" s="14"/>
      <c r="J329" s="14"/>
      <c r="K329" s="19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84"/>
      <c r="D330" s="14"/>
      <c r="E330" s="14"/>
      <c r="F330" s="14"/>
      <c r="G330" s="14"/>
      <c r="H330" s="14"/>
      <c r="I330" s="14"/>
      <c r="J330" s="14"/>
      <c r="K330" s="19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84"/>
      <c r="D331" s="14"/>
      <c r="E331" s="14"/>
      <c r="F331" s="14"/>
      <c r="G331" s="14"/>
      <c r="H331" s="14"/>
      <c r="I331" s="14"/>
      <c r="J331" s="14"/>
      <c r="K331" s="19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84"/>
      <c r="D332" s="14"/>
      <c r="E332" s="14"/>
      <c r="F332" s="14"/>
      <c r="G332" s="14"/>
      <c r="H332" s="14"/>
      <c r="I332" s="14"/>
      <c r="J332" s="14"/>
      <c r="K332" s="19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84"/>
      <c r="D333" s="14"/>
      <c r="E333" s="14"/>
      <c r="F333" s="14"/>
      <c r="G333" s="14"/>
      <c r="H333" s="14"/>
      <c r="I333" s="14"/>
      <c r="J333" s="14"/>
      <c r="K333" s="19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84"/>
      <c r="D334" s="14"/>
      <c r="E334" s="14"/>
      <c r="F334" s="14"/>
      <c r="G334" s="14"/>
      <c r="H334" s="14"/>
      <c r="I334" s="14"/>
      <c r="J334" s="14"/>
      <c r="K334" s="19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84"/>
      <c r="D335" s="14"/>
      <c r="E335" s="14"/>
      <c r="F335" s="14"/>
      <c r="G335" s="14"/>
      <c r="H335" s="14"/>
      <c r="I335" s="14"/>
      <c r="J335" s="14"/>
      <c r="K335" s="19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84"/>
      <c r="D336" s="14"/>
      <c r="E336" s="14"/>
      <c r="F336" s="14"/>
      <c r="G336" s="14"/>
      <c r="H336" s="14"/>
      <c r="I336" s="14"/>
      <c r="J336" s="14"/>
      <c r="K336" s="19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84"/>
      <c r="D337" s="14"/>
      <c r="E337" s="14"/>
      <c r="F337" s="14"/>
      <c r="G337" s="14"/>
      <c r="H337" s="14"/>
      <c r="I337" s="14"/>
      <c r="J337" s="14"/>
      <c r="K337" s="19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84"/>
      <c r="D338" s="14"/>
      <c r="E338" s="14"/>
      <c r="F338" s="14"/>
      <c r="G338" s="14"/>
      <c r="H338" s="14"/>
      <c r="I338" s="14"/>
      <c r="J338" s="14"/>
      <c r="K338" s="19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84"/>
      <c r="D339" s="14"/>
      <c r="E339" s="14"/>
      <c r="F339" s="14"/>
      <c r="G339" s="14"/>
      <c r="H339" s="14"/>
      <c r="I339" s="14"/>
      <c r="J339" s="14"/>
      <c r="K339" s="19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84"/>
      <c r="D340" s="14"/>
      <c r="E340" s="14"/>
      <c r="F340" s="14"/>
      <c r="G340" s="14"/>
      <c r="H340" s="14"/>
      <c r="I340" s="14"/>
      <c r="J340" s="14"/>
      <c r="K340" s="19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84"/>
      <c r="D341" s="14"/>
      <c r="E341" s="14"/>
      <c r="F341" s="14"/>
      <c r="G341" s="14"/>
      <c r="H341" s="14"/>
      <c r="I341" s="14"/>
      <c r="J341" s="14"/>
      <c r="K341" s="19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84"/>
      <c r="D342" s="14"/>
      <c r="E342" s="14"/>
      <c r="F342" s="14"/>
      <c r="G342" s="14"/>
      <c r="H342" s="14"/>
      <c r="I342" s="14"/>
      <c r="J342" s="14"/>
      <c r="K342" s="19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84"/>
      <c r="D343" s="14"/>
      <c r="E343" s="14"/>
      <c r="F343" s="14"/>
      <c r="G343" s="14"/>
      <c r="H343" s="14"/>
      <c r="I343" s="14"/>
      <c r="J343" s="14"/>
      <c r="K343" s="19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84"/>
      <c r="D344" s="14"/>
      <c r="E344" s="14"/>
      <c r="F344" s="14"/>
      <c r="G344" s="14"/>
      <c r="H344" s="14"/>
      <c r="I344" s="14"/>
      <c r="J344" s="14"/>
      <c r="K344" s="19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84"/>
      <c r="D345" s="14"/>
      <c r="E345" s="14"/>
      <c r="F345" s="14"/>
      <c r="G345" s="14"/>
      <c r="H345" s="14"/>
      <c r="I345" s="14"/>
      <c r="J345" s="14"/>
      <c r="K345" s="19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84"/>
      <c r="D346" s="14"/>
      <c r="E346" s="14"/>
      <c r="F346" s="14"/>
      <c r="G346" s="14"/>
      <c r="H346" s="14"/>
      <c r="I346" s="14"/>
      <c r="J346" s="14"/>
      <c r="K346" s="19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84"/>
      <c r="D347" s="14"/>
      <c r="E347" s="14"/>
      <c r="F347" s="14"/>
      <c r="G347" s="14"/>
      <c r="H347" s="14"/>
      <c r="I347" s="14"/>
      <c r="J347" s="14"/>
      <c r="K347" s="19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84"/>
      <c r="D348" s="14"/>
      <c r="E348" s="14"/>
      <c r="F348" s="14"/>
      <c r="G348" s="14"/>
      <c r="H348" s="14"/>
      <c r="I348" s="14"/>
      <c r="J348" s="14"/>
      <c r="K348" s="19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84"/>
      <c r="D349" s="14"/>
      <c r="E349" s="14"/>
      <c r="F349" s="14"/>
      <c r="G349" s="14"/>
      <c r="H349" s="14"/>
      <c r="I349" s="14"/>
      <c r="J349" s="14"/>
      <c r="K349" s="19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84"/>
      <c r="D350" s="14"/>
      <c r="E350" s="14"/>
      <c r="F350" s="14"/>
      <c r="G350" s="14"/>
      <c r="H350" s="14"/>
      <c r="I350" s="14"/>
      <c r="J350" s="14"/>
      <c r="K350" s="19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84"/>
      <c r="D351" s="14"/>
      <c r="E351" s="14"/>
      <c r="F351" s="14"/>
      <c r="G351" s="14"/>
      <c r="H351" s="14"/>
      <c r="I351" s="14"/>
      <c r="J351" s="14"/>
      <c r="K351" s="19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84"/>
      <c r="D352" s="14"/>
      <c r="E352" s="14"/>
      <c r="F352" s="14"/>
      <c r="G352" s="14"/>
      <c r="H352" s="14"/>
      <c r="I352" s="14"/>
      <c r="J352" s="14"/>
      <c r="K352" s="19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84"/>
      <c r="D353" s="14"/>
      <c r="E353" s="14"/>
      <c r="F353" s="14"/>
      <c r="G353" s="14"/>
      <c r="H353" s="14"/>
      <c r="I353" s="14"/>
      <c r="J353" s="14"/>
      <c r="K353" s="19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84"/>
      <c r="D354" s="14"/>
      <c r="E354" s="14"/>
      <c r="F354" s="14"/>
      <c r="G354" s="14"/>
      <c r="H354" s="14"/>
      <c r="I354" s="14"/>
      <c r="J354" s="14"/>
      <c r="K354" s="19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84"/>
      <c r="D355" s="14"/>
      <c r="E355" s="14"/>
      <c r="F355" s="14"/>
      <c r="G355" s="14"/>
      <c r="H355" s="14"/>
      <c r="I355" s="14"/>
      <c r="J355" s="14"/>
      <c r="K355" s="19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84"/>
      <c r="D356" s="14"/>
      <c r="E356" s="14"/>
      <c r="F356" s="14"/>
      <c r="G356" s="14"/>
      <c r="H356" s="14"/>
      <c r="I356" s="14"/>
      <c r="J356" s="14"/>
      <c r="K356" s="19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84"/>
      <c r="D357" s="14"/>
      <c r="E357" s="14"/>
      <c r="F357" s="14"/>
      <c r="G357" s="14"/>
      <c r="H357" s="14"/>
      <c r="I357" s="14"/>
      <c r="J357" s="14"/>
      <c r="K357" s="19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84"/>
      <c r="D358" s="14"/>
      <c r="E358" s="14"/>
      <c r="F358" s="14"/>
      <c r="G358" s="14"/>
      <c r="H358" s="14"/>
      <c r="I358" s="14"/>
      <c r="J358" s="14"/>
      <c r="K358" s="19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84"/>
      <c r="D359" s="14"/>
      <c r="E359" s="14"/>
      <c r="F359" s="14"/>
      <c r="G359" s="14"/>
      <c r="H359" s="14"/>
      <c r="I359" s="14"/>
      <c r="J359" s="14"/>
      <c r="K359" s="19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84"/>
      <c r="D360" s="14"/>
      <c r="E360" s="14"/>
      <c r="F360" s="14"/>
      <c r="G360" s="14"/>
      <c r="H360" s="14"/>
      <c r="I360" s="14"/>
      <c r="J360" s="14"/>
      <c r="K360" s="19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84"/>
      <c r="D361" s="14"/>
      <c r="E361" s="14"/>
      <c r="F361" s="14"/>
      <c r="G361" s="14"/>
      <c r="H361" s="14"/>
      <c r="I361" s="14"/>
      <c r="J361" s="14"/>
      <c r="K361" s="19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84"/>
      <c r="D362" s="14"/>
      <c r="E362" s="14"/>
      <c r="F362" s="14"/>
      <c r="G362" s="14"/>
      <c r="H362" s="14"/>
      <c r="I362" s="14"/>
      <c r="J362" s="14"/>
      <c r="K362" s="19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84"/>
      <c r="D363" s="14"/>
      <c r="E363" s="14"/>
      <c r="F363" s="14"/>
      <c r="G363" s="14"/>
      <c r="H363" s="14"/>
      <c r="I363" s="14"/>
      <c r="J363" s="14"/>
      <c r="K363" s="19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84"/>
      <c r="D364" s="14"/>
      <c r="E364" s="14"/>
      <c r="F364" s="14"/>
      <c r="G364" s="14"/>
      <c r="H364" s="14"/>
      <c r="I364" s="14"/>
      <c r="J364" s="14"/>
      <c r="K364" s="19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84"/>
      <c r="D365" s="14"/>
      <c r="E365" s="14"/>
      <c r="F365" s="14"/>
      <c r="G365" s="14"/>
      <c r="H365" s="14"/>
      <c r="I365" s="14"/>
      <c r="J365" s="14"/>
      <c r="K365" s="19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84"/>
      <c r="D366" s="14"/>
      <c r="E366" s="14"/>
      <c r="F366" s="14"/>
      <c r="G366" s="14"/>
      <c r="H366" s="14"/>
      <c r="I366" s="14"/>
      <c r="J366" s="14"/>
      <c r="K366" s="19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84"/>
      <c r="D367" s="14"/>
      <c r="E367" s="14"/>
      <c r="F367" s="14"/>
      <c r="G367" s="14"/>
      <c r="H367" s="14"/>
      <c r="I367" s="14"/>
      <c r="J367" s="14"/>
      <c r="K367" s="19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84"/>
      <c r="D368" s="14"/>
      <c r="E368" s="14"/>
      <c r="F368" s="14"/>
      <c r="G368" s="14"/>
      <c r="H368" s="14"/>
      <c r="I368" s="14"/>
      <c r="J368" s="14"/>
      <c r="K368" s="19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84"/>
      <c r="D369" s="14"/>
      <c r="E369" s="14"/>
      <c r="F369" s="14"/>
      <c r="G369" s="14"/>
      <c r="H369" s="14"/>
      <c r="I369" s="14"/>
      <c r="J369" s="14"/>
      <c r="K369" s="19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84"/>
      <c r="D370" s="14"/>
      <c r="E370" s="14"/>
      <c r="F370" s="14"/>
      <c r="G370" s="14"/>
      <c r="H370" s="14"/>
      <c r="I370" s="14"/>
      <c r="J370" s="14"/>
      <c r="K370" s="19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84"/>
      <c r="D371" s="14"/>
      <c r="E371" s="14"/>
      <c r="F371" s="14"/>
      <c r="G371" s="14"/>
      <c r="H371" s="14"/>
      <c r="I371" s="14"/>
      <c r="J371" s="14"/>
      <c r="K371" s="19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84"/>
      <c r="D372" s="14"/>
      <c r="E372" s="14"/>
      <c r="F372" s="14"/>
      <c r="G372" s="14"/>
      <c r="H372" s="14"/>
      <c r="I372" s="14"/>
      <c r="J372" s="14"/>
      <c r="K372" s="19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84"/>
      <c r="D373" s="14"/>
      <c r="E373" s="14"/>
      <c r="F373" s="14"/>
      <c r="G373" s="14"/>
      <c r="H373" s="14"/>
      <c r="I373" s="14"/>
      <c r="J373" s="14"/>
      <c r="K373" s="19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84"/>
      <c r="D374" s="14"/>
      <c r="E374" s="14"/>
      <c r="F374" s="14"/>
      <c r="G374" s="14"/>
      <c r="H374" s="14"/>
      <c r="I374" s="14"/>
      <c r="J374" s="14"/>
      <c r="K374" s="19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84"/>
      <c r="D375" s="14"/>
      <c r="E375" s="14"/>
      <c r="F375" s="14"/>
      <c r="G375" s="14"/>
      <c r="H375" s="14"/>
      <c r="I375" s="14"/>
      <c r="J375" s="14"/>
      <c r="K375" s="19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84"/>
      <c r="D376" s="14"/>
      <c r="E376" s="14"/>
      <c r="F376" s="14"/>
      <c r="G376" s="14"/>
      <c r="H376" s="14"/>
      <c r="I376" s="14"/>
      <c r="J376" s="14"/>
      <c r="K376" s="19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84"/>
      <c r="D377" s="14"/>
      <c r="E377" s="14"/>
      <c r="F377" s="14"/>
      <c r="G377" s="14"/>
      <c r="H377" s="14"/>
      <c r="I377" s="14"/>
      <c r="J377" s="14"/>
      <c r="K377" s="19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84"/>
      <c r="D378" s="14"/>
      <c r="E378" s="14"/>
      <c r="F378" s="14"/>
      <c r="G378" s="14"/>
      <c r="H378" s="14"/>
      <c r="I378" s="14"/>
      <c r="J378" s="14"/>
      <c r="K378" s="19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84"/>
      <c r="D379" s="14"/>
      <c r="E379" s="14"/>
      <c r="F379" s="14"/>
      <c r="G379" s="14"/>
      <c r="H379" s="14"/>
      <c r="I379" s="14"/>
      <c r="J379" s="14"/>
      <c r="K379" s="19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84"/>
      <c r="D380" s="14"/>
      <c r="E380" s="14"/>
      <c r="F380" s="14"/>
      <c r="G380" s="14"/>
      <c r="H380" s="14"/>
      <c r="I380" s="14"/>
      <c r="J380" s="14"/>
      <c r="K380" s="19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84"/>
      <c r="D381" s="14"/>
      <c r="E381" s="14"/>
      <c r="F381" s="14"/>
      <c r="G381" s="14"/>
      <c r="H381" s="14"/>
      <c r="I381" s="14"/>
      <c r="J381" s="14"/>
      <c r="K381" s="19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84"/>
      <c r="D382" s="14"/>
      <c r="E382" s="14"/>
      <c r="F382" s="14"/>
      <c r="G382" s="14"/>
      <c r="H382" s="14"/>
      <c r="I382" s="14"/>
      <c r="J382" s="14"/>
      <c r="K382" s="19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84"/>
      <c r="D383" s="14"/>
      <c r="E383" s="14"/>
      <c r="F383" s="14"/>
      <c r="G383" s="14"/>
      <c r="H383" s="14"/>
      <c r="I383" s="14"/>
      <c r="J383" s="14"/>
      <c r="K383" s="19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84"/>
      <c r="D384" s="14"/>
      <c r="E384" s="14"/>
      <c r="F384" s="14"/>
      <c r="G384" s="14"/>
      <c r="H384" s="14"/>
      <c r="I384" s="14"/>
      <c r="J384" s="14"/>
      <c r="K384" s="19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84"/>
      <c r="D385" s="14"/>
      <c r="E385" s="14"/>
      <c r="F385" s="14"/>
      <c r="G385" s="14"/>
      <c r="H385" s="14"/>
      <c r="I385" s="14"/>
      <c r="J385" s="14"/>
      <c r="K385" s="19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84"/>
      <c r="D386" s="14"/>
      <c r="E386" s="14"/>
      <c r="F386" s="14"/>
      <c r="G386" s="14"/>
      <c r="H386" s="14"/>
      <c r="I386" s="14"/>
      <c r="J386" s="14"/>
      <c r="K386" s="19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84"/>
      <c r="D387" s="14"/>
      <c r="E387" s="14"/>
      <c r="F387" s="14"/>
      <c r="G387" s="14"/>
      <c r="H387" s="14"/>
      <c r="I387" s="14"/>
      <c r="J387" s="14"/>
      <c r="K387" s="19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84"/>
      <c r="D388" s="14"/>
      <c r="E388" s="14"/>
      <c r="F388" s="14"/>
      <c r="G388" s="14"/>
      <c r="H388" s="14"/>
      <c r="I388" s="14"/>
      <c r="J388" s="14"/>
      <c r="K388" s="19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84"/>
      <c r="D389" s="14"/>
      <c r="E389" s="14"/>
      <c r="F389" s="14"/>
      <c r="G389" s="14"/>
      <c r="H389" s="14"/>
      <c r="I389" s="14"/>
      <c r="J389" s="14"/>
      <c r="K389" s="19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84"/>
      <c r="D390" s="14"/>
      <c r="E390" s="14"/>
      <c r="F390" s="14"/>
      <c r="G390" s="14"/>
      <c r="H390" s="14"/>
      <c r="I390" s="14"/>
      <c r="J390" s="14"/>
      <c r="K390" s="19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84"/>
      <c r="D391" s="14"/>
      <c r="E391" s="14"/>
      <c r="F391" s="14"/>
      <c r="G391" s="14"/>
      <c r="H391" s="14"/>
      <c r="I391" s="14"/>
      <c r="J391" s="14"/>
      <c r="K391" s="19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84"/>
      <c r="D392" s="14"/>
      <c r="E392" s="14"/>
      <c r="F392" s="14"/>
      <c r="G392" s="14"/>
      <c r="H392" s="14"/>
      <c r="I392" s="14"/>
      <c r="J392" s="14"/>
      <c r="K392" s="19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84"/>
      <c r="D393" s="14"/>
      <c r="E393" s="14"/>
      <c r="F393" s="14"/>
      <c r="G393" s="14"/>
      <c r="H393" s="14"/>
      <c r="I393" s="14"/>
      <c r="J393" s="14"/>
      <c r="K393" s="19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84"/>
      <c r="D394" s="14"/>
      <c r="E394" s="14"/>
      <c r="F394" s="14"/>
      <c r="G394" s="14"/>
      <c r="H394" s="14"/>
      <c r="I394" s="14"/>
      <c r="J394" s="14"/>
      <c r="K394" s="19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84"/>
      <c r="D395" s="14"/>
      <c r="E395" s="14"/>
      <c r="F395" s="14"/>
      <c r="G395" s="14"/>
      <c r="H395" s="14"/>
      <c r="I395" s="14"/>
      <c r="J395" s="14"/>
      <c r="K395" s="19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84"/>
      <c r="D396" s="14"/>
      <c r="E396" s="14"/>
      <c r="F396" s="14"/>
      <c r="G396" s="14"/>
      <c r="H396" s="14"/>
      <c r="I396" s="14"/>
      <c r="J396" s="14"/>
      <c r="K396" s="19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84"/>
      <c r="D397" s="14"/>
      <c r="E397" s="14"/>
      <c r="F397" s="14"/>
      <c r="G397" s="14"/>
      <c r="H397" s="14"/>
      <c r="I397" s="14"/>
      <c r="J397" s="14"/>
      <c r="K397" s="19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84"/>
      <c r="D398" s="14"/>
      <c r="E398" s="14"/>
      <c r="F398" s="14"/>
      <c r="G398" s="14"/>
      <c r="H398" s="14"/>
      <c r="I398" s="14"/>
      <c r="J398" s="14"/>
      <c r="K398" s="19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84"/>
      <c r="D399" s="14"/>
      <c r="E399" s="14"/>
      <c r="F399" s="14"/>
      <c r="G399" s="14"/>
      <c r="H399" s="14"/>
      <c r="I399" s="14"/>
      <c r="J399" s="14"/>
      <c r="K399" s="19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84"/>
      <c r="D400" s="14"/>
      <c r="E400" s="14"/>
      <c r="F400" s="14"/>
      <c r="G400" s="14"/>
      <c r="H400" s="14"/>
      <c r="I400" s="14"/>
      <c r="J400" s="14"/>
      <c r="K400" s="19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84"/>
      <c r="D401" s="14"/>
      <c r="E401" s="14"/>
      <c r="F401" s="14"/>
      <c r="G401" s="14"/>
      <c r="H401" s="14"/>
      <c r="I401" s="14"/>
      <c r="J401" s="14"/>
      <c r="K401" s="19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84"/>
      <c r="D402" s="14"/>
      <c r="E402" s="14"/>
      <c r="F402" s="14"/>
      <c r="G402" s="14"/>
      <c r="H402" s="14"/>
      <c r="I402" s="14"/>
      <c r="J402" s="14"/>
      <c r="K402" s="19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84"/>
      <c r="D403" s="14"/>
      <c r="E403" s="14"/>
      <c r="F403" s="14"/>
      <c r="G403" s="14"/>
      <c r="H403" s="14"/>
      <c r="I403" s="14"/>
      <c r="J403" s="14"/>
      <c r="K403" s="19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84"/>
      <c r="D404" s="14"/>
      <c r="E404" s="14"/>
      <c r="F404" s="14"/>
      <c r="G404" s="14"/>
      <c r="H404" s="14"/>
      <c r="I404" s="14"/>
      <c r="J404" s="14"/>
      <c r="K404" s="19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84"/>
      <c r="D405" s="14"/>
      <c r="E405" s="14"/>
      <c r="F405" s="14"/>
      <c r="G405" s="14"/>
      <c r="H405" s="14"/>
      <c r="I405" s="14"/>
      <c r="J405" s="14"/>
      <c r="K405" s="19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84"/>
      <c r="D406" s="14"/>
      <c r="E406" s="14"/>
      <c r="F406" s="14"/>
      <c r="G406" s="14"/>
      <c r="H406" s="14"/>
      <c r="I406" s="14"/>
      <c r="J406" s="14"/>
      <c r="K406" s="19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84"/>
      <c r="D407" s="14"/>
      <c r="E407" s="14"/>
      <c r="F407" s="14"/>
      <c r="G407" s="14"/>
      <c r="H407" s="14"/>
      <c r="I407" s="14"/>
      <c r="J407" s="14"/>
      <c r="K407" s="19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84"/>
      <c r="D408" s="14"/>
      <c r="E408" s="14"/>
      <c r="F408" s="14"/>
      <c r="G408" s="14"/>
      <c r="H408" s="14"/>
      <c r="I408" s="14"/>
      <c r="J408" s="14"/>
      <c r="K408" s="19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84"/>
      <c r="D409" s="14"/>
      <c r="E409" s="14"/>
      <c r="F409" s="14"/>
      <c r="G409" s="14"/>
      <c r="H409" s="14"/>
      <c r="I409" s="14"/>
      <c r="J409" s="14"/>
      <c r="K409" s="19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84"/>
      <c r="D410" s="14"/>
      <c r="E410" s="14"/>
      <c r="F410" s="14"/>
      <c r="G410" s="14"/>
      <c r="H410" s="14"/>
      <c r="I410" s="14"/>
      <c r="J410" s="14"/>
      <c r="K410" s="19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84"/>
      <c r="D411" s="14"/>
      <c r="E411" s="14"/>
      <c r="F411" s="14"/>
      <c r="G411" s="14"/>
      <c r="H411" s="14"/>
      <c r="I411" s="14"/>
      <c r="J411" s="14"/>
      <c r="K411" s="19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84"/>
      <c r="D412" s="14"/>
      <c r="E412" s="14"/>
      <c r="F412" s="14"/>
      <c r="G412" s="14"/>
      <c r="H412" s="14"/>
      <c r="I412" s="14"/>
      <c r="J412" s="14"/>
      <c r="K412" s="19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84"/>
      <c r="D413" s="14"/>
      <c r="E413" s="14"/>
      <c r="F413" s="14"/>
      <c r="G413" s="14"/>
      <c r="H413" s="14"/>
      <c r="I413" s="14"/>
      <c r="J413" s="14"/>
      <c r="K413" s="19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84"/>
      <c r="D414" s="14"/>
      <c r="E414" s="14"/>
      <c r="F414" s="14"/>
      <c r="G414" s="14"/>
      <c r="H414" s="14"/>
      <c r="I414" s="14"/>
      <c r="J414" s="14"/>
      <c r="K414" s="19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84"/>
      <c r="D415" s="14"/>
      <c r="E415" s="14"/>
      <c r="F415" s="14"/>
      <c r="G415" s="14"/>
      <c r="H415" s="14"/>
      <c r="I415" s="14"/>
      <c r="J415" s="14"/>
      <c r="K415" s="19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84"/>
      <c r="D416" s="14"/>
      <c r="E416" s="14"/>
      <c r="F416" s="14"/>
      <c r="G416" s="14"/>
      <c r="H416" s="14"/>
      <c r="I416" s="14"/>
      <c r="J416" s="14"/>
      <c r="K416" s="19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84"/>
      <c r="D417" s="14"/>
      <c r="E417" s="14"/>
      <c r="F417" s="14"/>
      <c r="G417" s="14"/>
      <c r="H417" s="14"/>
      <c r="I417" s="14"/>
      <c r="J417" s="14"/>
      <c r="K417" s="19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84"/>
      <c r="D418" s="14"/>
      <c r="E418" s="14"/>
      <c r="F418" s="14"/>
      <c r="G418" s="14"/>
      <c r="H418" s="14"/>
      <c r="I418" s="14"/>
      <c r="J418" s="14"/>
      <c r="K418" s="19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84"/>
      <c r="D419" s="14"/>
      <c r="E419" s="14"/>
      <c r="F419" s="14"/>
      <c r="G419" s="14"/>
      <c r="H419" s="14"/>
      <c r="I419" s="14"/>
      <c r="J419" s="14"/>
      <c r="K419" s="19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84"/>
      <c r="D420" s="14"/>
      <c r="E420" s="14"/>
      <c r="F420" s="14"/>
      <c r="G420" s="14"/>
      <c r="H420" s="14"/>
      <c r="I420" s="14"/>
      <c r="J420" s="14"/>
      <c r="K420" s="19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84"/>
      <c r="D421" s="14"/>
      <c r="E421" s="14"/>
      <c r="F421" s="14"/>
      <c r="G421" s="14"/>
      <c r="H421" s="14"/>
      <c r="I421" s="14"/>
      <c r="J421" s="14"/>
      <c r="K421" s="19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84"/>
      <c r="D422" s="14"/>
      <c r="E422" s="14"/>
      <c r="F422" s="14"/>
      <c r="G422" s="14"/>
      <c r="H422" s="14"/>
      <c r="I422" s="14"/>
      <c r="J422" s="14"/>
      <c r="K422" s="19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84"/>
      <c r="D423" s="14"/>
      <c r="E423" s="14"/>
      <c r="F423" s="14"/>
      <c r="G423" s="14"/>
      <c r="H423" s="14"/>
      <c r="I423" s="14"/>
      <c r="J423" s="14"/>
      <c r="K423" s="19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84"/>
      <c r="D424" s="14"/>
      <c r="E424" s="14"/>
      <c r="F424" s="14"/>
      <c r="G424" s="14"/>
      <c r="H424" s="14"/>
      <c r="I424" s="14"/>
      <c r="J424" s="14"/>
      <c r="K424" s="19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84"/>
      <c r="D425" s="14"/>
      <c r="E425" s="14"/>
      <c r="F425" s="14"/>
      <c r="G425" s="14"/>
      <c r="H425" s="14"/>
      <c r="I425" s="14"/>
      <c r="J425" s="14"/>
      <c r="K425" s="19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84"/>
      <c r="D426" s="14"/>
      <c r="E426" s="14"/>
      <c r="F426" s="14"/>
      <c r="G426" s="14"/>
      <c r="H426" s="14"/>
      <c r="I426" s="14"/>
      <c r="J426" s="14"/>
      <c r="K426" s="19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84"/>
      <c r="D427" s="14"/>
      <c r="E427" s="14"/>
      <c r="F427" s="14"/>
      <c r="G427" s="14"/>
      <c r="H427" s="14"/>
      <c r="I427" s="14"/>
      <c r="J427" s="14"/>
      <c r="K427" s="19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84"/>
      <c r="D428" s="14"/>
      <c r="E428" s="14"/>
      <c r="F428" s="14"/>
      <c r="G428" s="14"/>
      <c r="H428" s="14"/>
      <c r="I428" s="14"/>
      <c r="J428" s="14"/>
      <c r="K428" s="19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84"/>
      <c r="D429" s="14"/>
      <c r="E429" s="14"/>
      <c r="F429" s="14"/>
      <c r="G429" s="14"/>
      <c r="H429" s="14"/>
      <c r="I429" s="14"/>
      <c r="J429" s="14"/>
      <c r="K429" s="19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84"/>
      <c r="D430" s="14"/>
      <c r="E430" s="14"/>
      <c r="F430" s="14"/>
      <c r="G430" s="14"/>
      <c r="H430" s="14"/>
      <c r="I430" s="14"/>
      <c r="J430" s="14"/>
      <c r="K430" s="19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84"/>
      <c r="D431" s="14"/>
      <c r="E431" s="14"/>
      <c r="F431" s="14"/>
      <c r="G431" s="14"/>
      <c r="H431" s="14"/>
      <c r="I431" s="14"/>
      <c r="J431" s="14"/>
      <c r="K431" s="19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84"/>
      <c r="D432" s="14"/>
      <c r="E432" s="14"/>
      <c r="F432" s="14"/>
      <c r="G432" s="14"/>
      <c r="H432" s="14"/>
      <c r="I432" s="14"/>
      <c r="J432" s="14"/>
      <c r="K432" s="19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84"/>
      <c r="D433" s="14"/>
      <c r="E433" s="14"/>
      <c r="F433" s="14"/>
      <c r="G433" s="14"/>
      <c r="H433" s="14"/>
      <c r="I433" s="14"/>
      <c r="J433" s="14"/>
      <c r="K433" s="19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84"/>
      <c r="D434" s="14"/>
      <c r="E434" s="14"/>
      <c r="F434" s="14"/>
      <c r="G434" s="14"/>
      <c r="H434" s="14"/>
      <c r="I434" s="14"/>
      <c r="J434" s="14"/>
      <c r="K434" s="19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84"/>
      <c r="D435" s="14"/>
      <c r="E435" s="14"/>
      <c r="F435" s="14"/>
      <c r="G435" s="14"/>
      <c r="H435" s="14"/>
      <c r="I435" s="14"/>
      <c r="J435" s="14"/>
      <c r="K435" s="19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84"/>
      <c r="D436" s="14"/>
      <c r="E436" s="14"/>
      <c r="F436" s="14"/>
      <c r="G436" s="14"/>
      <c r="H436" s="14"/>
      <c r="I436" s="14"/>
      <c r="J436" s="14"/>
      <c r="K436" s="19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84"/>
      <c r="D437" s="14"/>
      <c r="E437" s="14"/>
      <c r="F437" s="14"/>
      <c r="G437" s="14"/>
      <c r="H437" s="14"/>
      <c r="I437" s="14"/>
      <c r="J437" s="14"/>
      <c r="K437" s="19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84"/>
      <c r="D438" s="14"/>
      <c r="E438" s="14"/>
      <c r="F438" s="14"/>
      <c r="G438" s="14"/>
      <c r="H438" s="14"/>
      <c r="I438" s="14"/>
      <c r="J438" s="14"/>
      <c r="K438" s="19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84"/>
      <c r="D439" s="14"/>
      <c r="E439" s="14"/>
      <c r="F439" s="14"/>
      <c r="G439" s="14"/>
      <c r="H439" s="14"/>
      <c r="I439" s="14"/>
      <c r="J439" s="14"/>
      <c r="K439" s="19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84"/>
      <c r="D440" s="14"/>
      <c r="E440" s="14"/>
      <c r="F440" s="14"/>
      <c r="G440" s="14"/>
      <c r="H440" s="14"/>
      <c r="I440" s="14"/>
      <c r="J440" s="14"/>
      <c r="K440" s="19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84"/>
      <c r="D441" s="14"/>
      <c r="E441" s="14"/>
      <c r="F441" s="14"/>
      <c r="G441" s="14"/>
      <c r="H441" s="14"/>
      <c r="I441" s="14"/>
      <c r="J441" s="14"/>
      <c r="K441" s="19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84"/>
      <c r="D442" s="14"/>
      <c r="E442" s="14"/>
      <c r="F442" s="14"/>
      <c r="G442" s="14"/>
      <c r="H442" s="14"/>
      <c r="I442" s="14"/>
      <c r="J442" s="14"/>
      <c r="K442" s="19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84"/>
      <c r="D443" s="14"/>
      <c r="E443" s="14"/>
      <c r="F443" s="14"/>
      <c r="G443" s="14"/>
      <c r="H443" s="14"/>
      <c r="I443" s="14"/>
      <c r="J443" s="14"/>
      <c r="K443" s="19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84"/>
      <c r="D444" s="14"/>
      <c r="E444" s="14"/>
      <c r="F444" s="14"/>
      <c r="G444" s="14"/>
      <c r="H444" s="14"/>
      <c r="I444" s="14"/>
      <c r="J444" s="14"/>
      <c r="K444" s="19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84"/>
      <c r="D445" s="14"/>
      <c r="E445" s="14"/>
      <c r="F445" s="14"/>
      <c r="G445" s="14"/>
      <c r="H445" s="14"/>
      <c r="I445" s="14"/>
      <c r="J445" s="14"/>
      <c r="K445" s="19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84"/>
      <c r="D446" s="14"/>
      <c r="E446" s="14"/>
      <c r="F446" s="14"/>
      <c r="G446" s="14"/>
      <c r="H446" s="14"/>
      <c r="I446" s="14"/>
      <c r="J446" s="14"/>
      <c r="K446" s="19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84"/>
      <c r="D447" s="14"/>
      <c r="E447" s="14"/>
      <c r="F447" s="14"/>
      <c r="G447" s="14"/>
      <c r="H447" s="14"/>
      <c r="I447" s="14"/>
      <c r="J447" s="14"/>
      <c r="K447" s="19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84"/>
      <c r="D448" s="14"/>
      <c r="E448" s="14"/>
      <c r="F448" s="14"/>
      <c r="G448" s="14"/>
      <c r="H448" s="14"/>
      <c r="I448" s="14"/>
      <c r="J448" s="14"/>
      <c r="K448" s="19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84"/>
      <c r="D449" s="14"/>
      <c r="E449" s="14"/>
      <c r="F449" s="14"/>
      <c r="G449" s="14"/>
      <c r="H449" s="14"/>
      <c r="I449" s="14"/>
      <c r="J449" s="14"/>
      <c r="K449" s="19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84"/>
      <c r="D450" s="14"/>
      <c r="E450" s="14"/>
      <c r="F450" s="14"/>
      <c r="G450" s="14"/>
      <c r="H450" s="14"/>
      <c r="I450" s="14"/>
      <c r="J450" s="14"/>
      <c r="K450" s="19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84"/>
      <c r="D451" s="14"/>
      <c r="E451" s="14"/>
      <c r="F451" s="14"/>
      <c r="G451" s="14"/>
      <c r="H451" s="14"/>
      <c r="I451" s="14"/>
      <c r="J451" s="14"/>
      <c r="K451" s="19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84"/>
      <c r="D452" s="14"/>
      <c r="E452" s="14"/>
      <c r="F452" s="14"/>
      <c r="G452" s="14"/>
      <c r="H452" s="14"/>
      <c r="I452" s="14"/>
      <c r="J452" s="14"/>
      <c r="K452" s="19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84"/>
      <c r="D453" s="14"/>
      <c r="E453" s="14"/>
      <c r="F453" s="14"/>
      <c r="G453" s="14"/>
      <c r="H453" s="14"/>
      <c r="I453" s="14"/>
      <c r="J453" s="14"/>
      <c r="K453" s="19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84"/>
      <c r="D454" s="14"/>
      <c r="E454" s="14"/>
      <c r="F454" s="14"/>
      <c r="G454" s="14"/>
      <c r="H454" s="14"/>
      <c r="I454" s="14"/>
      <c r="J454" s="14"/>
      <c r="K454" s="19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84"/>
      <c r="D455" s="14"/>
      <c r="E455" s="14"/>
      <c r="F455" s="14"/>
      <c r="G455" s="14"/>
      <c r="H455" s="14"/>
      <c r="I455" s="14"/>
      <c r="J455" s="14"/>
      <c r="K455" s="19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84"/>
      <c r="D456" s="14"/>
      <c r="E456" s="14"/>
      <c r="F456" s="14"/>
      <c r="G456" s="14"/>
      <c r="H456" s="14"/>
      <c r="I456" s="14"/>
      <c r="J456" s="14"/>
      <c r="K456" s="19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84"/>
      <c r="D457" s="14"/>
      <c r="E457" s="14"/>
      <c r="F457" s="14"/>
      <c r="G457" s="14"/>
      <c r="H457" s="14"/>
      <c r="I457" s="14"/>
      <c r="J457" s="14"/>
      <c r="K457" s="19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84"/>
      <c r="D458" s="14"/>
      <c r="E458" s="14"/>
      <c r="F458" s="14"/>
      <c r="G458" s="14"/>
      <c r="H458" s="14"/>
      <c r="I458" s="14"/>
      <c r="J458" s="14"/>
      <c r="K458" s="19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84"/>
      <c r="D459" s="14"/>
      <c r="E459" s="14"/>
      <c r="F459" s="14"/>
      <c r="G459" s="14"/>
      <c r="H459" s="14"/>
      <c r="I459" s="14"/>
      <c r="J459" s="14"/>
      <c r="K459" s="19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84"/>
      <c r="D460" s="14"/>
      <c r="E460" s="14"/>
      <c r="F460" s="14"/>
      <c r="G460" s="14"/>
      <c r="H460" s="14"/>
      <c r="I460" s="14"/>
      <c r="J460" s="14"/>
      <c r="K460" s="19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84"/>
      <c r="D461" s="14"/>
      <c r="E461" s="14"/>
      <c r="F461" s="14"/>
      <c r="G461" s="14"/>
      <c r="H461" s="14"/>
      <c r="I461" s="14"/>
      <c r="J461" s="14"/>
      <c r="K461" s="19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84"/>
      <c r="D462" s="14"/>
      <c r="E462" s="14"/>
      <c r="F462" s="14"/>
      <c r="G462" s="14"/>
      <c r="H462" s="14"/>
      <c r="I462" s="14"/>
      <c r="J462" s="14"/>
      <c r="K462" s="19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84"/>
      <c r="D463" s="14"/>
      <c r="E463" s="14"/>
      <c r="F463" s="14"/>
      <c r="G463" s="14"/>
      <c r="H463" s="14"/>
      <c r="I463" s="14"/>
      <c r="J463" s="14"/>
      <c r="K463" s="19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84"/>
      <c r="D464" s="14"/>
      <c r="E464" s="14"/>
      <c r="F464" s="14"/>
      <c r="G464" s="14"/>
      <c r="H464" s="14"/>
      <c r="I464" s="14"/>
      <c r="J464" s="14"/>
      <c r="K464" s="19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84"/>
      <c r="D465" s="14"/>
      <c r="E465" s="14"/>
      <c r="F465" s="14"/>
      <c r="G465" s="14"/>
      <c r="H465" s="14"/>
      <c r="I465" s="14"/>
      <c r="J465" s="14"/>
      <c r="K465" s="19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84"/>
      <c r="D466" s="14"/>
      <c r="E466" s="14"/>
      <c r="F466" s="14"/>
      <c r="G466" s="14"/>
      <c r="H466" s="14"/>
      <c r="I466" s="14"/>
      <c r="J466" s="14"/>
      <c r="K466" s="19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84"/>
      <c r="D467" s="14"/>
      <c r="E467" s="14"/>
      <c r="F467" s="14"/>
      <c r="G467" s="14"/>
      <c r="H467" s="14"/>
      <c r="I467" s="14"/>
      <c r="J467" s="14"/>
      <c r="K467" s="19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84"/>
      <c r="D468" s="14"/>
      <c r="E468" s="14"/>
      <c r="F468" s="14"/>
      <c r="G468" s="14"/>
      <c r="H468" s="14"/>
      <c r="I468" s="14"/>
      <c r="J468" s="14"/>
      <c r="K468" s="19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84"/>
      <c r="D469" s="14"/>
      <c r="E469" s="14"/>
      <c r="F469" s="14"/>
      <c r="G469" s="14"/>
      <c r="H469" s="14"/>
      <c r="I469" s="14"/>
      <c r="J469" s="14"/>
      <c r="K469" s="19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84"/>
      <c r="D470" s="14"/>
      <c r="E470" s="14"/>
      <c r="F470" s="14"/>
      <c r="G470" s="14"/>
      <c r="H470" s="14"/>
      <c r="I470" s="14"/>
      <c r="J470" s="14"/>
      <c r="K470" s="19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84"/>
      <c r="D471" s="14"/>
      <c r="E471" s="14"/>
      <c r="F471" s="14"/>
      <c r="G471" s="14"/>
      <c r="H471" s="14"/>
      <c r="I471" s="14"/>
      <c r="J471" s="14"/>
      <c r="K471" s="19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84"/>
      <c r="D472" s="14"/>
      <c r="E472" s="14"/>
      <c r="F472" s="14"/>
      <c r="G472" s="14"/>
      <c r="H472" s="14"/>
      <c r="I472" s="14"/>
      <c r="J472" s="14"/>
      <c r="K472" s="19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84"/>
      <c r="D473" s="14"/>
      <c r="E473" s="14"/>
      <c r="F473" s="14"/>
      <c r="G473" s="14"/>
      <c r="H473" s="14"/>
      <c r="I473" s="14"/>
      <c r="J473" s="14"/>
      <c r="K473" s="19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84"/>
      <c r="D474" s="14"/>
      <c r="E474" s="14"/>
      <c r="F474" s="14"/>
      <c r="G474" s="14"/>
      <c r="H474" s="14"/>
      <c r="I474" s="14"/>
      <c r="J474" s="14"/>
      <c r="K474" s="19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84"/>
      <c r="D475" s="14"/>
      <c r="E475" s="14"/>
      <c r="F475" s="14"/>
      <c r="G475" s="14"/>
      <c r="H475" s="14"/>
      <c r="I475" s="14"/>
      <c r="J475" s="14"/>
      <c r="K475" s="19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84"/>
      <c r="D476" s="14"/>
      <c r="E476" s="14"/>
      <c r="F476" s="14"/>
      <c r="G476" s="14"/>
      <c r="H476" s="14"/>
      <c r="I476" s="14"/>
      <c r="J476" s="14"/>
      <c r="K476" s="19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84"/>
      <c r="D477" s="14"/>
      <c r="E477" s="14"/>
      <c r="F477" s="14"/>
      <c r="G477" s="14"/>
      <c r="H477" s="14"/>
      <c r="I477" s="14"/>
      <c r="J477" s="14"/>
      <c r="K477" s="19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84"/>
      <c r="D478" s="14"/>
      <c r="E478" s="14"/>
      <c r="F478" s="14"/>
      <c r="G478" s="14"/>
      <c r="H478" s="14"/>
      <c r="I478" s="14"/>
      <c r="J478" s="14"/>
      <c r="K478" s="19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84"/>
      <c r="D479" s="14"/>
      <c r="E479" s="14"/>
      <c r="F479" s="14"/>
      <c r="G479" s="14"/>
      <c r="H479" s="14"/>
      <c r="I479" s="14"/>
      <c r="J479" s="14"/>
      <c r="K479" s="19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84"/>
      <c r="D480" s="14"/>
      <c r="E480" s="14"/>
      <c r="F480" s="14"/>
      <c r="G480" s="14"/>
      <c r="H480" s="14"/>
      <c r="I480" s="14"/>
      <c r="J480" s="14"/>
      <c r="K480" s="19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84"/>
      <c r="D481" s="14"/>
      <c r="E481" s="14"/>
      <c r="F481" s="14"/>
      <c r="G481" s="14"/>
      <c r="H481" s="14"/>
      <c r="I481" s="14"/>
      <c r="J481" s="14"/>
      <c r="K481" s="19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84"/>
      <c r="D482" s="14"/>
      <c r="E482" s="14"/>
      <c r="F482" s="14"/>
      <c r="G482" s="14"/>
      <c r="H482" s="14"/>
      <c r="I482" s="14"/>
      <c r="J482" s="14"/>
      <c r="K482" s="19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84"/>
      <c r="D483" s="14"/>
      <c r="E483" s="14"/>
      <c r="F483" s="14"/>
      <c r="G483" s="14"/>
      <c r="H483" s="14"/>
      <c r="I483" s="14"/>
      <c r="J483" s="14"/>
      <c r="K483" s="19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84"/>
      <c r="D484" s="14"/>
      <c r="E484" s="14"/>
      <c r="F484" s="14"/>
      <c r="G484" s="14"/>
      <c r="H484" s="14"/>
      <c r="I484" s="14"/>
      <c r="J484" s="14"/>
      <c r="K484" s="19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84"/>
      <c r="D485" s="14"/>
      <c r="E485" s="14"/>
      <c r="F485" s="14"/>
      <c r="G485" s="14"/>
      <c r="H485" s="14"/>
      <c r="I485" s="14"/>
      <c r="J485" s="14"/>
      <c r="K485" s="19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84"/>
      <c r="D486" s="14"/>
      <c r="E486" s="14"/>
      <c r="F486" s="14"/>
      <c r="G486" s="14"/>
      <c r="H486" s="14"/>
      <c r="I486" s="14"/>
      <c r="J486" s="14"/>
      <c r="K486" s="19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84"/>
      <c r="D487" s="14"/>
      <c r="E487" s="14"/>
      <c r="F487" s="14"/>
      <c r="G487" s="14"/>
      <c r="H487" s="14"/>
      <c r="I487" s="14"/>
      <c r="J487" s="14"/>
      <c r="K487" s="19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84"/>
      <c r="D488" s="14"/>
      <c r="E488" s="14"/>
      <c r="F488" s="14"/>
      <c r="G488" s="14"/>
      <c r="H488" s="14"/>
      <c r="I488" s="14"/>
      <c r="J488" s="14"/>
      <c r="K488" s="19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84"/>
      <c r="D489" s="14"/>
      <c r="E489" s="14"/>
      <c r="F489" s="14"/>
      <c r="G489" s="14"/>
      <c r="H489" s="14"/>
      <c r="I489" s="14"/>
      <c r="J489" s="14"/>
      <c r="K489" s="19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84"/>
      <c r="D490" s="14"/>
      <c r="E490" s="14"/>
      <c r="F490" s="14"/>
      <c r="G490" s="14"/>
      <c r="H490" s="14"/>
      <c r="I490" s="14"/>
      <c r="J490" s="14"/>
      <c r="K490" s="19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84"/>
      <c r="D491" s="14"/>
      <c r="E491" s="14"/>
      <c r="F491" s="14"/>
      <c r="G491" s="14"/>
      <c r="H491" s="14"/>
      <c r="I491" s="14"/>
      <c r="J491" s="14"/>
      <c r="K491" s="19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84"/>
      <c r="D492" s="14"/>
      <c r="E492" s="14"/>
      <c r="F492" s="14"/>
      <c r="G492" s="14"/>
      <c r="H492" s="14"/>
      <c r="I492" s="14"/>
      <c r="J492" s="14"/>
      <c r="K492" s="19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84"/>
      <c r="D493" s="14"/>
      <c r="E493" s="14"/>
      <c r="F493" s="14"/>
      <c r="G493" s="14"/>
      <c r="H493" s="14"/>
      <c r="I493" s="14"/>
      <c r="J493" s="14"/>
      <c r="K493" s="19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84"/>
      <c r="D494" s="14"/>
      <c r="E494" s="14"/>
      <c r="F494" s="14"/>
      <c r="G494" s="14"/>
      <c r="H494" s="14"/>
      <c r="I494" s="14"/>
      <c r="J494" s="14"/>
      <c r="K494" s="19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84"/>
      <c r="D495" s="14"/>
      <c r="E495" s="14"/>
      <c r="F495" s="14"/>
      <c r="G495" s="14"/>
      <c r="H495" s="14"/>
      <c r="I495" s="14"/>
      <c r="J495" s="14"/>
      <c r="K495" s="19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84"/>
      <c r="D496" s="14"/>
      <c r="E496" s="14"/>
      <c r="F496" s="14"/>
      <c r="G496" s="14"/>
      <c r="H496" s="14"/>
      <c r="I496" s="14"/>
      <c r="J496" s="14"/>
      <c r="K496" s="19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84"/>
      <c r="D497" s="14"/>
      <c r="E497" s="14"/>
      <c r="F497" s="14"/>
      <c r="G497" s="14"/>
      <c r="H497" s="14"/>
      <c r="I497" s="14"/>
      <c r="J497" s="14"/>
      <c r="K497" s="19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84"/>
      <c r="D498" s="14"/>
      <c r="E498" s="14"/>
      <c r="F498" s="14"/>
      <c r="G498" s="14"/>
      <c r="H498" s="14"/>
      <c r="I498" s="14"/>
      <c r="J498" s="14"/>
      <c r="K498" s="19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84"/>
      <c r="D499" s="14"/>
      <c r="E499" s="14"/>
      <c r="F499" s="14"/>
      <c r="G499" s="14"/>
      <c r="H499" s="14"/>
      <c r="I499" s="14"/>
      <c r="J499" s="14"/>
      <c r="K499" s="19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84"/>
      <c r="D500" s="14"/>
      <c r="E500" s="14"/>
      <c r="F500" s="14"/>
      <c r="G500" s="14"/>
      <c r="H500" s="14"/>
      <c r="I500" s="14"/>
      <c r="J500" s="14"/>
      <c r="K500" s="19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84"/>
      <c r="D501" s="14"/>
      <c r="E501" s="14"/>
      <c r="F501" s="14"/>
      <c r="G501" s="14"/>
      <c r="H501" s="14"/>
      <c r="I501" s="14"/>
      <c r="J501" s="14"/>
      <c r="K501" s="19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84"/>
      <c r="D502" s="14"/>
      <c r="E502" s="14"/>
      <c r="F502" s="14"/>
      <c r="G502" s="14"/>
      <c r="H502" s="14"/>
      <c r="I502" s="14"/>
      <c r="J502" s="14"/>
      <c r="K502" s="19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84"/>
      <c r="D503" s="14"/>
      <c r="E503" s="14"/>
      <c r="F503" s="14"/>
      <c r="G503" s="14"/>
      <c r="H503" s="14"/>
      <c r="I503" s="14"/>
      <c r="J503" s="14"/>
      <c r="K503" s="19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84"/>
      <c r="D504" s="14"/>
      <c r="E504" s="14"/>
      <c r="F504" s="14"/>
      <c r="G504" s="14"/>
      <c r="H504" s="14"/>
      <c r="I504" s="14"/>
      <c r="J504" s="14"/>
      <c r="K504" s="19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84"/>
      <c r="D505" s="14"/>
      <c r="E505" s="14"/>
      <c r="F505" s="14"/>
      <c r="G505" s="14"/>
      <c r="H505" s="14"/>
      <c r="I505" s="14"/>
      <c r="J505" s="14"/>
      <c r="K505" s="19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84"/>
      <c r="D506" s="14"/>
      <c r="E506" s="14"/>
      <c r="F506" s="14"/>
      <c r="G506" s="14"/>
      <c r="H506" s="14"/>
      <c r="I506" s="14"/>
      <c r="J506" s="14"/>
      <c r="K506" s="19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84"/>
      <c r="D507" s="14"/>
      <c r="E507" s="14"/>
      <c r="F507" s="14"/>
      <c r="G507" s="14"/>
      <c r="H507" s="14"/>
      <c r="I507" s="14"/>
      <c r="J507" s="14"/>
      <c r="K507" s="19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84"/>
      <c r="D508" s="14"/>
      <c r="E508" s="14"/>
      <c r="F508" s="14"/>
      <c r="G508" s="14"/>
      <c r="H508" s="14"/>
      <c r="I508" s="14"/>
      <c r="J508" s="14"/>
      <c r="K508" s="19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84"/>
      <c r="D509" s="14"/>
      <c r="E509" s="14"/>
      <c r="F509" s="14"/>
      <c r="G509" s="14"/>
      <c r="H509" s="14"/>
      <c r="I509" s="14"/>
      <c r="J509" s="14"/>
      <c r="K509" s="19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84"/>
      <c r="D510" s="14"/>
      <c r="E510" s="14"/>
      <c r="F510" s="14"/>
      <c r="G510" s="14"/>
      <c r="H510" s="14"/>
      <c r="I510" s="14"/>
      <c r="J510" s="14"/>
      <c r="K510" s="19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84"/>
      <c r="D511" s="14"/>
      <c r="E511" s="14"/>
      <c r="F511" s="14"/>
      <c r="G511" s="14"/>
      <c r="H511" s="14"/>
      <c r="I511" s="14"/>
      <c r="J511" s="14"/>
      <c r="K511" s="19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84"/>
      <c r="D512" s="14"/>
      <c r="E512" s="14"/>
      <c r="F512" s="14"/>
      <c r="G512" s="14"/>
      <c r="H512" s="14"/>
      <c r="I512" s="14"/>
      <c r="J512" s="14"/>
      <c r="K512" s="19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84"/>
      <c r="D513" s="14"/>
      <c r="E513" s="14"/>
      <c r="F513" s="14"/>
      <c r="G513" s="14"/>
      <c r="H513" s="14"/>
      <c r="I513" s="14"/>
      <c r="J513" s="14"/>
      <c r="K513" s="19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84"/>
      <c r="D514" s="14"/>
      <c r="E514" s="14"/>
      <c r="F514" s="14"/>
      <c r="G514" s="14"/>
      <c r="H514" s="14"/>
      <c r="I514" s="14"/>
      <c r="J514" s="14"/>
      <c r="K514" s="19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84"/>
      <c r="D515" s="14"/>
      <c r="E515" s="14"/>
      <c r="F515" s="14"/>
      <c r="G515" s="14"/>
      <c r="H515" s="14"/>
      <c r="I515" s="14"/>
      <c r="J515" s="14"/>
      <c r="K515" s="19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84"/>
      <c r="D516" s="14"/>
      <c r="E516" s="14"/>
      <c r="F516" s="14"/>
      <c r="G516" s="14"/>
      <c r="H516" s="14"/>
      <c r="I516" s="14"/>
      <c r="J516" s="14"/>
      <c r="K516" s="19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84"/>
      <c r="D517" s="14"/>
      <c r="E517" s="14"/>
      <c r="F517" s="14"/>
      <c r="G517" s="14"/>
      <c r="H517" s="14"/>
      <c r="I517" s="14"/>
      <c r="J517" s="14"/>
      <c r="K517" s="19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84"/>
      <c r="D518" s="14"/>
      <c r="E518" s="14"/>
      <c r="F518" s="14"/>
      <c r="G518" s="14"/>
      <c r="H518" s="14"/>
      <c r="I518" s="14"/>
      <c r="J518" s="14"/>
      <c r="K518" s="19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84"/>
      <c r="D519" s="14"/>
      <c r="E519" s="14"/>
      <c r="F519" s="14"/>
      <c r="G519" s="14"/>
      <c r="H519" s="14"/>
      <c r="I519" s="14"/>
      <c r="J519" s="14"/>
      <c r="K519" s="19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84"/>
      <c r="D520" s="14"/>
      <c r="E520" s="14"/>
      <c r="F520" s="14"/>
      <c r="G520" s="14"/>
      <c r="H520" s="14"/>
      <c r="I520" s="14"/>
      <c r="J520" s="14"/>
      <c r="K520" s="19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84"/>
      <c r="D521" s="14"/>
      <c r="E521" s="14"/>
      <c r="F521" s="14"/>
      <c r="G521" s="14"/>
      <c r="H521" s="14"/>
      <c r="I521" s="14"/>
      <c r="J521" s="14"/>
      <c r="K521" s="19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84"/>
      <c r="D522" s="14"/>
      <c r="E522" s="14"/>
      <c r="F522" s="14"/>
      <c r="G522" s="14"/>
      <c r="H522" s="14"/>
      <c r="I522" s="14"/>
      <c r="J522" s="14"/>
      <c r="K522" s="19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84"/>
      <c r="D523" s="14"/>
      <c r="E523" s="14"/>
      <c r="F523" s="14"/>
      <c r="G523" s="14"/>
      <c r="H523" s="14"/>
      <c r="I523" s="14"/>
      <c r="J523" s="14"/>
      <c r="K523" s="19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84"/>
      <c r="D524" s="14"/>
      <c r="E524" s="14"/>
      <c r="F524" s="14"/>
      <c r="G524" s="14"/>
      <c r="H524" s="14"/>
      <c r="I524" s="14"/>
      <c r="J524" s="14"/>
      <c r="K524" s="19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84"/>
      <c r="D525" s="14"/>
      <c r="E525" s="14"/>
      <c r="F525" s="14"/>
      <c r="G525" s="14"/>
      <c r="H525" s="14"/>
      <c r="I525" s="14"/>
      <c r="J525" s="14"/>
      <c r="K525" s="19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84"/>
      <c r="D526" s="14"/>
      <c r="E526" s="14"/>
      <c r="F526" s="14"/>
      <c r="G526" s="14"/>
      <c r="H526" s="14"/>
      <c r="I526" s="14"/>
      <c r="J526" s="14"/>
      <c r="K526" s="19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84"/>
      <c r="D527" s="14"/>
      <c r="E527" s="14"/>
      <c r="F527" s="14"/>
      <c r="G527" s="14"/>
      <c r="H527" s="14"/>
      <c r="I527" s="14"/>
      <c r="J527" s="14"/>
      <c r="K527" s="19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84"/>
      <c r="D528" s="14"/>
      <c r="E528" s="14"/>
      <c r="F528" s="14"/>
      <c r="G528" s="14"/>
      <c r="H528" s="14"/>
      <c r="I528" s="14"/>
      <c r="J528" s="14"/>
      <c r="K528" s="19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84"/>
      <c r="D529" s="14"/>
      <c r="E529" s="14"/>
      <c r="F529" s="14"/>
      <c r="G529" s="14"/>
      <c r="H529" s="14"/>
      <c r="I529" s="14"/>
      <c r="J529" s="14"/>
      <c r="K529" s="19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84"/>
      <c r="D530" s="14"/>
      <c r="E530" s="14"/>
      <c r="F530" s="14"/>
      <c r="G530" s="14"/>
      <c r="H530" s="14"/>
      <c r="I530" s="14"/>
      <c r="J530" s="14"/>
      <c r="K530" s="19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84"/>
      <c r="D531" s="14"/>
      <c r="E531" s="14"/>
      <c r="F531" s="14"/>
      <c r="G531" s="14"/>
      <c r="H531" s="14"/>
      <c r="I531" s="14"/>
      <c r="J531" s="14"/>
      <c r="K531" s="19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84"/>
      <c r="D532" s="14"/>
      <c r="E532" s="14"/>
      <c r="F532" s="14"/>
      <c r="G532" s="14"/>
      <c r="H532" s="14"/>
      <c r="I532" s="14"/>
      <c r="J532" s="14"/>
      <c r="K532" s="19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84"/>
      <c r="D533" s="14"/>
      <c r="E533" s="14"/>
      <c r="F533" s="14"/>
      <c r="G533" s="14"/>
      <c r="H533" s="14"/>
      <c r="I533" s="14"/>
      <c r="J533" s="14"/>
      <c r="K533" s="19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84"/>
      <c r="D534" s="14"/>
      <c r="E534" s="14"/>
      <c r="F534" s="14"/>
      <c r="G534" s="14"/>
      <c r="H534" s="14"/>
      <c r="I534" s="14"/>
      <c r="J534" s="14"/>
      <c r="K534" s="19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84"/>
      <c r="D535" s="14"/>
      <c r="E535" s="14"/>
      <c r="F535" s="14"/>
      <c r="G535" s="14"/>
      <c r="H535" s="14"/>
      <c r="I535" s="14"/>
      <c r="J535" s="14"/>
      <c r="K535" s="19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84"/>
      <c r="D536" s="14"/>
      <c r="E536" s="14"/>
      <c r="F536" s="14"/>
      <c r="G536" s="14"/>
      <c r="H536" s="14"/>
      <c r="I536" s="14"/>
      <c r="J536" s="14"/>
      <c r="K536" s="19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84"/>
      <c r="D537" s="14"/>
      <c r="E537" s="14"/>
      <c r="F537" s="14"/>
      <c r="G537" s="14"/>
      <c r="H537" s="14"/>
      <c r="I537" s="14"/>
      <c r="J537" s="14"/>
      <c r="K537" s="19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84"/>
      <c r="D538" s="14"/>
      <c r="E538" s="14"/>
      <c r="F538" s="14"/>
      <c r="G538" s="14"/>
      <c r="H538" s="14"/>
      <c r="I538" s="14"/>
      <c r="J538" s="14"/>
      <c r="K538" s="19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84"/>
      <c r="D539" s="14"/>
      <c r="E539" s="14"/>
      <c r="F539" s="14"/>
      <c r="G539" s="14"/>
      <c r="H539" s="14"/>
      <c r="I539" s="14"/>
      <c r="J539" s="14"/>
      <c r="K539" s="19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84"/>
      <c r="D540" s="14"/>
      <c r="E540" s="14"/>
      <c r="F540" s="14"/>
      <c r="G540" s="14"/>
      <c r="H540" s="14"/>
      <c r="I540" s="14"/>
      <c r="J540" s="14"/>
      <c r="K540" s="19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84"/>
      <c r="D541" s="14"/>
      <c r="E541" s="14"/>
      <c r="F541" s="14"/>
      <c r="G541" s="14"/>
      <c r="H541" s="14"/>
      <c r="I541" s="14"/>
      <c r="J541" s="14"/>
      <c r="K541" s="19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84"/>
      <c r="D542" s="14"/>
      <c r="E542" s="14"/>
      <c r="F542" s="14"/>
      <c r="G542" s="14"/>
      <c r="H542" s="14"/>
      <c r="I542" s="14"/>
      <c r="J542" s="14"/>
      <c r="K542" s="19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84"/>
      <c r="D543" s="14"/>
      <c r="E543" s="14"/>
      <c r="F543" s="14"/>
      <c r="G543" s="14"/>
      <c r="H543" s="14"/>
      <c r="I543" s="14"/>
      <c r="J543" s="14"/>
      <c r="K543" s="19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84"/>
      <c r="D544" s="14"/>
      <c r="E544" s="14"/>
      <c r="F544" s="14"/>
      <c r="G544" s="14"/>
      <c r="H544" s="14"/>
      <c r="I544" s="14"/>
      <c r="J544" s="14"/>
      <c r="K544" s="19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84"/>
      <c r="D545" s="14"/>
      <c r="E545" s="14"/>
      <c r="F545" s="14"/>
      <c r="G545" s="14"/>
      <c r="H545" s="14"/>
      <c r="I545" s="14"/>
      <c r="J545" s="14"/>
      <c r="K545" s="19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84"/>
      <c r="D546" s="14"/>
      <c r="E546" s="14"/>
      <c r="F546" s="14"/>
      <c r="G546" s="14"/>
      <c r="H546" s="14"/>
      <c r="I546" s="14"/>
      <c r="J546" s="14"/>
      <c r="K546" s="19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84"/>
      <c r="D547" s="14"/>
      <c r="E547" s="14"/>
      <c r="F547" s="14"/>
      <c r="G547" s="14"/>
      <c r="H547" s="14"/>
      <c r="I547" s="14"/>
      <c r="J547" s="14"/>
      <c r="K547" s="19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84"/>
      <c r="D548" s="14"/>
      <c r="E548" s="14"/>
      <c r="F548" s="14"/>
      <c r="G548" s="14"/>
      <c r="H548" s="14"/>
      <c r="I548" s="14"/>
      <c r="J548" s="14"/>
      <c r="K548" s="19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84"/>
      <c r="D549" s="14"/>
      <c r="E549" s="14"/>
      <c r="F549" s="14"/>
      <c r="G549" s="14"/>
      <c r="H549" s="14"/>
      <c r="I549" s="14"/>
      <c r="J549" s="14"/>
      <c r="K549" s="19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84"/>
      <c r="D550" s="14"/>
      <c r="E550" s="14"/>
      <c r="F550" s="14"/>
      <c r="G550" s="14"/>
      <c r="H550" s="14"/>
      <c r="I550" s="14"/>
      <c r="J550" s="14"/>
      <c r="K550" s="19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84"/>
      <c r="D551" s="14"/>
      <c r="E551" s="14"/>
      <c r="F551" s="14"/>
      <c r="G551" s="14"/>
      <c r="H551" s="14"/>
      <c r="I551" s="14"/>
      <c r="J551" s="14"/>
      <c r="K551" s="19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84"/>
      <c r="D552" s="14"/>
      <c r="E552" s="14"/>
      <c r="F552" s="14"/>
      <c r="G552" s="14"/>
      <c r="H552" s="14"/>
      <c r="I552" s="14"/>
      <c r="J552" s="14"/>
      <c r="K552" s="19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84"/>
      <c r="D553" s="14"/>
      <c r="E553" s="14"/>
      <c r="F553" s="14"/>
      <c r="G553" s="14"/>
      <c r="H553" s="14"/>
      <c r="I553" s="14"/>
      <c r="J553" s="14"/>
      <c r="K553" s="19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84"/>
      <c r="D554" s="14"/>
      <c r="E554" s="14"/>
      <c r="F554" s="14"/>
      <c r="G554" s="14"/>
      <c r="H554" s="14"/>
      <c r="I554" s="14"/>
      <c r="J554" s="14"/>
      <c r="K554" s="19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84"/>
      <c r="D555" s="14"/>
      <c r="E555" s="14"/>
      <c r="F555" s="14"/>
      <c r="G555" s="14"/>
      <c r="H555" s="14"/>
      <c r="I555" s="14"/>
      <c r="J555" s="14"/>
      <c r="K555" s="19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84"/>
      <c r="D556" s="14"/>
      <c r="E556" s="14"/>
      <c r="F556" s="14"/>
      <c r="G556" s="14"/>
      <c r="H556" s="14"/>
      <c r="I556" s="14"/>
      <c r="J556" s="14"/>
      <c r="K556" s="19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84"/>
      <c r="D557" s="14"/>
      <c r="E557" s="14"/>
      <c r="F557" s="14"/>
      <c r="G557" s="14"/>
      <c r="H557" s="14"/>
      <c r="I557" s="14"/>
      <c r="J557" s="14"/>
      <c r="K557" s="19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84"/>
      <c r="D558" s="14"/>
      <c r="E558" s="14"/>
      <c r="F558" s="14"/>
      <c r="G558" s="14"/>
      <c r="H558" s="14"/>
      <c r="I558" s="14"/>
      <c r="J558" s="14"/>
      <c r="K558" s="19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84"/>
      <c r="D559" s="14"/>
      <c r="E559" s="14"/>
      <c r="F559" s="14"/>
      <c r="G559" s="14"/>
      <c r="H559" s="14"/>
      <c r="I559" s="14"/>
      <c r="J559" s="14"/>
      <c r="K559" s="19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84"/>
      <c r="D560" s="14"/>
      <c r="E560" s="14"/>
      <c r="F560" s="14"/>
      <c r="G560" s="14"/>
      <c r="H560" s="14"/>
      <c r="I560" s="14"/>
      <c r="J560" s="14"/>
      <c r="K560" s="19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84"/>
      <c r="D561" s="14"/>
      <c r="E561" s="14"/>
      <c r="F561" s="14"/>
      <c r="G561" s="14"/>
      <c r="H561" s="14"/>
      <c r="I561" s="14"/>
      <c r="J561" s="14"/>
      <c r="K561" s="19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84"/>
      <c r="D562" s="14"/>
      <c r="E562" s="14"/>
      <c r="F562" s="14"/>
      <c r="G562" s="14"/>
      <c r="H562" s="14"/>
      <c r="I562" s="14"/>
      <c r="J562" s="14"/>
      <c r="K562" s="19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84"/>
      <c r="D563" s="14"/>
      <c r="E563" s="14"/>
      <c r="F563" s="14"/>
      <c r="G563" s="14"/>
      <c r="H563" s="14"/>
      <c r="I563" s="14"/>
      <c r="J563" s="14"/>
      <c r="K563" s="19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84"/>
      <c r="D564" s="14"/>
      <c r="E564" s="14"/>
      <c r="F564" s="14"/>
      <c r="G564" s="14"/>
      <c r="H564" s="14"/>
      <c r="I564" s="14"/>
      <c r="J564" s="14"/>
      <c r="K564" s="19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84"/>
      <c r="D565" s="14"/>
      <c r="E565" s="14"/>
      <c r="F565" s="14"/>
      <c r="G565" s="14"/>
      <c r="H565" s="14"/>
      <c r="I565" s="14"/>
      <c r="J565" s="14"/>
      <c r="K565" s="19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84"/>
      <c r="D566" s="14"/>
      <c r="E566" s="14"/>
      <c r="F566" s="14"/>
      <c r="G566" s="14"/>
      <c r="H566" s="14"/>
      <c r="I566" s="14"/>
      <c r="J566" s="14"/>
      <c r="K566" s="19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84"/>
      <c r="D567" s="14"/>
      <c r="E567" s="14"/>
      <c r="F567" s="14"/>
      <c r="G567" s="14"/>
      <c r="H567" s="14"/>
      <c r="I567" s="14"/>
      <c r="J567" s="14"/>
      <c r="K567" s="19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84"/>
      <c r="D568" s="14"/>
      <c r="E568" s="14"/>
      <c r="F568" s="14"/>
      <c r="G568" s="14"/>
      <c r="H568" s="14"/>
      <c r="I568" s="14"/>
      <c r="J568" s="14"/>
      <c r="K568" s="19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84"/>
      <c r="D569" s="14"/>
      <c r="E569" s="14"/>
      <c r="F569" s="14"/>
      <c r="G569" s="14"/>
      <c r="H569" s="14"/>
      <c r="I569" s="14"/>
      <c r="J569" s="14"/>
      <c r="K569" s="19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84"/>
      <c r="D570" s="14"/>
      <c r="E570" s="14"/>
      <c r="F570" s="14"/>
      <c r="G570" s="14"/>
      <c r="H570" s="14"/>
      <c r="I570" s="14"/>
      <c r="J570" s="14"/>
      <c r="K570" s="19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84"/>
      <c r="D571" s="14"/>
      <c r="E571" s="14"/>
      <c r="F571" s="14"/>
      <c r="G571" s="14"/>
      <c r="H571" s="14"/>
      <c r="I571" s="14"/>
      <c r="J571" s="14"/>
      <c r="K571" s="19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84"/>
      <c r="D572" s="14"/>
      <c r="E572" s="14"/>
      <c r="F572" s="14"/>
      <c r="G572" s="14"/>
      <c r="H572" s="14"/>
      <c r="I572" s="14"/>
      <c r="J572" s="14"/>
      <c r="K572" s="19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84"/>
      <c r="D573" s="14"/>
      <c r="E573" s="14"/>
      <c r="F573" s="14"/>
      <c r="G573" s="14"/>
      <c r="H573" s="14"/>
      <c r="I573" s="14"/>
      <c r="J573" s="14"/>
      <c r="K573" s="19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84"/>
      <c r="D574" s="14"/>
      <c r="E574" s="14"/>
      <c r="F574" s="14"/>
      <c r="G574" s="14"/>
      <c r="H574" s="14"/>
      <c r="I574" s="14"/>
      <c r="J574" s="14"/>
      <c r="K574" s="19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84"/>
      <c r="D575" s="14"/>
      <c r="E575" s="14"/>
      <c r="F575" s="14"/>
      <c r="G575" s="14"/>
      <c r="H575" s="14"/>
      <c r="I575" s="14"/>
      <c r="J575" s="14"/>
      <c r="K575" s="19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84"/>
      <c r="D576" s="14"/>
      <c r="E576" s="14"/>
      <c r="F576" s="14"/>
      <c r="G576" s="14"/>
      <c r="H576" s="14"/>
      <c r="I576" s="14"/>
      <c r="J576" s="14"/>
      <c r="K576" s="19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84"/>
      <c r="D577" s="14"/>
      <c r="E577" s="14"/>
      <c r="F577" s="14"/>
      <c r="G577" s="14"/>
      <c r="H577" s="14"/>
      <c r="I577" s="14"/>
      <c r="J577" s="14"/>
      <c r="K577" s="19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84"/>
      <c r="D578" s="14"/>
      <c r="E578" s="14"/>
      <c r="F578" s="14"/>
      <c r="G578" s="14"/>
      <c r="H578" s="14"/>
      <c r="I578" s="14"/>
      <c r="J578" s="14"/>
      <c r="K578" s="19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84"/>
      <c r="D579" s="14"/>
      <c r="E579" s="14"/>
      <c r="F579" s="14"/>
      <c r="G579" s="14"/>
      <c r="H579" s="14"/>
      <c r="I579" s="14"/>
      <c r="J579" s="14"/>
      <c r="K579" s="19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84"/>
      <c r="D580" s="14"/>
      <c r="E580" s="14"/>
      <c r="F580" s="14"/>
      <c r="G580" s="14"/>
      <c r="H580" s="14"/>
      <c r="I580" s="14"/>
      <c r="J580" s="14"/>
      <c r="K580" s="19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84"/>
      <c r="D581" s="14"/>
      <c r="E581" s="14"/>
      <c r="F581" s="14"/>
      <c r="G581" s="14"/>
      <c r="H581" s="14"/>
      <c r="I581" s="14"/>
      <c r="J581" s="14"/>
      <c r="K581" s="19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84"/>
      <c r="D582" s="14"/>
      <c r="E582" s="14"/>
      <c r="F582" s="14"/>
      <c r="G582" s="14"/>
      <c r="H582" s="14"/>
      <c r="I582" s="14"/>
      <c r="J582" s="14"/>
      <c r="K582" s="19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84"/>
      <c r="D583" s="14"/>
      <c r="E583" s="14"/>
      <c r="F583" s="14"/>
      <c r="G583" s="14"/>
      <c r="H583" s="14"/>
      <c r="I583" s="14"/>
      <c r="J583" s="14"/>
      <c r="K583" s="19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84"/>
      <c r="D584" s="14"/>
      <c r="E584" s="14"/>
      <c r="F584" s="14"/>
      <c r="G584" s="14"/>
      <c r="H584" s="14"/>
      <c r="I584" s="14"/>
      <c r="J584" s="14"/>
      <c r="K584" s="19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84"/>
      <c r="D585" s="14"/>
      <c r="E585" s="14"/>
      <c r="F585" s="14"/>
      <c r="G585" s="14"/>
      <c r="H585" s="14"/>
      <c r="I585" s="14"/>
      <c r="J585" s="14"/>
      <c r="K585" s="19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84"/>
      <c r="D586" s="14"/>
      <c r="E586" s="14"/>
      <c r="F586" s="14"/>
      <c r="G586" s="14"/>
      <c r="H586" s="14"/>
      <c r="I586" s="14"/>
      <c r="J586" s="14"/>
      <c r="K586" s="19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84"/>
      <c r="D587" s="14"/>
      <c r="E587" s="14"/>
      <c r="F587" s="14"/>
      <c r="G587" s="14"/>
      <c r="H587" s="14"/>
      <c r="I587" s="14"/>
      <c r="J587" s="14"/>
      <c r="K587" s="19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84"/>
      <c r="D588" s="14"/>
      <c r="E588" s="14"/>
      <c r="F588" s="14"/>
      <c r="G588" s="14"/>
      <c r="H588" s="14"/>
      <c r="I588" s="14"/>
      <c r="J588" s="14"/>
      <c r="K588" s="19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84"/>
      <c r="D589" s="14"/>
      <c r="E589" s="14"/>
      <c r="F589" s="14"/>
      <c r="G589" s="14"/>
      <c r="H589" s="14"/>
      <c r="I589" s="14"/>
      <c r="J589" s="14"/>
      <c r="K589" s="19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84"/>
      <c r="D590" s="14"/>
      <c r="E590" s="14"/>
      <c r="F590" s="14"/>
      <c r="G590" s="14"/>
      <c r="H590" s="14"/>
      <c r="I590" s="14"/>
      <c r="J590" s="14"/>
      <c r="K590" s="19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84"/>
      <c r="D591" s="14"/>
      <c r="E591" s="14"/>
      <c r="F591" s="14"/>
      <c r="G591" s="14"/>
      <c r="H591" s="14"/>
      <c r="I591" s="14"/>
      <c r="J591" s="14"/>
      <c r="K591" s="19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84"/>
      <c r="D592" s="14"/>
      <c r="E592" s="14"/>
      <c r="F592" s="14"/>
      <c r="G592" s="14"/>
      <c r="H592" s="14"/>
      <c r="I592" s="14"/>
      <c r="J592" s="14"/>
      <c r="K592" s="19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84"/>
      <c r="D593" s="14"/>
      <c r="E593" s="14"/>
      <c r="F593" s="14"/>
      <c r="G593" s="14"/>
      <c r="H593" s="14"/>
      <c r="I593" s="14"/>
      <c r="J593" s="14"/>
      <c r="K593" s="19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84"/>
      <c r="D594" s="14"/>
      <c r="E594" s="14"/>
      <c r="F594" s="14"/>
      <c r="G594" s="14"/>
      <c r="H594" s="14"/>
      <c r="I594" s="14"/>
      <c r="J594" s="14"/>
      <c r="K594" s="19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84"/>
      <c r="D595" s="14"/>
      <c r="E595" s="14"/>
      <c r="F595" s="14"/>
      <c r="G595" s="14"/>
      <c r="H595" s="14"/>
      <c r="I595" s="14"/>
      <c r="J595" s="14"/>
      <c r="K595" s="19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84"/>
      <c r="D596" s="14"/>
      <c r="E596" s="14"/>
      <c r="F596" s="14"/>
      <c r="G596" s="14"/>
      <c r="H596" s="14"/>
      <c r="I596" s="14"/>
      <c r="J596" s="14"/>
      <c r="K596" s="19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84"/>
      <c r="D597" s="14"/>
      <c r="E597" s="14"/>
      <c r="F597" s="14"/>
      <c r="G597" s="14"/>
      <c r="H597" s="14"/>
      <c r="I597" s="14"/>
      <c r="J597" s="14"/>
      <c r="K597" s="19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84"/>
      <c r="D598" s="14"/>
      <c r="E598" s="14"/>
      <c r="F598" s="14"/>
      <c r="G598" s="14"/>
      <c r="H598" s="14"/>
      <c r="I598" s="14"/>
      <c r="J598" s="14"/>
      <c r="K598" s="19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84"/>
      <c r="D599" s="14"/>
      <c r="E599" s="14"/>
      <c r="F599" s="14"/>
      <c r="G599" s="14"/>
      <c r="H599" s="14"/>
      <c r="I599" s="14"/>
      <c r="J599" s="14"/>
      <c r="K599" s="19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84"/>
      <c r="D600" s="14"/>
      <c r="E600" s="14"/>
      <c r="F600" s="14"/>
      <c r="G600" s="14"/>
      <c r="H600" s="14"/>
      <c r="I600" s="14"/>
      <c r="J600" s="14"/>
      <c r="K600" s="19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84"/>
      <c r="D601" s="14"/>
      <c r="E601" s="14"/>
      <c r="F601" s="14"/>
      <c r="G601" s="14"/>
      <c r="H601" s="14"/>
      <c r="I601" s="14"/>
      <c r="J601" s="14"/>
      <c r="K601" s="19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84"/>
      <c r="D602" s="14"/>
      <c r="E602" s="14"/>
      <c r="F602" s="14"/>
      <c r="G602" s="14"/>
      <c r="H602" s="14"/>
      <c r="I602" s="14"/>
      <c r="J602" s="14"/>
      <c r="K602" s="19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84"/>
      <c r="D603" s="14"/>
      <c r="E603" s="14"/>
      <c r="F603" s="14"/>
      <c r="G603" s="14"/>
      <c r="H603" s="14"/>
      <c r="I603" s="14"/>
      <c r="J603" s="14"/>
      <c r="K603" s="19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84"/>
      <c r="D604" s="14"/>
      <c r="E604" s="14"/>
      <c r="F604" s="14"/>
      <c r="G604" s="14"/>
      <c r="H604" s="14"/>
      <c r="I604" s="14"/>
      <c r="J604" s="14"/>
      <c r="K604" s="19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84"/>
      <c r="D605" s="14"/>
      <c r="E605" s="14"/>
      <c r="F605" s="14"/>
      <c r="G605" s="14"/>
      <c r="H605" s="14"/>
      <c r="I605" s="14"/>
      <c r="J605" s="14"/>
      <c r="K605" s="19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84"/>
      <c r="D606" s="14"/>
      <c r="E606" s="14"/>
      <c r="F606" s="14"/>
      <c r="G606" s="14"/>
      <c r="H606" s="14"/>
      <c r="I606" s="14"/>
      <c r="J606" s="14"/>
      <c r="K606" s="19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84"/>
      <c r="D607" s="14"/>
      <c r="E607" s="14"/>
      <c r="F607" s="14"/>
      <c r="G607" s="14"/>
      <c r="H607" s="14"/>
      <c r="I607" s="14"/>
      <c r="J607" s="14"/>
      <c r="K607" s="19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84"/>
      <c r="D608" s="14"/>
      <c r="E608" s="14"/>
      <c r="F608" s="14"/>
      <c r="G608" s="14"/>
      <c r="H608" s="14"/>
      <c r="I608" s="14"/>
      <c r="J608" s="14"/>
      <c r="K608" s="19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84"/>
      <c r="D609" s="14"/>
      <c r="E609" s="14"/>
      <c r="F609" s="14"/>
      <c r="G609" s="14"/>
      <c r="H609" s="14"/>
      <c r="I609" s="14"/>
      <c r="J609" s="14"/>
      <c r="K609" s="19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84"/>
      <c r="D610" s="14"/>
      <c r="E610" s="14"/>
      <c r="F610" s="14"/>
      <c r="G610" s="14"/>
      <c r="H610" s="14"/>
      <c r="I610" s="14"/>
      <c r="J610" s="14"/>
      <c r="K610" s="19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84"/>
      <c r="D611" s="14"/>
      <c r="E611" s="14"/>
      <c r="F611" s="14"/>
      <c r="G611" s="14"/>
      <c r="H611" s="14"/>
      <c r="I611" s="14"/>
      <c r="J611" s="14"/>
      <c r="K611" s="19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84"/>
      <c r="D612" s="14"/>
      <c r="E612" s="14"/>
      <c r="F612" s="14"/>
      <c r="G612" s="14"/>
      <c r="H612" s="14"/>
      <c r="I612" s="14"/>
      <c r="J612" s="14"/>
      <c r="K612" s="19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84"/>
      <c r="D613" s="14"/>
      <c r="E613" s="14"/>
      <c r="F613" s="14"/>
      <c r="G613" s="14"/>
      <c r="H613" s="14"/>
      <c r="I613" s="14"/>
      <c r="J613" s="14"/>
      <c r="K613" s="19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84"/>
      <c r="D614" s="14"/>
      <c r="E614" s="14"/>
      <c r="F614" s="14"/>
      <c r="G614" s="14"/>
      <c r="H614" s="14"/>
      <c r="I614" s="14"/>
      <c r="J614" s="14"/>
      <c r="K614" s="19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84"/>
      <c r="D615" s="14"/>
      <c r="E615" s="14"/>
      <c r="F615" s="14"/>
      <c r="G615" s="14"/>
      <c r="H615" s="14"/>
      <c r="I615" s="14"/>
      <c r="J615" s="14"/>
      <c r="K615" s="19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84"/>
      <c r="D616" s="14"/>
      <c r="E616" s="14"/>
      <c r="F616" s="14"/>
      <c r="G616" s="14"/>
      <c r="H616" s="14"/>
      <c r="I616" s="14"/>
      <c r="J616" s="14"/>
      <c r="K616" s="19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84"/>
      <c r="D617" s="14"/>
      <c r="E617" s="14"/>
      <c r="F617" s="14"/>
      <c r="G617" s="14"/>
      <c r="H617" s="14"/>
      <c r="I617" s="14"/>
      <c r="J617" s="14"/>
      <c r="K617" s="19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84"/>
      <c r="D618" s="14"/>
      <c r="E618" s="14"/>
      <c r="F618" s="14"/>
      <c r="G618" s="14"/>
      <c r="H618" s="14"/>
      <c r="I618" s="14"/>
      <c r="J618" s="14"/>
      <c r="K618" s="19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84"/>
      <c r="D619" s="14"/>
      <c r="E619" s="14"/>
      <c r="F619" s="14"/>
      <c r="G619" s="14"/>
      <c r="H619" s="14"/>
      <c r="I619" s="14"/>
      <c r="J619" s="14"/>
      <c r="K619" s="19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84"/>
      <c r="D620" s="14"/>
      <c r="E620" s="14"/>
      <c r="F620" s="14"/>
      <c r="G620" s="14"/>
      <c r="H620" s="14"/>
      <c r="I620" s="14"/>
      <c r="J620" s="14"/>
      <c r="K620" s="19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84"/>
      <c r="D621" s="14"/>
      <c r="E621" s="14"/>
      <c r="F621" s="14"/>
      <c r="G621" s="14"/>
      <c r="H621" s="14"/>
      <c r="I621" s="14"/>
      <c r="J621" s="14"/>
      <c r="K621" s="19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84"/>
      <c r="D622" s="14"/>
      <c r="E622" s="14"/>
      <c r="F622" s="14"/>
      <c r="G622" s="14"/>
      <c r="H622" s="14"/>
      <c r="I622" s="14"/>
      <c r="J622" s="14"/>
      <c r="K622" s="19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84"/>
      <c r="D623" s="14"/>
      <c r="E623" s="14"/>
      <c r="F623" s="14"/>
      <c r="G623" s="14"/>
      <c r="H623" s="14"/>
      <c r="I623" s="14"/>
      <c r="J623" s="14"/>
      <c r="K623" s="19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84"/>
      <c r="D624" s="14"/>
      <c r="E624" s="14"/>
      <c r="F624" s="14"/>
      <c r="G624" s="14"/>
      <c r="H624" s="14"/>
      <c r="I624" s="14"/>
      <c r="J624" s="14"/>
      <c r="K624" s="19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84"/>
      <c r="D625" s="14"/>
      <c r="E625" s="14"/>
      <c r="F625" s="14"/>
      <c r="G625" s="14"/>
      <c r="H625" s="14"/>
      <c r="I625" s="14"/>
      <c r="J625" s="14"/>
      <c r="K625" s="19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84"/>
      <c r="D626" s="14"/>
      <c r="E626" s="14"/>
      <c r="F626" s="14"/>
      <c r="G626" s="14"/>
      <c r="H626" s="14"/>
      <c r="I626" s="14"/>
      <c r="J626" s="14"/>
      <c r="K626" s="19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84"/>
      <c r="D627" s="14"/>
      <c r="E627" s="14"/>
      <c r="F627" s="14"/>
      <c r="G627" s="14"/>
      <c r="H627" s="14"/>
      <c r="I627" s="14"/>
      <c r="J627" s="14"/>
      <c r="K627" s="19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84"/>
      <c r="D628" s="14"/>
      <c r="E628" s="14"/>
      <c r="F628" s="14"/>
      <c r="G628" s="14"/>
      <c r="H628" s="14"/>
      <c r="I628" s="14"/>
      <c r="J628" s="14"/>
      <c r="K628" s="19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84"/>
      <c r="D629" s="14"/>
      <c r="E629" s="14"/>
      <c r="F629" s="14"/>
      <c r="G629" s="14"/>
      <c r="H629" s="14"/>
      <c r="I629" s="14"/>
      <c r="J629" s="14"/>
      <c r="K629" s="19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84"/>
      <c r="D630" s="14"/>
      <c r="E630" s="14"/>
      <c r="F630" s="14"/>
      <c r="G630" s="14"/>
      <c r="H630" s="14"/>
      <c r="I630" s="14"/>
      <c r="J630" s="14"/>
      <c r="K630" s="19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84"/>
      <c r="D631" s="14"/>
      <c r="E631" s="14"/>
      <c r="F631" s="14"/>
      <c r="G631" s="14"/>
      <c r="H631" s="14"/>
      <c r="I631" s="14"/>
      <c r="J631" s="14"/>
      <c r="K631" s="19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84"/>
      <c r="D632" s="14"/>
      <c r="E632" s="14"/>
      <c r="F632" s="14"/>
      <c r="G632" s="14"/>
      <c r="H632" s="14"/>
      <c r="I632" s="14"/>
      <c r="J632" s="14"/>
      <c r="K632" s="19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84"/>
      <c r="D633" s="14"/>
      <c r="E633" s="14"/>
      <c r="F633" s="14"/>
      <c r="G633" s="14"/>
      <c r="H633" s="14"/>
      <c r="I633" s="14"/>
      <c r="J633" s="14"/>
      <c r="K633" s="19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84"/>
      <c r="D634" s="14"/>
      <c r="E634" s="14"/>
      <c r="F634" s="14"/>
      <c r="G634" s="14"/>
      <c r="H634" s="14"/>
      <c r="I634" s="14"/>
      <c r="J634" s="14"/>
      <c r="K634" s="19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84"/>
      <c r="D635" s="14"/>
      <c r="E635" s="14"/>
      <c r="F635" s="14"/>
      <c r="G635" s="14"/>
      <c r="H635" s="14"/>
      <c r="I635" s="14"/>
      <c r="J635" s="14"/>
      <c r="K635" s="19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84"/>
      <c r="D636" s="14"/>
      <c r="E636" s="14"/>
      <c r="F636" s="14"/>
      <c r="G636" s="14"/>
      <c r="H636" s="14"/>
      <c r="I636" s="14"/>
      <c r="J636" s="14"/>
      <c r="K636" s="19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84"/>
      <c r="D637" s="14"/>
      <c r="E637" s="14"/>
      <c r="F637" s="14"/>
      <c r="G637" s="14"/>
      <c r="H637" s="14"/>
      <c r="I637" s="14"/>
      <c r="J637" s="14"/>
      <c r="K637" s="19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84"/>
      <c r="D638" s="14"/>
      <c r="E638" s="14"/>
      <c r="F638" s="14"/>
      <c r="G638" s="14"/>
      <c r="H638" s="14"/>
      <c r="I638" s="14"/>
      <c r="J638" s="14"/>
      <c r="K638" s="19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84"/>
      <c r="D639" s="14"/>
      <c r="E639" s="14"/>
      <c r="F639" s="14"/>
      <c r="G639" s="14"/>
      <c r="H639" s="14"/>
      <c r="I639" s="14"/>
      <c r="J639" s="14"/>
      <c r="K639" s="19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84"/>
      <c r="D640" s="14"/>
      <c r="E640" s="14"/>
      <c r="F640" s="14"/>
      <c r="G640" s="14"/>
      <c r="H640" s="14"/>
      <c r="I640" s="14"/>
      <c r="J640" s="14"/>
      <c r="K640" s="19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84"/>
      <c r="D641" s="14"/>
      <c r="E641" s="14"/>
      <c r="F641" s="14"/>
      <c r="G641" s="14"/>
      <c r="H641" s="14"/>
      <c r="I641" s="14"/>
      <c r="J641" s="14"/>
      <c r="K641" s="19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84"/>
      <c r="D642" s="14"/>
      <c r="E642" s="14"/>
      <c r="F642" s="14"/>
      <c r="G642" s="14"/>
      <c r="H642" s="14"/>
      <c r="I642" s="14"/>
      <c r="J642" s="14"/>
      <c r="K642" s="19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84"/>
      <c r="D643" s="14"/>
      <c r="E643" s="14"/>
      <c r="F643" s="14"/>
      <c r="G643" s="14"/>
      <c r="H643" s="14"/>
      <c r="I643" s="14"/>
      <c r="J643" s="14"/>
      <c r="K643" s="19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84"/>
      <c r="D644" s="14"/>
      <c r="E644" s="14"/>
      <c r="F644" s="14"/>
      <c r="G644" s="14"/>
      <c r="H644" s="14"/>
      <c r="I644" s="14"/>
      <c r="J644" s="14"/>
      <c r="K644" s="19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84"/>
      <c r="D645" s="14"/>
      <c r="E645" s="14"/>
      <c r="F645" s="14"/>
      <c r="G645" s="14"/>
      <c r="H645" s="14"/>
      <c r="I645" s="14"/>
      <c r="J645" s="14"/>
      <c r="K645" s="19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84"/>
      <c r="D646" s="14"/>
      <c r="E646" s="14"/>
      <c r="F646" s="14"/>
      <c r="G646" s="14"/>
      <c r="H646" s="14"/>
      <c r="I646" s="14"/>
      <c r="J646" s="14"/>
      <c r="K646" s="19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84"/>
      <c r="D647" s="14"/>
      <c r="E647" s="14"/>
      <c r="F647" s="14"/>
      <c r="G647" s="14"/>
      <c r="H647" s="14"/>
      <c r="I647" s="14"/>
      <c r="J647" s="14"/>
      <c r="K647" s="19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84"/>
      <c r="D648" s="14"/>
      <c r="E648" s="14"/>
      <c r="F648" s="14"/>
      <c r="G648" s="14"/>
      <c r="H648" s="14"/>
      <c r="I648" s="14"/>
      <c r="J648" s="14"/>
      <c r="K648" s="19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84"/>
      <c r="D649" s="14"/>
      <c r="E649" s="14"/>
      <c r="F649" s="14"/>
      <c r="G649" s="14"/>
      <c r="H649" s="14"/>
      <c r="I649" s="14"/>
      <c r="J649" s="14"/>
      <c r="K649" s="19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84"/>
      <c r="D650" s="14"/>
      <c r="E650" s="14"/>
      <c r="F650" s="14"/>
      <c r="G650" s="14"/>
      <c r="H650" s="14"/>
      <c r="I650" s="14"/>
      <c r="J650" s="14"/>
      <c r="K650" s="19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84"/>
      <c r="D651" s="14"/>
      <c r="E651" s="14"/>
      <c r="F651" s="14"/>
      <c r="G651" s="14"/>
      <c r="H651" s="14"/>
      <c r="I651" s="14"/>
      <c r="J651" s="14"/>
      <c r="K651" s="19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84"/>
      <c r="D652" s="14"/>
      <c r="E652" s="14"/>
      <c r="F652" s="14"/>
      <c r="G652" s="14"/>
      <c r="H652" s="14"/>
      <c r="I652" s="14"/>
      <c r="J652" s="14"/>
      <c r="K652" s="19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84"/>
      <c r="D653" s="14"/>
      <c r="E653" s="14"/>
      <c r="F653" s="14"/>
      <c r="G653" s="14"/>
      <c r="H653" s="14"/>
      <c r="I653" s="14"/>
      <c r="J653" s="14"/>
      <c r="K653" s="19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84"/>
      <c r="D654" s="14"/>
      <c r="E654" s="14"/>
      <c r="F654" s="14"/>
      <c r="G654" s="14"/>
      <c r="H654" s="14"/>
      <c r="I654" s="14"/>
      <c r="J654" s="14"/>
      <c r="K654" s="19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84"/>
      <c r="D655" s="14"/>
      <c r="E655" s="14"/>
      <c r="F655" s="14"/>
      <c r="G655" s="14"/>
      <c r="H655" s="14"/>
      <c r="I655" s="14"/>
      <c r="J655" s="14"/>
      <c r="K655" s="19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84"/>
      <c r="D656" s="14"/>
      <c r="E656" s="14"/>
      <c r="F656" s="14"/>
      <c r="G656" s="14"/>
      <c r="H656" s="14"/>
      <c r="I656" s="14"/>
      <c r="J656" s="14"/>
      <c r="K656" s="19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84"/>
      <c r="D657" s="14"/>
      <c r="E657" s="14"/>
      <c r="F657" s="14"/>
      <c r="G657" s="14"/>
      <c r="H657" s="14"/>
      <c r="I657" s="14"/>
      <c r="J657" s="14"/>
      <c r="K657" s="19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84"/>
      <c r="D658" s="14"/>
      <c r="E658" s="14"/>
      <c r="F658" s="14"/>
      <c r="G658" s="14"/>
      <c r="H658" s="14"/>
      <c r="I658" s="14"/>
      <c r="J658" s="14"/>
      <c r="K658" s="19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84"/>
      <c r="D659" s="14"/>
      <c r="E659" s="14"/>
      <c r="F659" s="14"/>
      <c r="G659" s="14"/>
      <c r="H659" s="14"/>
      <c r="I659" s="14"/>
      <c r="J659" s="14"/>
      <c r="K659" s="19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84"/>
      <c r="D660" s="14"/>
      <c r="E660" s="14"/>
      <c r="F660" s="14"/>
      <c r="G660" s="14"/>
      <c r="H660" s="14"/>
      <c r="I660" s="14"/>
      <c r="J660" s="14"/>
      <c r="K660" s="19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84"/>
      <c r="D661" s="14"/>
      <c r="E661" s="14"/>
      <c r="F661" s="14"/>
      <c r="G661" s="14"/>
      <c r="H661" s="14"/>
      <c r="I661" s="14"/>
      <c r="J661" s="14"/>
      <c r="K661" s="19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84"/>
      <c r="D662" s="14"/>
      <c r="E662" s="14"/>
      <c r="F662" s="14"/>
      <c r="G662" s="14"/>
      <c r="H662" s="14"/>
      <c r="I662" s="14"/>
      <c r="J662" s="14"/>
      <c r="K662" s="19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84"/>
      <c r="D663" s="14"/>
      <c r="E663" s="14"/>
      <c r="F663" s="14"/>
      <c r="G663" s="14"/>
      <c r="H663" s="14"/>
      <c r="I663" s="14"/>
      <c r="J663" s="14"/>
      <c r="K663" s="19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84"/>
      <c r="D664" s="14"/>
      <c r="E664" s="14"/>
      <c r="F664" s="14"/>
      <c r="G664" s="14"/>
      <c r="H664" s="14"/>
      <c r="I664" s="14"/>
      <c r="J664" s="14"/>
      <c r="K664" s="19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84"/>
      <c r="D665" s="14"/>
      <c r="E665" s="14"/>
      <c r="F665" s="14"/>
      <c r="G665" s="14"/>
      <c r="H665" s="14"/>
      <c r="I665" s="14"/>
      <c r="J665" s="14"/>
      <c r="K665" s="19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84"/>
      <c r="D666" s="14"/>
      <c r="E666" s="14"/>
      <c r="F666" s="14"/>
      <c r="G666" s="14"/>
      <c r="H666" s="14"/>
      <c r="I666" s="14"/>
      <c r="J666" s="14"/>
      <c r="K666" s="19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84"/>
      <c r="D667" s="14"/>
      <c r="E667" s="14"/>
      <c r="F667" s="14"/>
      <c r="G667" s="14"/>
      <c r="H667" s="14"/>
      <c r="I667" s="14"/>
      <c r="J667" s="14"/>
      <c r="K667" s="19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84"/>
      <c r="D668" s="14"/>
      <c r="E668" s="14"/>
      <c r="F668" s="14"/>
      <c r="G668" s="14"/>
      <c r="H668" s="14"/>
      <c r="I668" s="14"/>
      <c r="J668" s="14"/>
      <c r="K668" s="19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84"/>
      <c r="D669" s="14"/>
      <c r="E669" s="14"/>
      <c r="F669" s="14"/>
      <c r="G669" s="14"/>
      <c r="H669" s="14"/>
      <c r="I669" s="14"/>
      <c r="J669" s="14"/>
      <c r="K669" s="19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84"/>
      <c r="D670" s="14"/>
      <c r="E670" s="14"/>
      <c r="F670" s="14"/>
      <c r="G670" s="14"/>
      <c r="H670" s="14"/>
      <c r="I670" s="14"/>
      <c r="J670" s="14"/>
      <c r="K670" s="19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84"/>
      <c r="D671" s="14"/>
      <c r="E671" s="14"/>
      <c r="F671" s="14"/>
      <c r="G671" s="14"/>
      <c r="H671" s="14"/>
      <c r="I671" s="14"/>
      <c r="J671" s="14"/>
      <c r="K671" s="19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84"/>
      <c r="D672" s="14"/>
      <c r="E672" s="14"/>
      <c r="F672" s="14"/>
      <c r="G672" s="14"/>
      <c r="H672" s="14"/>
      <c r="I672" s="14"/>
      <c r="J672" s="14"/>
      <c r="K672" s="19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84"/>
      <c r="D673" s="14"/>
      <c r="E673" s="14"/>
      <c r="F673" s="14"/>
      <c r="G673" s="14"/>
      <c r="H673" s="14"/>
      <c r="I673" s="14"/>
      <c r="J673" s="14"/>
      <c r="K673" s="19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84"/>
      <c r="D674" s="14"/>
      <c r="E674" s="14"/>
      <c r="F674" s="14"/>
      <c r="G674" s="14"/>
      <c r="H674" s="14"/>
      <c r="I674" s="14"/>
      <c r="J674" s="14"/>
      <c r="K674" s="19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84"/>
      <c r="D675" s="14"/>
      <c r="E675" s="14"/>
      <c r="F675" s="14"/>
      <c r="G675" s="14"/>
      <c r="H675" s="14"/>
      <c r="I675" s="14"/>
      <c r="J675" s="14"/>
      <c r="K675" s="19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84"/>
      <c r="D676" s="14"/>
      <c r="E676" s="14"/>
      <c r="F676" s="14"/>
      <c r="G676" s="14"/>
      <c r="H676" s="14"/>
      <c r="I676" s="14"/>
      <c r="J676" s="14"/>
      <c r="K676" s="19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84"/>
      <c r="D677" s="14"/>
      <c r="E677" s="14"/>
      <c r="F677" s="14"/>
      <c r="G677" s="14"/>
      <c r="H677" s="14"/>
      <c r="I677" s="14"/>
      <c r="J677" s="14"/>
      <c r="K677" s="19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84"/>
      <c r="D678" s="14"/>
      <c r="E678" s="14"/>
      <c r="F678" s="14"/>
      <c r="G678" s="14"/>
      <c r="H678" s="14"/>
      <c r="I678" s="14"/>
      <c r="J678" s="14"/>
      <c r="K678" s="19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84"/>
      <c r="D679" s="14"/>
      <c r="E679" s="14"/>
      <c r="F679" s="14"/>
      <c r="G679" s="14"/>
      <c r="H679" s="14"/>
      <c r="I679" s="14"/>
      <c r="J679" s="14"/>
      <c r="K679" s="19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84"/>
      <c r="D680" s="14"/>
      <c r="E680" s="14"/>
      <c r="F680" s="14"/>
      <c r="G680" s="14"/>
      <c r="H680" s="14"/>
      <c r="I680" s="14"/>
      <c r="J680" s="14"/>
      <c r="K680" s="19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84"/>
      <c r="D681" s="14"/>
      <c r="E681" s="14"/>
      <c r="F681" s="14"/>
      <c r="G681" s="14"/>
      <c r="H681" s="14"/>
      <c r="I681" s="14"/>
      <c r="J681" s="14"/>
      <c r="K681" s="19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84"/>
      <c r="D682" s="14"/>
      <c r="E682" s="14"/>
      <c r="F682" s="14"/>
      <c r="G682" s="14"/>
      <c r="H682" s="14"/>
      <c r="I682" s="14"/>
      <c r="J682" s="14"/>
      <c r="K682" s="19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84"/>
      <c r="D683" s="14"/>
      <c r="E683" s="14"/>
      <c r="F683" s="14"/>
      <c r="G683" s="14"/>
      <c r="H683" s="14"/>
      <c r="I683" s="14"/>
      <c r="J683" s="14"/>
      <c r="K683" s="19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84"/>
      <c r="D684" s="14"/>
      <c r="E684" s="14"/>
      <c r="F684" s="14"/>
      <c r="G684" s="14"/>
      <c r="H684" s="14"/>
      <c r="I684" s="14"/>
      <c r="J684" s="14"/>
      <c r="K684" s="19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84"/>
      <c r="D685" s="14"/>
      <c r="E685" s="14"/>
      <c r="F685" s="14"/>
      <c r="G685" s="14"/>
      <c r="H685" s="14"/>
      <c r="I685" s="14"/>
      <c r="J685" s="14"/>
      <c r="K685" s="19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84"/>
      <c r="D686" s="14"/>
      <c r="E686" s="14"/>
      <c r="F686" s="14"/>
      <c r="G686" s="14"/>
      <c r="H686" s="14"/>
      <c r="I686" s="14"/>
      <c r="J686" s="14"/>
      <c r="K686" s="19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84"/>
      <c r="D687" s="14"/>
      <c r="E687" s="14"/>
      <c r="F687" s="14"/>
      <c r="G687" s="14"/>
      <c r="H687" s="14"/>
      <c r="I687" s="14"/>
      <c r="J687" s="14"/>
      <c r="K687" s="19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84"/>
      <c r="D688" s="14"/>
      <c r="E688" s="14"/>
      <c r="F688" s="14"/>
      <c r="G688" s="14"/>
      <c r="H688" s="14"/>
      <c r="I688" s="14"/>
      <c r="J688" s="14"/>
      <c r="K688" s="19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84"/>
      <c r="D689" s="14"/>
      <c r="E689" s="14"/>
      <c r="F689" s="14"/>
      <c r="G689" s="14"/>
      <c r="H689" s="14"/>
      <c r="I689" s="14"/>
      <c r="J689" s="14"/>
      <c r="K689" s="19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84"/>
      <c r="D690" s="14"/>
      <c r="E690" s="14"/>
      <c r="F690" s="14"/>
      <c r="G690" s="14"/>
      <c r="H690" s="14"/>
      <c r="I690" s="14"/>
      <c r="J690" s="14"/>
      <c r="K690" s="19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84"/>
      <c r="D691" s="14"/>
      <c r="E691" s="14"/>
      <c r="F691" s="14"/>
      <c r="G691" s="14"/>
      <c r="H691" s="14"/>
      <c r="I691" s="14"/>
      <c r="J691" s="14"/>
      <c r="K691" s="19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84"/>
      <c r="D692" s="14"/>
      <c r="E692" s="14"/>
      <c r="F692" s="14"/>
      <c r="G692" s="14"/>
      <c r="H692" s="14"/>
      <c r="I692" s="14"/>
      <c r="J692" s="14"/>
      <c r="K692" s="19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84"/>
      <c r="D693" s="14"/>
      <c r="E693" s="14"/>
      <c r="F693" s="14"/>
      <c r="G693" s="14"/>
      <c r="H693" s="14"/>
      <c r="I693" s="14"/>
      <c r="J693" s="14"/>
      <c r="K693" s="19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84"/>
      <c r="D694" s="14"/>
      <c r="E694" s="14"/>
      <c r="F694" s="14"/>
      <c r="G694" s="14"/>
      <c r="H694" s="14"/>
      <c r="I694" s="14"/>
      <c r="J694" s="14"/>
      <c r="K694" s="19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84"/>
      <c r="D695" s="14"/>
      <c r="E695" s="14"/>
      <c r="F695" s="14"/>
      <c r="G695" s="14"/>
      <c r="H695" s="14"/>
      <c r="I695" s="14"/>
      <c r="J695" s="14"/>
      <c r="K695" s="19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84"/>
      <c r="D696" s="14"/>
      <c r="E696" s="14"/>
      <c r="F696" s="14"/>
      <c r="G696" s="14"/>
      <c r="H696" s="14"/>
      <c r="I696" s="14"/>
      <c r="J696" s="14"/>
      <c r="K696" s="19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84"/>
      <c r="D697" s="14"/>
      <c r="E697" s="14"/>
      <c r="F697" s="14"/>
      <c r="G697" s="14"/>
      <c r="H697" s="14"/>
      <c r="I697" s="14"/>
      <c r="J697" s="14"/>
      <c r="K697" s="19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84"/>
      <c r="D698" s="14"/>
      <c r="E698" s="14"/>
      <c r="F698" s="14"/>
      <c r="G698" s="14"/>
      <c r="H698" s="14"/>
      <c r="I698" s="14"/>
      <c r="J698" s="14"/>
      <c r="K698" s="19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84"/>
      <c r="D699" s="14"/>
      <c r="E699" s="14"/>
      <c r="F699" s="14"/>
      <c r="G699" s="14"/>
      <c r="H699" s="14"/>
      <c r="I699" s="14"/>
      <c r="J699" s="14"/>
      <c r="K699" s="19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84"/>
      <c r="D700" s="14"/>
      <c r="E700" s="14"/>
      <c r="F700" s="14"/>
      <c r="G700" s="14"/>
      <c r="H700" s="14"/>
      <c r="I700" s="14"/>
      <c r="J700" s="14"/>
      <c r="K700" s="19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84"/>
      <c r="D701" s="14"/>
      <c r="E701" s="14"/>
      <c r="F701" s="14"/>
      <c r="G701" s="14"/>
      <c r="H701" s="14"/>
      <c r="I701" s="14"/>
      <c r="J701" s="14"/>
      <c r="K701" s="19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84"/>
      <c r="D702" s="14"/>
      <c r="E702" s="14"/>
      <c r="F702" s="14"/>
      <c r="G702" s="14"/>
      <c r="H702" s="14"/>
      <c r="I702" s="14"/>
      <c r="J702" s="14"/>
      <c r="K702" s="19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84"/>
      <c r="D703" s="14"/>
      <c r="E703" s="14"/>
      <c r="F703" s="14"/>
      <c r="G703" s="14"/>
      <c r="H703" s="14"/>
      <c r="I703" s="14"/>
      <c r="J703" s="14"/>
      <c r="K703" s="19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84"/>
      <c r="D704" s="14"/>
      <c r="E704" s="14"/>
      <c r="F704" s="14"/>
      <c r="G704" s="14"/>
      <c r="H704" s="14"/>
      <c r="I704" s="14"/>
      <c r="J704" s="14"/>
      <c r="K704" s="19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84"/>
      <c r="D705" s="14"/>
      <c r="E705" s="14"/>
      <c r="F705" s="14"/>
      <c r="G705" s="14"/>
      <c r="H705" s="14"/>
      <c r="I705" s="14"/>
      <c r="J705" s="14"/>
      <c r="K705" s="19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84"/>
      <c r="D706" s="14"/>
      <c r="E706" s="14"/>
      <c r="F706" s="14"/>
      <c r="G706" s="14"/>
      <c r="H706" s="14"/>
      <c r="I706" s="14"/>
      <c r="J706" s="14"/>
      <c r="K706" s="19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84"/>
      <c r="D707" s="14"/>
      <c r="E707" s="14"/>
      <c r="F707" s="14"/>
      <c r="G707" s="14"/>
      <c r="H707" s="14"/>
      <c r="I707" s="14"/>
      <c r="J707" s="14"/>
      <c r="K707" s="19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84"/>
      <c r="D708" s="14"/>
      <c r="E708" s="14"/>
      <c r="F708" s="14"/>
      <c r="G708" s="14"/>
      <c r="H708" s="14"/>
      <c r="I708" s="14"/>
      <c r="J708" s="14"/>
      <c r="K708" s="19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84"/>
      <c r="D709" s="14"/>
      <c r="E709" s="14"/>
      <c r="F709" s="14"/>
      <c r="G709" s="14"/>
      <c r="H709" s="14"/>
      <c r="I709" s="14"/>
      <c r="J709" s="14"/>
      <c r="K709" s="19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84"/>
      <c r="D710" s="14"/>
      <c r="E710" s="14"/>
      <c r="F710" s="14"/>
      <c r="G710" s="14"/>
      <c r="H710" s="14"/>
      <c r="I710" s="14"/>
      <c r="J710" s="14"/>
      <c r="K710" s="19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84"/>
      <c r="D711" s="14"/>
      <c r="E711" s="14"/>
      <c r="F711" s="14"/>
      <c r="G711" s="14"/>
      <c r="H711" s="14"/>
      <c r="I711" s="14"/>
      <c r="J711" s="14"/>
      <c r="K711" s="19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84"/>
      <c r="D712" s="14"/>
      <c r="E712" s="14"/>
      <c r="F712" s="14"/>
      <c r="G712" s="14"/>
      <c r="H712" s="14"/>
      <c r="I712" s="14"/>
      <c r="J712" s="14"/>
      <c r="K712" s="19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84"/>
      <c r="D713" s="14"/>
      <c r="E713" s="14"/>
      <c r="F713" s="14"/>
      <c r="G713" s="14"/>
      <c r="H713" s="14"/>
      <c r="I713" s="14"/>
      <c r="J713" s="14"/>
      <c r="K713" s="19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84"/>
      <c r="D714" s="14"/>
      <c r="E714" s="14"/>
      <c r="F714" s="14"/>
      <c r="G714" s="14"/>
      <c r="H714" s="14"/>
      <c r="I714" s="14"/>
      <c r="J714" s="14"/>
      <c r="K714" s="19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84"/>
      <c r="D715" s="14"/>
      <c r="E715" s="14"/>
      <c r="F715" s="14"/>
      <c r="G715" s="14"/>
      <c r="H715" s="14"/>
      <c r="I715" s="14"/>
      <c r="J715" s="14"/>
      <c r="K715" s="19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84"/>
      <c r="D716" s="14"/>
      <c r="E716" s="14"/>
      <c r="F716" s="14"/>
      <c r="G716" s="14"/>
      <c r="H716" s="14"/>
      <c r="I716" s="14"/>
      <c r="J716" s="14"/>
      <c r="K716" s="19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84"/>
      <c r="D717" s="14"/>
      <c r="E717" s="14"/>
      <c r="F717" s="14"/>
      <c r="G717" s="14"/>
      <c r="H717" s="14"/>
      <c r="I717" s="14"/>
      <c r="J717" s="14"/>
      <c r="K717" s="19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84"/>
      <c r="D718" s="14"/>
      <c r="E718" s="14"/>
      <c r="F718" s="14"/>
      <c r="G718" s="14"/>
      <c r="H718" s="14"/>
      <c r="I718" s="14"/>
      <c r="J718" s="14"/>
      <c r="K718" s="19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84"/>
      <c r="D719" s="14"/>
      <c r="E719" s="14"/>
      <c r="F719" s="14"/>
      <c r="G719" s="14"/>
      <c r="H719" s="14"/>
      <c r="I719" s="14"/>
      <c r="J719" s="14"/>
      <c r="K719" s="19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84"/>
      <c r="D720" s="14"/>
      <c r="E720" s="14"/>
      <c r="F720" s="14"/>
      <c r="G720" s="14"/>
      <c r="H720" s="14"/>
      <c r="I720" s="14"/>
      <c r="J720" s="14"/>
      <c r="K720" s="19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84"/>
      <c r="D721" s="14"/>
      <c r="E721" s="14"/>
      <c r="F721" s="14"/>
      <c r="G721" s="14"/>
      <c r="H721" s="14"/>
      <c r="I721" s="14"/>
      <c r="J721" s="14"/>
      <c r="K721" s="19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84"/>
      <c r="D722" s="14"/>
      <c r="E722" s="14"/>
      <c r="F722" s="14"/>
      <c r="G722" s="14"/>
      <c r="H722" s="14"/>
      <c r="I722" s="14"/>
      <c r="J722" s="14"/>
      <c r="K722" s="19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84"/>
      <c r="D723" s="14"/>
      <c r="E723" s="14"/>
      <c r="F723" s="14"/>
      <c r="G723" s="14"/>
      <c r="H723" s="14"/>
      <c r="I723" s="14"/>
      <c r="J723" s="14"/>
      <c r="K723" s="19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84"/>
      <c r="D724" s="14"/>
      <c r="E724" s="14"/>
      <c r="F724" s="14"/>
      <c r="G724" s="14"/>
      <c r="H724" s="14"/>
      <c r="I724" s="14"/>
      <c r="J724" s="14"/>
      <c r="K724" s="19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84"/>
      <c r="D725" s="14"/>
      <c r="E725" s="14"/>
      <c r="F725" s="14"/>
      <c r="G725" s="14"/>
      <c r="H725" s="14"/>
      <c r="I725" s="14"/>
      <c r="J725" s="14"/>
      <c r="K725" s="19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84"/>
      <c r="D726" s="14"/>
      <c r="E726" s="14"/>
      <c r="F726" s="14"/>
      <c r="G726" s="14"/>
      <c r="H726" s="14"/>
      <c r="I726" s="14"/>
      <c r="J726" s="14"/>
      <c r="K726" s="19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84"/>
      <c r="D727" s="14"/>
      <c r="E727" s="14"/>
      <c r="F727" s="14"/>
      <c r="G727" s="14"/>
      <c r="H727" s="14"/>
      <c r="I727" s="14"/>
      <c r="J727" s="14"/>
      <c r="K727" s="19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84"/>
      <c r="D728" s="14"/>
      <c r="E728" s="14"/>
      <c r="F728" s="14"/>
      <c r="G728" s="14"/>
      <c r="H728" s="14"/>
      <c r="I728" s="14"/>
      <c r="J728" s="14"/>
      <c r="K728" s="19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84"/>
      <c r="D729" s="14"/>
      <c r="E729" s="14"/>
      <c r="F729" s="14"/>
      <c r="G729" s="14"/>
      <c r="H729" s="14"/>
      <c r="I729" s="14"/>
      <c r="J729" s="14"/>
      <c r="K729" s="19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84"/>
      <c r="D730" s="14"/>
      <c r="E730" s="14"/>
      <c r="F730" s="14"/>
      <c r="G730" s="14"/>
      <c r="H730" s="14"/>
      <c r="I730" s="14"/>
      <c r="J730" s="14"/>
      <c r="K730" s="19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84"/>
      <c r="D731" s="14"/>
      <c r="E731" s="14"/>
      <c r="F731" s="14"/>
      <c r="G731" s="14"/>
      <c r="H731" s="14"/>
      <c r="I731" s="14"/>
      <c r="J731" s="14"/>
      <c r="K731" s="19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84"/>
      <c r="D732" s="14"/>
      <c r="E732" s="14"/>
      <c r="F732" s="14"/>
      <c r="G732" s="14"/>
      <c r="H732" s="14"/>
      <c r="I732" s="14"/>
      <c r="J732" s="14"/>
      <c r="K732" s="19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84"/>
      <c r="D733" s="14"/>
      <c r="E733" s="14"/>
      <c r="F733" s="14"/>
      <c r="G733" s="14"/>
      <c r="H733" s="14"/>
      <c r="I733" s="14"/>
      <c r="J733" s="14"/>
      <c r="K733" s="19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84"/>
      <c r="D734" s="14"/>
      <c r="E734" s="14"/>
      <c r="F734" s="14"/>
      <c r="G734" s="14"/>
      <c r="H734" s="14"/>
      <c r="I734" s="14"/>
      <c r="J734" s="14"/>
      <c r="K734" s="19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84"/>
      <c r="D735" s="14"/>
      <c r="E735" s="14"/>
      <c r="F735" s="14"/>
      <c r="G735" s="14"/>
      <c r="H735" s="14"/>
      <c r="I735" s="14"/>
      <c r="J735" s="14"/>
      <c r="K735" s="19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84"/>
      <c r="D736" s="14"/>
      <c r="E736" s="14"/>
      <c r="F736" s="14"/>
      <c r="G736" s="14"/>
      <c r="H736" s="14"/>
      <c r="I736" s="14"/>
      <c r="J736" s="14"/>
      <c r="K736" s="19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84"/>
      <c r="D737" s="14"/>
      <c r="E737" s="14"/>
      <c r="F737" s="14"/>
      <c r="G737" s="14"/>
      <c r="H737" s="14"/>
      <c r="I737" s="14"/>
      <c r="J737" s="14"/>
      <c r="K737" s="19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84"/>
      <c r="D738" s="14"/>
      <c r="E738" s="14"/>
      <c r="F738" s="14"/>
      <c r="G738" s="14"/>
      <c r="H738" s="14"/>
      <c r="I738" s="14"/>
      <c r="J738" s="14"/>
      <c r="K738" s="19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84"/>
      <c r="D739" s="14"/>
      <c r="E739" s="14"/>
      <c r="F739" s="14"/>
      <c r="G739" s="14"/>
      <c r="H739" s="14"/>
      <c r="I739" s="14"/>
      <c r="J739" s="14"/>
      <c r="K739" s="19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84"/>
      <c r="D740" s="14"/>
      <c r="E740" s="14"/>
      <c r="F740" s="14"/>
      <c r="G740" s="14"/>
      <c r="H740" s="14"/>
      <c r="I740" s="14"/>
      <c r="J740" s="14"/>
      <c r="K740" s="19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84"/>
      <c r="D741" s="14"/>
      <c r="E741" s="14"/>
      <c r="F741" s="14"/>
      <c r="G741" s="14"/>
      <c r="H741" s="14"/>
      <c r="I741" s="14"/>
      <c r="J741" s="14"/>
      <c r="K741" s="19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84"/>
      <c r="D742" s="14"/>
      <c r="E742" s="14"/>
      <c r="F742" s="14"/>
      <c r="G742" s="14"/>
      <c r="H742" s="14"/>
      <c r="I742" s="14"/>
      <c r="J742" s="14"/>
      <c r="K742" s="19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84"/>
      <c r="D743" s="14"/>
      <c r="E743" s="14"/>
      <c r="F743" s="14"/>
      <c r="G743" s="14"/>
      <c r="H743" s="14"/>
      <c r="I743" s="14"/>
      <c r="J743" s="14"/>
      <c r="K743" s="19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84"/>
      <c r="D744" s="14"/>
      <c r="E744" s="14"/>
      <c r="F744" s="14"/>
      <c r="G744" s="14"/>
      <c r="H744" s="14"/>
      <c r="I744" s="14"/>
      <c r="J744" s="14"/>
      <c r="K744" s="19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84"/>
      <c r="D745" s="14"/>
      <c r="E745" s="14"/>
      <c r="F745" s="14"/>
      <c r="G745" s="14"/>
      <c r="H745" s="14"/>
      <c r="I745" s="14"/>
      <c r="J745" s="14"/>
      <c r="K745" s="19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84"/>
      <c r="D746" s="14"/>
      <c r="E746" s="14"/>
      <c r="F746" s="14"/>
      <c r="G746" s="14"/>
      <c r="H746" s="14"/>
      <c r="I746" s="14"/>
      <c r="J746" s="14"/>
      <c r="K746" s="19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84"/>
      <c r="D747" s="14"/>
      <c r="E747" s="14"/>
      <c r="F747" s="14"/>
      <c r="G747" s="14"/>
      <c r="H747" s="14"/>
      <c r="I747" s="14"/>
      <c r="J747" s="14"/>
      <c r="K747" s="19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84"/>
      <c r="D748" s="14"/>
      <c r="E748" s="14"/>
      <c r="F748" s="14"/>
      <c r="G748" s="14"/>
      <c r="H748" s="14"/>
      <c r="I748" s="14"/>
      <c r="J748" s="14"/>
      <c r="K748" s="19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84"/>
      <c r="D749" s="14"/>
      <c r="E749" s="14"/>
      <c r="F749" s="14"/>
      <c r="G749" s="14"/>
      <c r="H749" s="14"/>
      <c r="I749" s="14"/>
      <c r="J749" s="14"/>
      <c r="K749" s="19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84"/>
      <c r="D750" s="14"/>
      <c r="E750" s="14"/>
      <c r="F750" s="14"/>
      <c r="G750" s="14"/>
      <c r="H750" s="14"/>
      <c r="I750" s="14"/>
      <c r="J750" s="14"/>
      <c r="K750" s="19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84"/>
      <c r="D751" s="14"/>
      <c r="E751" s="14"/>
      <c r="F751" s="14"/>
      <c r="G751" s="14"/>
      <c r="H751" s="14"/>
      <c r="I751" s="14"/>
      <c r="J751" s="14"/>
      <c r="K751" s="19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84"/>
      <c r="D752" s="14"/>
      <c r="E752" s="14"/>
      <c r="F752" s="14"/>
      <c r="G752" s="14"/>
      <c r="H752" s="14"/>
      <c r="I752" s="14"/>
      <c r="J752" s="14"/>
      <c r="K752" s="19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84"/>
      <c r="D753" s="14"/>
      <c r="E753" s="14"/>
      <c r="F753" s="14"/>
      <c r="G753" s="14"/>
      <c r="H753" s="14"/>
      <c r="I753" s="14"/>
      <c r="J753" s="14"/>
      <c r="K753" s="19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84"/>
      <c r="D754" s="14"/>
      <c r="E754" s="14"/>
      <c r="F754" s="14"/>
      <c r="G754" s="14"/>
      <c r="H754" s="14"/>
      <c r="I754" s="14"/>
      <c r="J754" s="14"/>
      <c r="K754" s="19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84"/>
      <c r="D755" s="14"/>
      <c r="E755" s="14"/>
      <c r="F755" s="14"/>
      <c r="G755" s="14"/>
      <c r="H755" s="14"/>
      <c r="I755" s="14"/>
      <c r="J755" s="14"/>
      <c r="K755" s="19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84"/>
      <c r="D756" s="14"/>
      <c r="E756" s="14"/>
      <c r="F756" s="14"/>
      <c r="G756" s="14"/>
      <c r="H756" s="14"/>
      <c r="I756" s="14"/>
      <c r="J756" s="14"/>
      <c r="K756" s="19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84"/>
      <c r="D757" s="14"/>
      <c r="E757" s="14"/>
      <c r="F757" s="14"/>
      <c r="G757" s="14"/>
      <c r="H757" s="14"/>
      <c r="I757" s="14"/>
      <c r="J757" s="14"/>
      <c r="K757" s="19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84"/>
      <c r="D758" s="14"/>
      <c r="E758" s="14"/>
      <c r="F758" s="14"/>
      <c r="G758" s="14"/>
      <c r="H758" s="14"/>
      <c r="I758" s="14"/>
      <c r="J758" s="14"/>
      <c r="K758" s="19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84"/>
      <c r="D759" s="14"/>
      <c r="E759" s="14"/>
      <c r="F759" s="14"/>
      <c r="G759" s="14"/>
      <c r="H759" s="14"/>
      <c r="I759" s="14"/>
      <c r="J759" s="14"/>
      <c r="K759" s="19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84"/>
      <c r="D760" s="14"/>
      <c r="E760" s="14"/>
      <c r="F760" s="14"/>
      <c r="G760" s="14"/>
      <c r="H760" s="14"/>
      <c r="I760" s="14"/>
      <c r="J760" s="14"/>
      <c r="K760" s="19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84"/>
      <c r="D761" s="14"/>
      <c r="E761" s="14"/>
      <c r="F761" s="14"/>
      <c r="G761" s="14"/>
      <c r="H761" s="14"/>
      <c r="I761" s="14"/>
      <c r="J761" s="14"/>
      <c r="K761" s="19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84"/>
      <c r="D762" s="14"/>
      <c r="E762" s="14"/>
      <c r="F762" s="14"/>
      <c r="G762" s="14"/>
      <c r="H762" s="14"/>
      <c r="I762" s="14"/>
      <c r="J762" s="14"/>
      <c r="K762" s="19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84"/>
      <c r="D763" s="14"/>
      <c r="E763" s="14"/>
      <c r="F763" s="14"/>
      <c r="G763" s="14"/>
      <c r="H763" s="14"/>
      <c r="I763" s="14"/>
      <c r="J763" s="14"/>
      <c r="K763" s="19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84"/>
      <c r="D764" s="14"/>
      <c r="E764" s="14"/>
      <c r="F764" s="14"/>
      <c r="G764" s="14"/>
      <c r="H764" s="14"/>
      <c r="I764" s="14"/>
      <c r="J764" s="14"/>
      <c r="K764" s="19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84"/>
      <c r="D765" s="14"/>
      <c r="E765" s="14"/>
      <c r="F765" s="14"/>
      <c r="G765" s="14"/>
      <c r="H765" s="14"/>
      <c r="I765" s="14"/>
      <c r="J765" s="14"/>
      <c r="K765" s="19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84"/>
      <c r="D766" s="14"/>
      <c r="E766" s="14"/>
      <c r="F766" s="14"/>
      <c r="G766" s="14"/>
      <c r="H766" s="14"/>
      <c r="I766" s="14"/>
      <c r="J766" s="14"/>
      <c r="K766" s="19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84"/>
      <c r="D767" s="14"/>
      <c r="E767" s="14"/>
      <c r="F767" s="14"/>
      <c r="G767" s="14"/>
      <c r="H767" s="14"/>
      <c r="I767" s="14"/>
      <c r="J767" s="14"/>
      <c r="K767" s="19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84"/>
      <c r="D768" s="14"/>
      <c r="E768" s="14"/>
      <c r="F768" s="14"/>
      <c r="G768" s="14"/>
      <c r="H768" s="14"/>
      <c r="I768" s="14"/>
      <c r="J768" s="14"/>
      <c r="K768" s="19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84"/>
      <c r="D769" s="14"/>
      <c r="E769" s="14"/>
      <c r="F769" s="14"/>
      <c r="G769" s="14"/>
      <c r="H769" s="14"/>
      <c r="I769" s="14"/>
      <c r="J769" s="14"/>
      <c r="K769" s="19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84"/>
      <c r="D770" s="14"/>
      <c r="E770" s="14"/>
      <c r="F770" s="14"/>
      <c r="G770" s="14"/>
      <c r="H770" s="14"/>
      <c r="I770" s="14"/>
      <c r="J770" s="14"/>
      <c r="K770" s="19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84"/>
      <c r="D771" s="14"/>
      <c r="E771" s="14"/>
      <c r="F771" s="14"/>
      <c r="G771" s="14"/>
      <c r="H771" s="14"/>
      <c r="I771" s="14"/>
      <c r="J771" s="14"/>
      <c r="K771" s="19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84"/>
      <c r="D772" s="14"/>
      <c r="E772" s="14"/>
      <c r="F772" s="14"/>
      <c r="G772" s="14"/>
      <c r="H772" s="14"/>
      <c r="I772" s="14"/>
      <c r="J772" s="14"/>
      <c r="K772" s="19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84"/>
      <c r="D773" s="14"/>
      <c r="E773" s="14"/>
      <c r="F773" s="14"/>
      <c r="G773" s="14"/>
      <c r="H773" s="14"/>
      <c r="I773" s="14"/>
      <c r="J773" s="14"/>
      <c r="K773" s="19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84"/>
      <c r="D774" s="14"/>
      <c r="E774" s="14"/>
      <c r="F774" s="14"/>
      <c r="G774" s="14"/>
      <c r="H774" s="14"/>
      <c r="I774" s="14"/>
      <c r="J774" s="14"/>
      <c r="K774" s="19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84"/>
      <c r="D775" s="14"/>
      <c r="E775" s="14"/>
      <c r="F775" s="14"/>
      <c r="G775" s="14"/>
      <c r="H775" s="14"/>
      <c r="I775" s="14"/>
      <c r="J775" s="14"/>
      <c r="K775" s="19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84"/>
      <c r="D776" s="14"/>
      <c r="E776" s="14"/>
      <c r="F776" s="14"/>
      <c r="G776" s="14"/>
      <c r="H776" s="14"/>
      <c r="I776" s="14"/>
      <c r="J776" s="14"/>
      <c r="K776" s="19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84"/>
      <c r="D777" s="14"/>
      <c r="E777" s="14"/>
      <c r="F777" s="14"/>
      <c r="G777" s="14"/>
      <c r="H777" s="14"/>
      <c r="I777" s="14"/>
      <c r="J777" s="14"/>
      <c r="K777" s="19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84"/>
      <c r="D778" s="14"/>
      <c r="E778" s="14"/>
      <c r="F778" s="14"/>
      <c r="G778" s="14"/>
      <c r="H778" s="14"/>
      <c r="I778" s="14"/>
      <c r="J778" s="14"/>
      <c r="K778" s="19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84"/>
      <c r="D779" s="14"/>
      <c r="E779" s="14"/>
      <c r="F779" s="14"/>
      <c r="G779" s="14"/>
      <c r="H779" s="14"/>
      <c r="I779" s="14"/>
      <c r="J779" s="14"/>
      <c r="K779" s="19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84"/>
      <c r="D780" s="14"/>
      <c r="E780" s="14"/>
      <c r="F780" s="14"/>
      <c r="G780" s="14"/>
      <c r="H780" s="14"/>
      <c r="I780" s="14"/>
      <c r="J780" s="14"/>
      <c r="K780" s="19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84"/>
      <c r="D781" s="14"/>
      <c r="E781" s="14"/>
      <c r="F781" s="14"/>
      <c r="G781" s="14"/>
      <c r="H781" s="14"/>
      <c r="I781" s="14"/>
      <c r="J781" s="14"/>
      <c r="K781" s="19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84"/>
      <c r="D782" s="14"/>
      <c r="E782" s="14"/>
      <c r="F782" s="14"/>
      <c r="G782" s="14"/>
      <c r="H782" s="14"/>
      <c r="I782" s="14"/>
      <c r="J782" s="14"/>
      <c r="K782" s="19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84"/>
      <c r="D783" s="14"/>
      <c r="E783" s="14"/>
      <c r="F783" s="14"/>
      <c r="G783" s="14"/>
      <c r="H783" s="14"/>
      <c r="I783" s="14"/>
      <c r="J783" s="14"/>
      <c r="K783" s="19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84"/>
      <c r="D784" s="14"/>
      <c r="E784" s="14"/>
      <c r="F784" s="14"/>
      <c r="G784" s="14"/>
      <c r="H784" s="14"/>
      <c r="I784" s="14"/>
      <c r="J784" s="14"/>
      <c r="K784" s="19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84"/>
      <c r="D785" s="14"/>
      <c r="E785" s="14"/>
      <c r="F785" s="14"/>
      <c r="G785" s="14"/>
      <c r="H785" s="14"/>
      <c r="I785" s="14"/>
      <c r="J785" s="14"/>
      <c r="K785" s="19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84"/>
      <c r="D786" s="14"/>
      <c r="E786" s="14"/>
      <c r="F786" s="14"/>
      <c r="G786" s="14"/>
      <c r="H786" s="14"/>
      <c r="I786" s="14"/>
      <c r="J786" s="14"/>
      <c r="K786" s="19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84"/>
      <c r="D787" s="14"/>
      <c r="E787" s="14"/>
      <c r="F787" s="14"/>
      <c r="G787" s="14"/>
      <c r="H787" s="14"/>
      <c r="I787" s="14"/>
      <c r="J787" s="14"/>
      <c r="K787" s="19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84"/>
      <c r="D788" s="14"/>
      <c r="E788" s="14"/>
      <c r="F788" s="14"/>
      <c r="G788" s="14"/>
      <c r="H788" s="14"/>
      <c r="I788" s="14"/>
      <c r="J788" s="14"/>
      <c r="K788" s="19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84"/>
      <c r="D789" s="14"/>
      <c r="E789" s="14"/>
      <c r="F789" s="14"/>
      <c r="G789" s="14"/>
      <c r="H789" s="14"/>
      <c r="I789" s="14"/>
      <c r="J789" s="14"/>
      <c r="K789" s="19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84"/>
      <c r="D790" s="14"/>
      <c r="E790" s="14"/>
      <c r="F790" s="14"/>
      <c r="G790" s="14"/>
      <c r="H790" s="14"/>
      <c r="I790" s="14"/>
      <c r="J790" s="14"/>
      <c r="K790" s="19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84"/>
      <c r="D791" s="14"/>
      <c r="E791" s="14"/>
      <c r="F791" s="14"/>
      <c r="G791" s="14"/>
      <c r="H791" s="14"/>
      <c r="I791" s="14"/>
      <c r="J791" s="14"/>
      <c r="K791" s="19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84"/>
      <c r="D792" s="14"/>
      <c r="E792" s="14"/>
      <c r="F792" s="14"/>
      <c r="G792" s="14"/>
      <c r="H792" s="14"/>
      <c r="I792" s="14"/>
      <c r="J792" s="14"/>
      <c r="K792" s="19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84"/>
      <c r="D793" s="14"/>
      <c r="E793" s="14"/>
      <c r="F793" s="14"/>
      <c r="G793" s="14"/>
      <c r="H793" s="14"/>
      <c r="I793" s="14"/>
      <c r="J793" s="14"/>
      <c r="K793" s="19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84"/>
      <c r="D794" s="14"/>
      <c r="E794" s="14"/>
      <c r="F794" s="14"/>
      <c r="G794" s="14"/>
      <c r="H794" s="14"/>
      <c r="I794" s="14"/>
      <c r="J794" s="14"/>
      <c r="K794" s="19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84"/>
      <c r="D795" s="14"/>
      <c r="E795" s="14"/>
      <c r="F795" s="14"/>
      <c r="G795" s="14"/>
      <c r="H795" s="14"/>
      <c r="I795" s="14"/>
      <c r="J795" s="14"/>
      <c r="K795" s="19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84"/>
      <c r="D796" s="14"/>
      <c r="E796" s="14"/>
      <c r="F796" s="14"/>
      <c r="G796" s="14"/>
      <c r="H796" s="14"/>
      <c r="I796" s="14"/>
      <c r="J796" s="14"/>
      <c r="K796" s="19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84"/>
      <c r="D797" s="14"/>
      <c r="E797" s="14"/>
      <c r="F797" s="14"/>
      <c r="G797" s="14"/>
      <c r="H797" s="14"/>
      <c r="I797" s="14"/>
      <c r="J797" s="14"/>
      <c r="K797" s="19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84"/>
      <c r="D798" s="14"/>
      <c r="E798" s="14"/>
      <c r="F798" s="14"/>
      <c r="G798" s="14"/>
      <c r="H798" s="14"/>
      <c r="I798" s="14"/>
      <c r="J798" s="14"/>
      <c r="K798" s="19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84"/>
      <c r="D799" s="14"/>
      <c r="E799" s="14"/>
      <c r="F799" s="14"/>
      <c r="G799" s="14"/>
      <c r="H799" s="14"/>
      <c r="I799" s="14"/>
      <c r="J799" s="14"/>
      <c r="K799" s="19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84"/>
      <c r="D800" s="14"/>
      <c r="E800" s="14"/>
      <c r="F800" s="14"/>
      <c r="G800" s="14"/>
      <c r="H800" s="14"/>
      <c r="I800" s="14"/>
      <c r="J800" s="14"/>
      <c r="K800" s="19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84"/>
      <c r="D801" s="14"/>
      <c r="E801" s="14"/>
      <c r="F801" s="14"/>
      <c r="G801" s="14"/>
      <c r="H801" s="14"/>
      <c r="I801" s="14"/>
      <c r="J801" s="14"/>
      <c r="K801" s="19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84"/>
      <c r="D802" s="14"/>
      <c r="E802" s="14"/>
      <c r="F802" s="14"/>
      <c r="G802" s="14"/>
      <c r="H802" s="14"/>
      <c r="I802" s="14"/>
      <c r="J802" s="14"/>
      <c r="K802" s="19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84"/>
      <c r="D803" s="14"/>
      <c r="E803" s="14"/>
      <c r="F803" s="14"/>
      <c r="G803" s="14"/>
      <c r="H803" s="14"/>
      <c r="I803" s="14"/>
      <c r="J803" s="14"/>
      <c r="K803" s="19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84"/>
      <c r="D804" s="14"/>
      <c r="E804" s="14"/>
      <c r="F804" s="14"/>
      <c r="G804" s="14"/>
      <c r="H804" s="14"/>
      <c r="I804" s="14"/>
      <c r="J804" s="14"/>
      <c r="K804" s="19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84"/>
      <c r="D805" s="14"/>
      <c r="E805" s="14"/>
      <c r="F805" s="14"/>
      <c r="G805" s="14"/>
      <c r="H805" s="14"/>
      <c r="I805" s="14"/>
      <c r="J805" s="14"/>
      <c r="K805" s="19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84"/>
      <c r="D806" s="14"/>
      <c r="E806" s="14"/>
      <c r="F806" s="14"/>
      <c r="G806" s="14"/>
      <c r="H806" s="14"/>
      <c r="I806" s="14"/>
      <c r="J806" s="14"/>
      <c r="K806" s="19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84"/>
      <c r="D807" s="14"/>
      <c r="E807" s="14"/>
      <c r="F807" s="14"/>
      <c r="G807" s="14"/>
      <c r="H807" s="14"/>
      <c r="I807" s="14"/>
      <c r="J807" s="14"/>
      <c r="K807" s="19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84"/>
      <c r="D808" s="14"/>
      <c r="E808" s="14"/>
      <c r="F808" s="14"/>
      <c r="G808" s="14"/>
      <c r="H808" s="14"/>
      <c r="I808" s="14"/>
      <c r="J808" s="14"/>
      <c r="K808" s="19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84"/>
      <c r="D809" s="14"/>
      <c r="E809" s="14"/>
      <c r="F809" s="14"/>
      <c r="G809" s="14"/>
      <c r="H809" s="14"/>
      <c r="I809" s="14"/>
      <c r="J809" s="14"/>
      <c r="K809" s="19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84"/>
      <c r="D810" s="14"/>
      <c r="E810" s="14"/>
      <c r="F810" s="14"/>
      <c r="G810" s="14"/>
      <c r="H810" s="14"/>
      <c r="I810" s="14"/>
      <c r="J810" s="14"/>
      <c r="K810" s="19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84"/>
      <c r="D811" s="14"/>
      <c r="E811" s="14"/>
      <c r="F811" s="14"/>
      <c r="G811" s="14"/>
      <c r="H811" s="14"/>
      <c r="I811" s="14"/>
      <c r="J811" s="14"/>
      <c r="K811" s="19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84"/>
      <c r="D812" s="14"/>
      <c r="E812" s="14"/>
      <c r="F812" s="14"/>
      <c r="G812" s="14"/>
      <c r="H812" s="14"/>
      <c r="I812" s="14"/>
      <c r="J812" s="14"/>
      <c r="K812" s="19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84"/>
      <c r="D813" s="14"/>
      <c r="E813" s="14"/>
      <c r="F813" s="14"/>
      <c r="G813" s="14"/>
      <c r="H813" s="14"/>
      <c r="I813" s="14"/>
      <c r="J813" s="14"/>
      <c r="K813" s="19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84"/>
      <c r="D814" s="14"/>
      <c r="E814" s="14"/>
      <c r="F814" s="14"/>
      <c r="G814" s="14"/>
      <c r="H814" s="14"/>
      <c r="I814" s="14"/>
      <c r="J814" s="14"/>
      <c r="K814" s="19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84"/>
      <c r="D815" s="14"/>
      <c r="E815" s="14"/>
      <c r="F815" s="14"/>
      <c r="G815" s="14"/>
      <c r="H815" s="14"/>
      <c r="I815" s="14"/>
      <c r="J815" s="14"/>
      <c r="K815" s="19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84"/>
      <c r="D816" s="14"/>
      <c r="E816" s="14"/>
      <c r="F816" s="14"/>
      <c r="G816" s="14"/>
      <c r="H816" s="14"/>
      <c r="I816" s="14"/>
      <c r="J816" s="14"/>
      <c r="K816" s="19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84"/>
      <c r="D817" s="14"/>
      <c r="E817" s="14"/>
      <c r="F817" s="14"/>
      <c r="G817" s="14"/>
      <c r="H817" s="14"/>
      <c r="I817" s="14"/>
      <c r="J817" s="14"/>
      <c r="K817" s="19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84"/>
      <c r="D818" s="14"/>
      <c r="E818" s="14"/>
      <c r="F818" s="14"/>
      <c r="G818" s="14"/>
      <c r="H818" s="14"/>
      <c r="I818" s="14"/>
      <c r="J818" s="14"/>
      <c r="K818" s="19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84"/>
      <c r="D819" s="14"/>
      <c r="E819" s="14"/>
      <c r="F819" s="14"/>
      <c r="G819" s="14"/>
      <c r="H819" s="14"/>
      <c r="I819" s="14"/>
      <c r="J819" s="14"/>
      <c r="K819" s="19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84"/>
      <c r="D820" s="14"/>
      <c r="E820" s="14"/>
      <c r="F820" s="14"/>
      <c r="G820" s="14"/>
      <c r="H820" s="14"/>
      <c r="I820" s="14"/>
      <c r="J820" s="14"/>
      <c r="K820" s="19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84"/>
      <c r="D821" s="14"/>
      <c r="E821" s="14"/>
      <c r="F821" s="14"/>
      <c r="G821" s="14"/>
      <c r="H821" s="14"/>
      <c r="I821" s="14"/>
      <c r="J821" s="14"/>
      <c r="K821" s="19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84"/>
      <c r="D822" s="14"/>
      <c r="E822" s="14"/>
      <c r="F822" s="14"/>
      <c r="G822" s="14"/>
      <c r="H822" s="14"/>
      <c r="I822" s="14"/>
      <c r="J822" s="14"/>
      <c r="K822" s="19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84"/>
      <c r="D823" s="14"/>
      <c r="E823" s="14"/>
      <c r="F823" s="14"/>
      <c r="G823" s="14"/>
      <c r="H823" s="14"/>
      <c r="I823" s="14"/>
      <c r="J823" s="14"/>
      <c r="K823" s="19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84"/>
      <c r="D824" s="14"/>
      <c r="E824" s="14"/>
      <c r="F824" s="14"/>
      <c r="G824" s="14"/>
      <c r="H824" s="14"/>
      <c r="I824" s="14"/>
      <c r="J824" s="14"/>
      <c r="K824" s="19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84"/>
      <c r="D825" s="14"/>
      <c r="E825" s="14"/>
      <c r="F825" s="14"/>
      <c r="G825" s="14"/>
      <c r="H825" s="14"/>
      <c r="I825" s="14"/>
      <c r="J825" s="14"/>
      <c r="K825" s="19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84"/>
      <c r="D826" s="14"/>
      <c r="E826" s="14"/>
      <c r="F826" s="14"/>
      <c r="G826" s="14"/>
      <c r="H826" s="14"/>
      <c r="I826" s="14"/>
      <c r="J826" s="14"/>
      <c r="K826" s="19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84"/>
      <c r="D827" s="14"/>
      <c r="E827" s="14"/>
      <c r="F827" s="14"/>
      <c r="G827" s="14"/>
      <c r="H827" s="14"/>
      <c r="I827" s="14"/>
      <c r="J827" s="14"/>
      <c r="K827" s="19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84"/>
      <c r="D828" s="14"/>
      <c r="E828" s="14"/>
      <c r="F828" s="14"/>
      <c r="G828" s="14"/>
      <c r="H828" s="14"/>
      <c r="I828" s="14"/>
      <c r="J828" s="14"/>
      <c r="K828" s="19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84"/>
      <c r="D829" s="14"/>
      <c r="E829" s="14"/>
      <c r="F829" s="14"/>
      <c r="G829" s="14"/>
      <c r="H829" s="14"/>
      <c r="I829" s="14"/>
      <c r="J829" s="14"/>
      <c r="K829" s="19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84"/>
      <c r="D830" s="14"/>
      <c r="E830" s="14"/>
      <c r="F830" s="14"/>
      <c r="G830" s="14"/>
      <c r="H830" s="14"/>
      <c r="I830" s="14"/>
      <c r="J830" s="14"/>
      <c r="K830" s="19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84"/>
      <c r="D831" s="14"/>
      <c r="E831" s="14"/>
      <c r="F831" s="14"/>
      <c r="G831" s="14"/>
      <c r="H831" s="14"/>
      <c r="I831" s="14"/>
      <c r="J831" s="14"/>
      <c r="K831" s="19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84"/>
      <c r="D832" s="14"/>
      <c r="E832" s="14"/>
      <c r="F832" s="14"/>
      <c r="G832" s="14"/>
      <c r="H832" s="14"/>
      <c r="I832" s="14"/>
      <c r="J832" s="14"/>
      <c r="K832" s="19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84"/>
      <c r="D833" s="14"/>
      <c r="E833" s="14"/>
      <c r="F833" s="14"/>
      <c r="G833" s="14"/>
      <c r="H833" s="14"/>
      <c r="I833" s="14"/>
      <c r="J833" s="14"/>
      <c r="K833" s="19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84"/>
      <c r="D834" s="14"/>
      <c r="E834" s="14"/>
      <c r="F834" s="14"/>
      <c r="G834" s="14"/>
      <c r="H834" s="14"/>
      <c r="I834" s="14"/>
      <c r="J834" s="14"/>
      <c r="K834" s="19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84"/>
      <c r="D835" s="14"/>
      <c r="E835" s="14"/>
      <c r="F835" s="14"/>
      <c r="G835" s="14"/>
      <c r="H835" s="14"/>
      <c r="I835" s="14"/>
      <c r="J835" s="14"/>
      <c r="K835" s="19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84"/>
      <c r="D836" s="14"/>
      <c r="E836" s="14"/>
      <c r="F836" s="14"/>
      <c r="G836" s="14"/>
      <c r="H836" s="14"/>
      <c r="I836" s="14"/>
      <c r="J836" s="14"/>
      <c r="K836" s="19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84"/>
      <c r="D837" s="14"/>
      <c r="E837" s="14"/>
      <c r="F837" s="14"/>
      <c r="G837" s="14"/>
      <c r="H837" s="14"/>
      <c r="I837" s="14"/>
      <c r="J837" s="14"/>
      <c r="K837" s="19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84"/>
      <c r="D838" s="14"/>
      <c r="E838" s="14"/>
      <c r="F838" s="14"/>
      <c r="G838" s="14"/>
      <c r="H838" s="14"/>
      <c r="I838" s="14"/>
      <c r="J838" s="14"/>
      <c r="K838" s="19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84"/>
      <c r="D839" s="14"/>
      <c r="E839" s="14"/>
      <c r="F839" s="14"/>
      <c r="G839" s="14"/>
      <c r="H839" s="14"/>
      <c r="I839" s="14"/>
      <c r="J839" s="14"/>
      <c r="K839" s="19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84"/>
      <c r="D840" s="14"/>
      <c r="E840" s="14"/>
      <c r="F840" s="14"/>
      <c r="G840" s="14"/>
      <c r="H840" s="14"/>
      <c r="I840" s="14"/>
      <c r="J840" s="14"/>
      <c r="K840" s="19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84"/>
      <c r="D841" s="14"/>
      <c r="E841" s="14"/>
      <c r="F841" s="14"/>
      <c r="G841" s="14"/>
      <c r="H841" s="14"/>
      <c r="I841" s="14"/>
      <c r="J841" s="14"/>
      <c r="K841" s="19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84"/>
      <c r="D842" s="14"/>
      <c r="E842" s="14"/>
      <c r="F842" s="14"/>
      <c r="G842" s="14"/>
      <c r="H842" s="14"/>
      <c r="I842" s="14"/>
      <c r="J842" s="14"/>
      <c r="K842" s="19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84"/>
      <c r="D843" s="14"/>
      <c r="E843" s="14"/>
      <c r="F843" s="14"/>
      <c r="G843" s="14"/>
      <c r="H843" s="14"/>
      <c r="I843" s="14"/>
      <c r="J843" s="14"/>
      <c r="K843" s="19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84"/>
      <c r="D844" s="14"/>
      <c r="E844" s="14"/>
      <c r="F844" s="14"/>
      <c r="G844" s="14"/>
      <c r="H844" s="14"/>
      <c r="I844" s="14"/>
      <c r="J844" s="14"/>
      <c r="K844" s="19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84"/>
      <c r="D845" s="14"/>
      <c r="E845" s="14"/>
      <c r="F845" s="14"/>
      <c r="G845" s="14"/>
      <c r="H845" s="14"/>
      <c r="I845" s="14"/>
      <c r="J845" s="14"/>
      <c r="K845" s="19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84"/>
      <c r="D846" s="14"/>
      <c r="E846" s="14"/>
      <c r="F846" s="14"/>
      <c r="G846" s="14"/>
      <c r="H846" s="14"/>
      <c r="I846" s="14"/>
      <c r="J846" s="14"/>
      <c r="K846" s="19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84"/>
      <c r="D847" s="14"/>
      <c r="E847" s="14"/>
      <c r="F847" s="14"/>
      <c r="G847" s="14"/>
      <c r="H847" s="14"/>
      <c r="I847" s="14"/>
      <c r="J847" s="14"/>
      <c r="K847" s="19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84"/>
      <c r="D848" s="14"/>
      <c r="E848" s="14"/>
      <c r="F848" s="14"/>
      <c r="G848" s="14"/>
      <c r="H848" s="14"/>
      <c r="I848" s="14"/>
      <c r="J848" s="14"/>
      <c r="K848" s="19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84"/>
      <c r="D849" s="14"/>
      <c r="E849" s="14"/>
      <c r="F849" s="14"/>
      <c r="G849" s="14"/>
      <c r="H849" s="14"/>
      <c r="I849" s="14"/>
      <c r="J849" s="14"/>
      <c r="K849" s="19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84"/>
      <c r="D850" s="14"/>
      <c r="E850" s="14"/>
      <c r="F850" s="14"/>
      <c r="G850" s="14"/>
      <c r="H850" s="14"/>
      <c r="I850" s="14"/>
      <c r="J850" s="14"/>
      <c r="K850" s="19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84"/>
      <c r="D851" s="14"/>
      <c r="E851" s="14"/>
      <c r="F851" s="14"/>
      <c r="G851" s="14"/>
      <c r="H851" s="14"/>
      <c r="I851" s="14"/>
      <c r="J851" s="14"/>
      <c r="K851" s="19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84"/>
      <c r="D852" s="14"/>
      <c r="E852" s="14"/>
      <c r="F852" s="14"/>
      <c r="G852" s="14"/>
      <c r="H852" s="14"/>
      <c r="I852" s="14"/>
      <c r="J852" s="14"/>
      <c r="K852" s="19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84"/>
      <c r="D853" s="14"/>
      <c r="E853" s="14"/>
      <c r="F853" s="14"/>
      <c r="G853" s="14"/>
      <c r="H853" s="14"/>
      <c r="I853" s="14"/>
      <c r="J853" s="14"/>
      <c r="K853" s="19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84"/>
      <c r="D854" s="14"/>
      <c r="E854" s="14"/>
      <c r="F854" s="14"/>
      <c r="G854" s="14"/>
      <c r="H854" s="14"/>
      <c r="I854" s="14"/>
      <c r="J854" s="14"/>
      <c r="K854" s="19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84"/>
      <c r="D855" s="14"/>
      <c r="E855" s="14"/>
      <c r="F855" s="14"/>
      <c r="G855" s="14"/>
      <c r="H855" s="14"/>
      <c r="I855" s="14"/>
      <c r="J855" s="14"/>
      <c r="K855" s="19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84"/>
      <c r="D856" s="14"/>
      <c r="E856" s="14"/>
      <c r="F856" s="14"/>
      <c r="G856" s="14"/>
      <c r="H856" s="14"/>
      <c r="I856" s="14"/>
      <c r="J856" s="14"/>
      <c r="K856" s="19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84"/>
      <c r="D857" s="14"/>
      <c r="E857" s="14"/>
      <c r="F857" s="14"/>
      <c r="G857" s="14"/>
      <c r="H857" s="14"/>
      <c r="I857" s="14"/>
      <c r="J857" s="14"/>
      <c r="K857" s="19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84"/>
      <c r="D858" s="14"/>
      <c r="E858" s="14"/>
      <c r="F858" s="14"/>
      <c r="G858" s="14"/>
      <c r="H858" s="14"/>
      <c r="I858" s="14"/>
      <c r="J858" s="14"/>
      <c r="K858" s="19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84"/>
      <c r="D859" s="14"/>
      <c r="E859" s="14"/>
      <c r="F859" s="14"/>
      <c r="G859" s="14"/>
      <c r="H859" s="14"/>
      <c r="I859" s="14"/>
      <c r="J859" s="14"/>
      <c r="K859" s="19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84"/>
      <c r="D860" s="14"/>
      <c r="E860" s="14"/>
      <c r="F860" s="14"/>
      <c r="G860" s="14"/>
      <c r="H860" s="14"/>
      <c r="I860" s="14"/>
      <c r="J860" s="14"/>
      <c r="K860" s="19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84"/>
      <c r="D861" s="14"/>
      <c r="E861" s="14"/>
      <c r="F861" s="14"/>
      <c r="G861" s="14"/>
      <c r="H861" s="14"/>
      <c r="I861" s="14"/>
      <c r="J861" s="14"/>
      <c r="K861" s="19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84"/>
      <c r="D862" s="14"/>
      <c r="E862" s="14"/>
      <c r="F862" s="14"/>
      <c r="G862" s="14"/>
      <c r="H862" s="14"/>
      <c r="I862" s="14"/>
      <c r="J862" s="14"/>
      <c r="K862" s="19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84"/>
      <c r="D863" s="14"/>
      <c r="E863" s="14"/>
      <c r="F863" s="14"/>
      <c r="G863" s="14"/>
      <c r="H863" s="14"/>
      <c r="I863" s="14"/>
      <c r="J863" s="14"/>
      <c r="K863" s="19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84"/>
      <c r="D864" s="14"/>
      <c r="E864" s="14"/>
      <c r="F864" s="14"/>
      <c r="G864" s="14"/>
      <c r="H864" s="14"/>
      <c r="I864" s="14"/>
      <c r="J864" s="14"/>
      <c r="K864" s="19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84"/>
      <c r="D865" s="14"/>
      <c r="E865" s="14"/>
      <c r="F865" s="14"/>
      <c r="G865" s="14"/>
      <c r="H865" s="14"/>
      <c r="I865" s="14"/>
      <c r="J865" s="14"/>
      <c r="K865" s="19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84"/>
      <c r="D866" s="14"/>
      <c r="E866" s="14"/>
      <c r="F866" s="14"/>
      <c r="G866" s="14"/>
      <c r="H866" s="14"/>
      <c r="I866" s="14"/>
      <c r="J866" s="14"/>
      <c r="K866" s="19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84"/>
      <c r="D867" s="14"/>
      <c r="E867" s="14"/>
      <c r="F867" s="14"/>
      <c r="G867" s="14"/>
      <c r="H867" s="14"/>
      <c r="I867" s="14"/>
      <c r="J867" s="14"/>
      <c r="K867" s="19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84"/>
      <c r="D868" s="14"/>
      <c r="E868" s="14"/>
      <c r="F868" s="14"/>
      <c r="G868" s="14"/>
      <c r="H868" s="14"/>
      <c r="I868" s="14"/>
      <c r="J868" s="14"/>
      <c r="K868" s="19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84"/>
      <c r="D869" s="14"/>
      <c r="E869" s="14"/>
      <c r="F869" s="14"/>
      <c r="G869" s="14"/>
      <c r="H869" s="14"/>
      <c r="I869" s="14"/>
      <c r="J869" s="14"/>
      <c r="K869" s="19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84"/>
      <c r="D870" s="14"/>
      <c r="E870" s="14"/>
      <c r="F870" s="14"/>
      <c r="G870" s="14"/>
      <c r="H870" s="14"/>
      <c r="I870" s="14"/>
      <c r="J870" s="14"/>
      <c r="K870" s="19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84"/>
      <c r="D871" s="14"/>
      <c r="E871" s="14"/>
      <c r="F871" s="14"/>
      <c r="G871" s="14"/>
      <c r="H871" s="14"/>
      <c r="I871" s="14"/>
      <c r="J871" s="14"/>
      <c r="K871" s="19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84"/>
      <c r="D872" s="14"/>
      <c r="E872" s="14"/>
      <c r="F872" s="14"/>
      <c r="G872" s="14"/>
      <c r="H872" s="14"/>
      <c r="I872" s="14"/>
      <c r="J872" s="14"/>
      <c r="K872" s="19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84"/>
      <c r="D873" s="14"/>
      <c r="E873" s="14"/>
      <c r="F873" s="14"/>
      <c r="G873" s="14"/>
      <c r="H873" s="14"/>
      <c r="I873" s="14"/>
      <c r="J873" s="14"/>
      <c r="K873" s="19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84"/>
      <c r="D874" s="14"/>
      <c r="E874" s="14"/>
      <c r="F874" s="14"/>
      <c r="G874" s="14"/>
      <c r="H874" s="14"/>
      <c r="I874" s="14"/>
      <c r="J874" s="14"/>
      <c r="K874" s="19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84"/>
      <c r="D875" s="14"/>
      <c r="E875" s="14"/>
      <c r="F875" s="14"/>
      <c r="G875" s="14"/>
      <c r="H875" s="14"/>
      <c r="I875" s="14"/>
      <c r="J875" s="14"/>
      <c r="K875" s="19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84"/>
      <c r="D876" s="14"/>
      <c r="E876" s="14"/>
      <c r="F876" s="14"/>
      <c r="G876" s="14"/>
      <c r="H876" s="14"/>
      <c r="I876" s="14"/>
      <c r="J876" s="14"/>
      <c r="K876" s="19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84"/>
      <c r="D877" s="14"/>
      <c r="E877" s="14"/>
      <c r="F877" s="14"/>
      <c r="G877" s="14"/>
      <c r="H877" s="14"/>
      <c r="I877" s="14"/>
      <c r="J877" s="14"/>
      <c r="K877" s="19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84"/>
      <c r="D878" s="14"/>
      <c r="E878" s="14"/>
      <c r="F878" s="14"/>
      <c r="G878" s="14"/>
      <c r="H878" s="14"/>
      <c r="I878" s="14"/>
      <c r="J878" s="14"/>
      <c r="K878" s="19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84"/>
      <c r="D879" s="14"/>
      <c r="E879" s="14"/>
      <c r="F879" s="14"/>
      <c r="G879" s="14"/>
      <c r="H879" s="14"/>
      <c r="I879" s="14"/>
      <c r="J879" s="14"/>
      <c r="K879" s="19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84"/>
      <c r="D880" s="14"/>
      <c r="E880" s="14"/>
      <c r="F880" s="14"/>
      <c r="G880" s="14"/>
      <c r="H880" s="14"/>
      <c r="I880" s="14"/>
      <c r="J880" s="14"/>
      <c r="K880" s="19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84"/>
      <c r="D881" s="14"/>
      <c r="E881" s="14"/>
      <c r="F881" s="14"/>
      <c r="G881" s="14"/>
      <c r="H881" s="14"/>
      <c r="I881" s="14"/>
      <c r="J881" s="14"/>
      <c r="K881" s="19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84"/>
      <c r="D882" s="14"/>
      <c r="E882" s="14"/>
      <c r="F882" s="14"/>
      <c r="G882" s="14"/>
      <c r="H882" s="14"/>
      <c r="I882" s="14"/>
      <c r="J882" s="14"/>
      <c r="K882" s="19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84"/>
      <c r="D883" s="14"/>
      <c r="E883" s="14"/>
      <c r="F883" s="14"/>
      <c r="G883" s="14"/>
      <c r="H883" s="14"/>
      <c r="I883" s="14"/>
      <c r="J883" s="14"/>
      <c r="K883" s="19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84"/>
      <c r="D884" s="14"/>
      <c r="E884" s="14"/>
      <c r="F884" s="14"/>
      <c r="G884" s="14"/>
      <c r="H884" s="14"/>
      <c r="I884" s="14"/>
      <c r="J884" s="14"/>
      <c r="K884" s="19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84"/>
      <c r="D885" s="14"/>
      <c r="E885" s="14"/>
      <c r="F885" s="14"/>
      <c r="G885" s="14"/>
      <c r="H885" s="14"/>
      <c r="I885" s="14"/>
      <c r="J885" s="14"/>
      <c r="K885" s="19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84"/>
      <c r="D886" s="14"/>
      <c r="E886" s="14"/>
      <c r="F886" s="14"/>
      <c r="G886" s="14"/>
      <c r="H886" s="14"/>
      <c r="I886" s="14"/>
      <c r="J886" s="14"/>
      <c r="K886" s="19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84"/>
      <c r="D887" s="14"/>
      <c r="E887" s="14"/>
      <c r="F887" s="14"/>
      <c r="G887" s="14"/>
      <c r="H887" s="14"/>
      <c r="I887" s="14"/>
      <c r="J887" s="14"/>
      <c r="K887" s="19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84"/>
      <c r="D888" s="14"/>
      <c r="E888" s="14"/>
      <c r="F888" s="14"/>
      <c r="G888" s="14"/>
      <c r="H888" s="14"/>
      <c r="I888" s="14"/>
      <c r="J888" s="14"/>
      <c r="K888" s="19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84"/>
      <c r="D889" s="14"/>
      <c r="E889" s="14"/>
      <c r="F889" s="14"/>
      <c r="G889" s="14"/>
      <c r="H889" s="14"/>
      <c r="I889" s="14"/>
      <c r="J889" s="14"/>
      <c r="K889" s="19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84"/>
      <c r="D890" s="14"/>
      <c r="E890" s="14"/>
      <c r="F890" s="14"/>
      <c r="G890" s="14"/>
      <c r="H890" s="14"/>
      <c r="I890" s="14"/>
      <c r="J890" s="14"/>
      <c r="K890" s="19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84"/>
      <c r="D891" s="14"/>
      <c r="E891" s="14"/>
      <c r="F891" s="14"/>
      <c r="G891" s="14"/>
      <c r="H891" s="14"/>
      <c r="I891" s="14"/>
      <c r="J891" s="14"/>
      <c r="K891" s="19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84"/>
      <c r="D892" s="14"/>
      <c r="E892" s="14"/>
      <c r="F892" s="14"/>
      <c r="G892" s="14"/>
      <c r="H892" s="14"/>
      <c r="I892" s="14"/>
      <c r="J892" s="14"/>
      <c r="K892" s="19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84"/>
      <c r="D893" s="14"/>
      <c r="E893" s="14"/>
      <c r="F893" s="14"/>
      <c r="G893" s="14"/>
      <c r="H893" s="14"/>
      <c r="I893" s="14"/>
      <c r="J893" s="14"/>
      <c r="K893" s="19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84"/>
      <c r="D894" s="14"/>
      <c r="E894" s="14"/>
      <c r="F894" s="14"/>
      <c r="G894" s="14"/>
      <c r="H894" s="14"/>
      <c r="I894" s="14"/>
      <c r="J894" s="14"/>
      <c r="K894" s="19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84"/>
      <c r="D895" s="14"/>
      <c r="E895" s="14"/>
      <c r="F895" s="14"/>
      <c r="G895" s="14"/>
      <c r="H895" s="14"/>
      <c r="I895" s="14"/>
      <c r="J895" s="14"/>
      <c r="K895" s="19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84"/>
      <c r="D896" s="14"/>
      <c r="E896" s="14"/>
      <c r="F896" s="14"/>
      <c r="G896" s="14"/>
      <c r="H896" s="14"/>
      <c r="I896" s="14"/>
      <c r="J896" s="14"/>
      <c r="K896" s="19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84"/>
      <c r="D897" s="14"/>
      <c r="E897" s="14"/>
      <c r="F897" s="14"/>
      <c r="G897" s="14"/>
      <c r="H897" s="14"/>
      <c r="I897" s="14"/>
      <c r="J897" s="14"/>
      <c r="K897" s="19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84"/>
      <c r="D898" s="14"/>
      <c r="E898" s="14"/>
      <c r="F898" s="14"/>
      <c r="G898" s="14"/>
      <c r="H898" s="14"/>
      <c r="I898" s="14"/>
      <c r="J898" s="14"/>
      <c r="K898" s="19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84"/>
      <c r="D899" s="14"/>
      <c r="E899" s="14"/>
      <c r="F899" s="14"/>
      <c r="G899" s="14"/>
      <c r="H899" s="14"/>
      <c r="I899" s="14"/>
      <c r="J899" s="14"/>
      <c r="K899" s="19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84"/>
      <c r="D900" s="14"/>
      <c r="E900" s="14"/>
      <c r="F900" s="14"/>
      <c r="G900" s="14"/>
      <c r="H900" s="14"/>
      <c r="I900" s="14"/>
      <c r="J900" s="14"/>
      <c r="K900" s="19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84"/>
      <c r="D901" s="14"/>
      <c r="E901" s="14"/>
      <c r="F901" s="14"/>
      <c r="G901" s="14"/>
      <c r="H901" s="14"/>
      <c r="I901" s="14"/>
      <c r="J901" s="14"/>
      <c r="K901" s="19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84"/>
      <c r="D902" s="14"/>
      <c r="E902" s="14"/>
      <c r="F902" s="14"/>
      <c r="G902" s="14"/>
      <c r="H902" s="14"/>
      <c r="I902" s="14"/>
      <c r="J902" s="14"/>
      <c r="K902" s="19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84"/>
      <c r="D903" s="14"/>
      <c r="E903" s="14"/>
      <c r="F903" s="14"/>
      <c r="G903" s="14"/>
      <c r="H903" s="14"/>
      <c r="I903" s="14"/>
      <c r="J903" s="14"/>
      <c r="K903" s="19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84"/>
      <c r="D904" s="14"/>
      <c r="E904" s="14"/>
      <c r="F904" s="14"/>
      <c r="G904" s="14"/>
      <c r="H904" s="14"/>
      <c r="I904" s="14"/>
      <c r="J904" s="14"/>
      <c r="K904" s="19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84"/>
      <c r="D905" s="14"/>
      <c r="E905" s="14"/>
      <c r="F905" s="14"/>
      <c r="G905" s="14"/>
      <c r="H905" s="14"/>
      <c r="I905" s="14"/>
      <c r="J905" s="14"/>
      <c r="K905" s="19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84"/>
      <c r="D906" s="14"/>
      <c r="E906" s="14"/>
      <c r="F906" s="14"/>
      <c r="G906" s="14"/>
      <c r="H906" s="14"/>
      <c r="I906" s="14"/>
      <c r="J906" s="14"/>
      <c r="K906" s="19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84"/>
      <c r="D907" s="14"/>
      <c r="E907" s="14"/>
      <c r="F907" s="14"/>
      <c r="G907" s="14"/>
      <c r="H907" s="14"/>
      <c r="I907" s="14"/>
      <c r="J907" s="14"/>
      <c r="K907" s="19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84"/>
      <c r="D908" s="14"/>
      <c r="E908" s="14"/>
      <c r="F908" s="14"/>
      <c r="G908" s="14"/>
      <c r="H908" s="14"/>
      <c r="I908" s="14"/>
      <c r="J908" s="14"/>
      <c r="K908" s="19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84"/>
      <c r="D909" s="14"/>
      <c r="E909" s="14"/>
      <c r="F909" s="14"/>
      <c r="G909" s="14"/>
      <c r="H909" s="14"/>
      <c r="I909" s="14"/>
      <c r="J909" s="14"/>
      <c r="K909" s="19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84"/>
      <c r="D910" s="14"/>
      <c r="E910" s="14"/>
      <c r="F910" s="14"/>
      <c r="G910" s="14"/>
      <c r="H910" s="14"/>
      <c r="I910" s="14"/>
      <c r="J910" s="14"/>
      <c r="K910" s="19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84"/>
      <c r="D911" s="14"/>
      <c r="E911" s="14"/>
      <c r="F911" s="14"/>
      <c r="G911" s="14"/>
      <c r="H911" s="14"/>
      <c r="I911" s="14"/>
      <c r="J911" s="14"/>
      <c r="K911" s="19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84"/>
      <c r="D912" s="14"/>
      <c r="E912" s="14"/>
      <c r="F912" s="14"/>
      <c r="G912" s="14"/>
      <c r="H912" s="14"/>
      <c r="I912" s="14"/>
      <c r="J912" s="14"/>
      <c r="K912" s="19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84"/>
      <c r="D913" s="14"/>
      <c r="E913" s="14"/>
      <c r="F913" s="14"/>
      <c r="G913" s="14"/>
      <c r="H913" s="14"/>
      <c r="I913" s="14"/>
      <c r="J913" s="14"/>
      <c r="K913" s="19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84"/>
      <c r="D914" s="14"/>
      <c r="E914" s="14"/>
      <c r="F914" s="14"/>
      <c r="G914" s="14"/>
      <c r="H914" s="14"/>
      <c r="I914" s="14"/>
      <c r="J914" s="14"/>
      <c r="K914" s="19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84"/>
      <c r="D915" s="14"/>
      <c r="E915" s="14"/>
      <c r="F915" s="14"/>
      <c r="G915" s="14"/>
      <c r="H915" s="14"/>
      <c r="I915" s="14"/>
      <c r="J915" s="14"/>
      <c r="K915" s="19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84"/>
      <c r="D916" s="14"/>
      <c r="E916" s="14"/>
      <c r="F916" s="14"/>
      <c r="G916" s="14"/>
      <c r="H916" s="14"/>
      <c r="I916" s="14"/>
      <c r="J916" s="14"/>
      <c r="K916" s="19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84"/>
      <c r="D917" s="14"/>
      <c r="E917" s="14"/>
      <c r="F917" s="14"/>
      <c r="G917" s="14"/>
      <c r="H917" s="14"/>
      <c r="I917" s="14"/>
      <c r="J917" s="14"/>
      <c r="K917" s="19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84"/>
      <c r="D918" s="14"/>
      <c r="E918" s="14"/>
      <c r="F918" s="14"/>
      <c r="G918" s="14"/>
      <c r="H918" s="14"/>
      <c r="I918" s="14"/>
      <c r="J918" s="14"/>
      <c r="K918" s="19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84"/>
      <c r="D919" s="14"/>
      <c r="E919" s="14"/>
      <c r="F919" s="14"/>
      <c r="G919" s="14"/>
      <c r="H919" s="14"/>
      <c r="I919" s="14"/>
      <c r="J919" s="14"/>
      <c r="K919" s="19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84"/>
      <c r="D920" s="14"/>
      <c r="E920" s="14"/>
      <c r="F920" s="14"/>
      <c r="G920" s="14"/>
      <c r="H920" s="14"/>
      <c r="I920" s="14"/>
      <c r="J920" s="14"/>
      <c r="K920" s="19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84"/>
      <c r="D921" s="14"/>
      <c r="E921" s="14"/>
      <c r="F921" s="14"/>
      <c r="G921" s="14"/>
      <c r="H921" s="14"/>
      <c r="I921" s="14"/>
      <c r="J921" s="14"/>
      <c r="K921" s="19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84"/>
      <c r="D922" s="14"/>
      <c r="E922" s="14"/>
      <c r="F922" s="14"/>
      <c r="G922" s="14"/>
      <c r="H922" s="14"/>
      <c r="I922" s="14"/>
      <c r="J922" s="14"/>
      <c r="K922" s="19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84"/>
      <c r="D923" s="14"/>
      <c r="E923" s="14"/>
      <c r="F923" s="14"/>
      <c r="G923" s="14"/>
      <c r="H923" s="14"/>
      <c r="I923" s="14"/>
      <c r="J923" s="14"/>
      <c r="K923" s="19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84"/>
      <c r="D924" s="14"/>
      <c r="E924" s="14"/>
      <c r="F924" s="14"/>
      <c r="G924" s="14"/>
      <c r="H924" s="14"/>
      <c r="I924" s="14"/>
      <c r="J924" s="14"/>
      <c r="K924" s="19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84"/>
      <c r="D925" s="14"/>
      <c r="E925" s="14"/>
      <c r="F925" s="14"/>
      <c r="G925" s="14"/>
      <c r="H925" s="14"/>
      <c r="I925" s="14"/>
      <c r="J925" s="14"/>
      <c r="K925" s="19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84"/>
      <c r="D926" s="14"/>
      <c r="E926" s="14"/>
      <c r="F926" s="14"/>
      <c r="G926" s="14"/>
      <c r="H926" s="14"/>
      <c r="I926" s="14"/>
      <c r="J926" s="14"/>
      <c r="K926" s="19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84"/>
      <c r="D927" s="14"/>
      <c r="E927" s="14"/>
      <c r="F927" s="14"/>
      <c r="G927" s="14"/>
      <c r="H927" s="14"/>
      <c r="I927" s="14"/>
      <c r="J927" s="14"/>
      <c r="K927" s="19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84"/>
      <c r="D928" s="14"/>
      <c r="E928" s="14"/>
      <c r="F928" s="14"/>
      <c r="G928" s="14"/>
      <c r="H928" s="14"/>
      <c r="I928" s="14"/>
      <c r="J928" s="14"/>
      <c r="K928" s="19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84"/>
      <c r="D929" s="14"/>
      <c r="E929" s="14"/>
      <c r="F929" s="14"/>
      <c r="G929" s="14"/>
      <c r="H929" s="14"/>
      <c r="I929" s="14"/>
      <c r="J929" s="14"/>
      <c r="K929" s="19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84"/>
      <c r="D930" s="14"/>
      <c r="E930" s="14"/>
      <c r="F930" s="14"/>
      <c r="G930" s="14"/>
      <c r="H930" s="14"/>
      <c r="I930" s="14"/>
      <c r="J930" s="14"/>
      <c r="K930" s="19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84"/>
      <c r="D931" s="14"/>
      <c r="E931" s="14"/>
      <c r="F931" s="14"/>
      <c r="G931" s="14"/>
      <c r="H931" s="14"/>
      <c r="I931" s="14"/>
      <c r="J931" s="14"/>
      <c r="K931" s="19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84"/>
      <c r="D932" s="14"/>
      <c r="E932" s="14"/>
      <c r="F932" s="14"/>
      <c r="G932" s="14"/>
      <c r="H932" s="14"/>
      <c r="I932" s="14"/>
      <c r="J932" s="14"/>
      <c r="K932" s="19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84"/>
      <c r="D933" s="14"/>
      <c r="E933" s="14"/>
      <c r="F933" s="14"/>
      <c r="G933" s="14"/>
      <c r="H933" s="14"/>
      <c r="I933" s="14"/>
      <c r="J933" s="14"/>
      <c r="K933" s="19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84"/>
      <c r="D934" s="14"/>
      <c r="E934" s="14"/>
      <c r="F934" s="14"/>
      <c r="G934" s="14"/>
      <c r="H934" s="14"/>
      <c r="I934" s="14"/>
      <c r="J934" s="14"/>
      <c r="K934" s="19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84"/>
      <c r="D935" s="14"/>
      <c r="E935" s="14"/>
      <c r="F935" s="14"/>
      <c r="G935" s="14"/>
      <c r="H935" s="14"/>
      <c r="I935" s="14"/>
      <c r="J935" s="14"/>
      <c r="K935" s="19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84"/>
      <c r="D936" s="14"/>
      <c r="E936" s="14"/>
      <c r="F936" s="14"/>
      <c r="G936" s="14"/>
      <c r="H936" s="14"/>
      <c r="I936" s="14"/>
      <c r="J936" s="14"/>
      <c r="K936" s="19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84"/>
      <c r="D937" s="14"/>
      <c r="E937" s="14"/>
      <c r="F937" s="14"/>
      <c r="G937" s="14"/>
      <c r="H937" s="14"/>
      <c r="I937" s="14"/>
      <c r="J937" s="14"/>
      <c r="K937" s="19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84"/>
      <c r="D938" s="14"/>
      <c r="E938" s="14"/>
      <c r="F938" s="14"/>
      <c r="G938" s="14"/>
      <c r="H938" s="14"/>
      <c r="I938" s="14"/>
      <c r="J938" s="14"/>
      <c r="K938" s="19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84"/>
      <c r="D939" s="14"/>
      <c r="E939" s="14"/>
      <c r="F939" s="14"/>
      <c r="G939" s="14"/>
      <c r="H939" s="14"/>
      <c r="I939" s="14"/>
      <c r="J939" s="14"/>
      <c r="K939" s="19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84"/>
      <c r="D940" s="14"/>
      <c r="E940" s="14"/>
      <c r="F940" s="14"/>
      <c r="G940" s="14"/>
      <c r="H940" s="14"/>
      <c r="I940" s="14"/>
      <c r="J940" s="14"/>
      <c r="K940" s="19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84"/>
      <c r="D941" s="14"/>
      <c r="E941" s="14"/>
      <c r="F941" s="14"/>
      <c r="G941" s="14"/>
      <c r="H941" s="14"/>
      <c r="I941" s="14"/>
      <c r="J941" s="14"/>
      <c r="K941" s="19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84"/>
      <c r="D942" s="14"/>
      <c r="E942" s="14"/>
      <c r="F942" s="14"/>
      <c r="G942" s="14"/>
      <c r="H942" s="14"/>
      <c r="I942" s="14"/>
      <c r="J942" s="14"/>
      <c r="K942" s="19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84"/>
      <c r="D943" s="14"/>
      <c r="E943" s="14"/>
      <c r="F943" s="14"/>
      <c r="G943" s="14"/>
      <c r="H943" s="14"/>
      <c r="I943" s="14"/>
      <c r="J943" s="14"/>
      <c r="K943" s="19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84"/>
      <c r="D944" s="14"/>
      <c r="E944" s="14"/>
      <c r="F944" s="14"/>
      <c r="G944" s="14"/>
      <c r="H944" s="14"/>
      <c r="I944" s="14"/>
      <c r="J944" s="14"/>
      <c r="K944" s="19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84"/>
      <c r="D945" s="14"/>
      <c r="E945" s="14"/>
      <c r="F945" s="14"/>
      <c r="G945" s="14"/>
      <c r="H945" s="14"/>
      <c r="I945" s="14"/>
      <c r="J945" s="14"/>
      <c r="K945" s="19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84"/>
      <c r="D946" s="14"/>
      <c r="E946" s="14"/>
      <c r="F946" s="14"/>
      <c r="G946" s="14"/>
      <c r="H946" s="14"/>
      <c r="I946" s="14"/>
      <c r="J946" s="14"/>
      <c r="K946" s="19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84"/>
      <c r="D947" s="14"/>
      <c r="E947" s="14"/>
      <c r="F947" s="14"/>
      <c r="G947" s="14"/>
      <c r="H947" s="14"/>
      <c r="I947" s="14"/>
      <c r="J947" s="14"/>
      <c r="K947" s="19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84"/>
      <c r="D948" s="14"/>
      <c r="E948" s="14"/>
      <c r="F948" s="14"/>
      <c r="G948" s="14"/>
      <c r="H948" s="14"/>
      <c r="I948" s="14"/>
      <c r="J948" s="14"/>
      <c r="K948" s="19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84"/>
      <c r="D949" s="14"/>
      <c r="E949" s="14"/>
      <c r="F949" s="14"/>
      <c r="G949" s="14"/>
      <c r="H949" s="14"/>
      <c r="I949" s="14"/>
      <c r="J949" s="14"/>
      <c r="K949" s="19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84"/>
      <c r="D950" s="14"/>
      <c r="E950" s="14"/>
      <c r="F950" s="14"/>
      <c r="G950" s="14"/>
      <c r="H950" s="14"/>
      <c r="I950" s="14"/>
      <c r="J950" s="14"/>
      <c r="K950" s="19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84"/>
      <c r="D951" s="14"/>
      <c r="E951" s="14"/>
      <c r="F951" s="14"/>
      <c r="G951" s="14"/>
      <c r="H951" s="14"/>
      <c r="I951" s="14"/>
      <c r="J951" s="14"/>
      <c r="K951" s="19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84"/>
      <c r="D952" s="14"/>
      <c r="E952" s="14"/>
      <c r="F952" s="14"/>
      <c r="G952" s="14"/>
      <c r="H952" s="14"/>
      <c r="I952" s="14"/>
      <c r="J952" s="14"/>
      <c r="K952" s="19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84"/>
      <c r="D953" s="14"/>
      <c r="E953" s="14"/>
      <c r="F953" s="14"/>
      <c r="G953" s="14"/>
      <c r="H953" s="14"/>
      <c r="I953" s="14"/>
      <c r="J953" s="14"/>
      <c r="K953" s="19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84"/>
      <c r="D954" s="14"/>
      <c r="E954" s="14"/>
      <c r="F954" s="14"/>
      <c r="G954" s="14"/>
      <c r="H954" s="14"/>
      <c r="I954" s="14"/>
      <c r="J954" s="14"/>
      <c r="K954" s="19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84"/>
      <c r="D955" s="14"/>
      <c r="E955" s="14"/>
      <c r="F955" s="14"/>
      <c r="G955" s="14"/>
      <c r="H955" s="14"/>
      <c r="I955" s="14"/>
      <c r="J955" s="14"/>
      <c r="K955" s="19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84"/>
      <c r="D956" s="14"/>
      <c r="E956" s="14"/>
      <c r="F956" s="14"/>
      <c r="G956" s="14"/>
      <c r="H956" s="14"/>
      <c r="I956" s="14"/>
      <c r="J956" s="14"/>
      <c r="K956" s="19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84"/>
      <c r="D957" s="14"/>
      <c r="E957" s="14"/>
      <c r="F957" s="14"/>
      <c r="G957" s="14"/>
      <c r="H957" s="14"/>
      <c r="I957" s="14"/>
      <c r="J957" s="14"/>
      <c r="K957" s="19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84"/>
      <c r="D958" s="14"/>
      <c r="E958" s="14"/>
      <c r="F958" s="14"/>
      <c r="G958" s="14"/>
      <c r="H958" s="14"/>
      <c r="I958" s="14"/>
      <c r="J958" s="14"/>
      <c r="K958" s="19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84"/>
      <c r="D959" s="14"/>
      <c r="E959" s="14"/>
      <c r="F959" s="14"/>
      <c r="G959" s="14"/>
      <c r="H959" s="14"/>
      <c r="I959" s="14"/>
      <c r="J959" s="14"/>
      <c r="K959" s="19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84"/>
      <c r="D960" s="14"/>
      <c r="E960" s="14"/>
      <c r="F960" s="14"/>
      <c r="G960" s="14"/>
      <c r="H960" s="14"/>
      <c r="I960" s="14"/>
      <c r="J960" s="14"/>
      <c r="K960" s="19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84"/>
      <c r="D961" s="14"/>
      <c r="E961" s="14"/>
      <c r="F961" s="14"/>
      <c r="G961" s="14"/>
      <c r="H961" s="14"/>
      <c r="I961" s="14"/>
      <c r="J961" s="14"/>
      <c r="K961" s="19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84"/>
      <c r="D962" s="14"/>
      <c r="E962" s="14"/>
      <c r="F962" s="14"/>
      <c r="G962" s="14"/>
      <c r="H962" s="14"/>
      <c r="I962" s="14"/>
      <c r="J962" s="14"/>
      <c r="K962" s="19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84"/>
      <c r="D963" s="14"/>
      <c r="E963" s="14"/>
      <c r="F963" s="14"/>
      <c r="G963" s="14"/>
      <c r="H963" s="14"/>
      <c r="I963" s="14"/>
      <c r="J963" s="14"/>
      <c r="K963" s="19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84"/>
      <c r="D964" s="14"/>
      <c r="E964" s="14"/>
      <c r="F964" s="14"/>
      <c r="G964" s="14"/>
      <c r="H964" s="14"/>
      <c r="I964" s="14"/>
      <c r="J964" s="14"/>
      <c r="K964" s="19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84"/>
      <c r="D965" s="14"/>
      <c r="E965" s="14"/>
      <c r="F965" s="14"/>
      <c r="G965" s="14"/>
      <c r="H965" s="14"/>
      <c r="I965" s="14"/>
      <c r="J965" s="14"/>
      <c r="K965" s="19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84"/>
      <c r="D966" s="14"/>
      <c r="E966" s="14"/>
      <c r="F966" s="14"/>
      <c r="G966" s="14"/>
      <c r="H966" s="14"/>
      <c r="I966" s="14"/>
      <c r="J966" s="14"/>
      <c r="K966" s="19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84"/>
      <c r="D967" s="14"/>
      <c r="E967" s="14"/>
      <c r="F967" s="14"/>
      <c r="G967" s="14"/>
      <c r="H967" s="14"/>
      <c r="I967" s="14"/>
      <c r="J967" s="14"/>
      <c r="K967" s="19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84"/>
      <c r="D968" s="14"/>
      <c r="E968" s="14"/>
      <c r="F968" s="14"/>
      <c r="G968" s="14"/>
      <c r="H968" s="14"/>
      <c r="I968" s="14"/>
      <c r="J968" s="14"/>
      <c r="K968" s="19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84"/>
      <c r="D969" s="14"/>
      <c r="E969" s="14"/>
      <c r="F969" s="14"/>
      <c r="G969" s="14"/>
      <c r="H969" s="14"/>
      <c r="I969" s="14"/>
      <c r="J969" s="14"/>
      <c r="K969" s="19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84"/>
      <c r="D970" s="14"/>
      <c r="E970" s="14"/>
      <c r="F970" s="14"/>
      <c r="G970" s="14"/>
      <c r="H970" s="14"/>
      <c r="I970" s="14"/>
      <c r="J970" s="14"/>
      <c r="K970" s="19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84"/>
      <c r="D971" s="14"/>
      <c r="E971" s="14"/>
      <c r="F971" s="14"/>
      <c r="G971" s="14"/>
      <c r="H971" s="14"/>
      <c r="I971" s="14"/>
      <c r="J971" s="14"/>
      <c r="K971" s="19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84"/>
      <c r="D972" s="14"/>
      <c r="E972" s="14"/>
      <c r="F972" s="14"/>
      <c r="G972" s="14"/>
      <c r="H972" s="14"/>
      <c r="I972" s="14"/>
      <c r="J972" s="14"/>
      <c r="K972" s="19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84"/>
      <c r="D973" s="14"/>
      <c r="E973" s="14"/>
      <c r="F973" s="14"/>
      <c r="G973" s="14"/>
      <c r="H973" s="14"/>
      <c r="I973" s="14"/>
      <c r="J973" s="14"/>
      <c r="K973" s="19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84"/>
      <c r="D974" s="14"/>
      <c r="E974" s="14"/>
      <c r="F974" s="14"/>
      <c r="G974" s="14"/>
      <c r="H974" s="14"/>
      <c r="I974" s="14"/>
      <c r="J974" s="14"/>
      <c r="K974" s="19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84"/>
      <c r="D975" s="14"/>
      <c r="E975" s="14"/>
      <c r="F975" s="14"/>
      <c r="G975" s="14"/>
      <c r="H975" s="14"/>
      <c r="I975" s="14"/>
      <c r="J975" s="14"/>
      <c r="K975" s="19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84"/>
      <c r="D976" s="14"/>
      <c r="E976" s="14"/>
      <c r="F976" s="14"/>
      <c r="G976" s="14"/>
      <c r="H976" s="14"/>
      <c r="I976" s="14"/>
      <c r="J976" s="14"/>
      <c r="K976" s="19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84"/>
      <c r="D977" s="14"/>
      <c r="E977" s="14"/>
      <c r="F977" s="14"/>
      <c r="G977" s="14"/>
      <c r="H977" s="14"/>
      <c r="I977" s="14"/>
      <c r="J977" s="14"/>
      <c r="K977" s="19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84"/>
      <c r="D978" s="14"/>
      <c r="E978" s="14"/>
      <c r="F978" s="14"/>
      <c r="G978" s="14"/>
      <c r="H978" s="14"/>
      <c r="I978" s="14"/>
      <c r="J978" s="14"/>
      <c r="K978" s="19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84"/>
      <c r="D979" s="14"/>
      <c r="E979" s="14"/>
      <c r="F979" s="14"/>
      <c r="G979" s="14"/>
      <c r="H979" s="14"/>
      <c r="I979" s="14"/>
      <c r="J979" s="14"/>
      <c r="K979" s="19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84"/>
      <c r="D980" s="14"/>
      <c r="E980" s="14"/>
      <c r="F980" s="14"/>
      <c r="G980" s="14"/>
      <c r="H980" s="14"/>
      <c r="I980" s="14"/>
      <c r="J980" s="14"/>
      <c r="K980" s="19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84"/>
      <c r="D981" s="14"/>
      <c r="E981" s="14"/>
      <c r="F981" s="14"/>
      <c r="G981" s="14"/>
      <c r="H981" s="14"/>
      <c r="I981" s="14"/>
      <c r="J981" s="14"/>
      <c r="K981" s="19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84"/>
      <c r="D982" s="14"/>
      <c r="E982" s="14"/>
      <c r="F982" s="14"/>
      <c r="G982" s="14"/>
      <c r="H982" s="14"/>
      <c r="I982" s="14"/>
      <c r="J982" s="14"/>
      <c r="K982" s="19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84"/>
      <c r="D983" s="14"/>
      <c r="E983" s="14"/>
      <c r="F983" s="14"/>
      <c r="G983" s="14"/>
      <c r="H983" s="14"/>
      <c r="I983" s="14"/>
      <c r="J983" s="14"/>
      <c r="K983" s="19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84"/>
      <c r="D984" s="14"/>
      <c r="E984" s="14"/>
      <c r="F984" s="14"/>
      <c r="G984" s="14"/>
      <c r="H984" s="14"/>
      <c r="I984" s="14"/>
      <c r="J984" s="14"/>
      <c r="K984" s="19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84"/>
      <c r="D985" s="14"/>
      <c r="E985" s="14"/>
      <c r="F985" s="14"/>
      <c r="G985" s="14"/>
      <c r="H985" s="14"/>
      <c r="I985" s="14"/>
      <c r="J985" s="14"/>
      <c r="K985" s="19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84"/>
      <c r="D986" s="14"/>
      <c r="E986" s="14"/>
      <c r="F986" s="14"/>
      <c r="G986" s="14"/>
      <c r="H986" s="14"/>
      <c r="I986" s="14"/>
      <c r="J986" s="14"/>
      <c r="K986" s="19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84"/>
      <c r="D987" s="14"/>
      <c r="E987" s="14"/>
      <c r="F987" s="14"/>
      <c r="G987" s="14"/>
      <c r="H987" s="14"/>
      <c r="I987" s="14"/>
      <c r="J987" s="14"/>
      <c r="K987" s="19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84"/>
      <c r="D988" s="14"/>
      <c r="E988" s="14"/>
      <c r="F988" s="14"/>
      <c r="G988" s="14"/>
      <c r="H988" s="14"/>
      <c r="I988" s="14"/>
      <c r="J988" s="14"/>
      <c r="K988" s="19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84"/>
      <c r="D989" s="14"/>
      <c r="E989" s="14"/>
      <c r="F989" s="14"/>
      <c r="G989" s="14"/>
      <c r="H989" s="14"/>
      <c r="I989" s="14"/>
      <c r="J989" s="14"/>
      <c r="K989" s="19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84"/>
      <c r="D990" s="14"/>
      <c r="E990" s="14"/>
      <c r="F990" s="14"/>
      <c r="G990" s="14"/>
      <c r="H990" s="14"/>
      <c r="I990" s="14"/>
      <c r="J990" s="14"/>
      <c r="K990" s="19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84"/>
      <c r="D991" s="14"/>
      <c r="E991" s="14"/>
      <c r="F991" s="14"/>
      <c r="G991" s="14"/>
      <c r="H991" s="14"/>
      <c r="I991" s="14"/>
      <c r="J991" s="14"/>
      <c r="K991" s="19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84"/>
      <c r="D992" s="14"/>
      <c r="E992" s="14"/>
      <c r="F992" s="14"/>
      <c r="G992" s="14"/>
      <c r="H992" s="14"/>
      <c r="I992" s="14"/>
      <c r="J992" s="14"/>
      <c r="K992" s="19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84"/>
      <c r="D993" s="14"/>
      <c r="E993" s="14"/>
      <c r="F993" s="14"/>
      <c r="G993" s="14"/>
      <c r="H993" s="14"/>
      <c r="I993" s="14"/>
      <c r="J993" s="14"/>
      <c r="K993" s="19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84"/>
      <c r="D994" s="14"/>
      <c r="E994" s="14"/>
      <c r="F994" s="14"/>
      <c r="G994" s="14"/>
      <c r="H994" s="14"/>
      <c r="I994" s="14"/>
      <c r="J994" s="14"/>
      <c r="K994" s="19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84"/>
      <c r="D995" s="14"/>
      <c r="E995" s="14"/>
      <c r="F995" s="14"/>
      <c r="G995" s="14"/>
      <c r="H995" s="14"/>
      <c r="I995" s="14"/>
      <c r="J995" s="14"/>
      <c r="K995" s="19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84"/>
      <c r="D996" s="14"/>
      <c r="E996" s="14"/>
      <c r="F996" s="14"/>
      <c r="G996" s="14"/>
      <c r="H996" s="14"/>
      <c r="I996" s="14"/>
      <c r="J996" s="14"/>
      <c r="K996" s="19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84"/>
      <c r="D997" s="14"/>
      <c r="E997" s="14"/>
      <c r="F997" s="14"/>
      <c r="G997" s="14"/>
      <c r="H997" s="14"/>
      <c r="I997" s="14"/>
      <c r="J997" s="14"/>
      <c r="K997" s="19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84"/>
      <c r="D998" s="14"/>
      <c r="E998" s="14"/>
      <c r="F998" s="14"/>
      <c r="G998" s="14"/>
      <c r="H998" s="14"/>
      <c r="I998" s="14"/>
      <c r="J998" s="14"/>
      <c r="K998" s="19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84"/>
      <c r="D999" s="14"/>
      <c r="E999" s="14"/>
      <c r="F999" s="14"/>
      <c r="G999" s="14"/>
      <c r="H999" s="14"/>
      <c r="I999" s="14"/>
      <c r="J999" s="14"/>
      <c r="K999" s="19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84"/>
      <c r="D1000" s="14"/>
      <c r="E1000" s="14"/>
      <c r="F1000" s="14"/>
      <c r="G1000" s="14"/>
      <c r="H1000" s="14"/>
      <c r="I1000" s="14"/>
      <c r="J1000" s="14"/>
      <c r="K1000" s="19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4"/>
      <c r="C1001" s="84"/>
      <c r="D1001" s="14"/>
      <c r="E1001" s="14"/>
      <c r="F1001" s="14"/>
      <c r="G1001" s="14"/>
      <c r="H1001" s="14"/>
      <c r="I1001" s="14"/>
      <c r="J1001" s="14"/>
      <c r="K1001" s="19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4"/>
      <c r="C1002" s="84"/>
      <c r="D1002" s="14"/>
      <c r="E1002" s="14"/>
      <c r="F1002" s="14"/>
      <c r="G1002" s="14"/>
      <c r="H1002" s="14"/>
      <c r="I1002" s="14"/>
      <c r="J1002" s="14"/>
      <c r="K1002" s="19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5.75" customHeight="1">
      <c r="A1003" s="14"/>
      <c r="B1003" s="14"/>
      <c r="C1003" s="84"/>
      <c r="D1003" s="14"/>
      <c r="E1003" s="14"/>
      <c r="F1003" s="14"/>
      <c r="G1003" s="14"/>
      <c r="H1003" s="14"/>
      <c r="I1003" s="14"/>
      <c r="J1003" s="14"/>
      <c r="K1003" s="19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5.75" customHeight="1">
      <c r="A1004" s="14"/>
      <c r="B1004" s="14"/>
      <c r="C1004" s="84"/>
      <c r="D1004" s="14"/>
      <c r="E1004" s="14"/>
      <c r="F1004" s="14"/>
      <c r="G1004" s="14"/>
      <c r="H1004" s="14"/>
      <c r="I1004" s="14"/>
      <c r="J1004" s="14"/>
      <c r="K1004" s="19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5.75" customHeight="1">
      <c r="A1005" s="14"/>
      <c r="B1005" s="14"/>
      <c r="C1005" s="84"/>
      <c r="D1005" s="14"/>
      <c r="E1005" s="14"/>
      <c r="F1005" s="14"/>
      <c r="G1005" s="14"/>
      <c r="H1005" s="14"/>
      <c r="I1005" s="14"/>
      <c r="J1005" s="14"/>
      <c r="K1005" s="19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5.75" customHeight="1">
      <c r="A1006" s="14"/>
      <c r="B1006" s="14"/>
      <c r="C1006" s="84"/>
      <c r="D1006" s="14"/>
      <c r="E1006" s="14"/>
      <c r="F1006" s="14"/>
      <c r="G1006" s="14"/>
      <c r="H1006" s="14"/>
      <c r="I1006" s="14"/>
      <c r="J1006" s="14"/>
      <c r="K1006" s="19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15.75" customHeight="1">
      <c r="A1007" s="14"/>
      <c r="B1007" s="14"/>
      <c r="C1007" s="84"/>
      <c r="D1007" s="14"/>
      <c r="E1007" s="14"/>
      <c r="F1007" s="14"/>
      <c r="G1007" s="14"/>
      <c r="H1007" s="14"/>
      <c r="I1007" s="14"/>
      <c r="J1007" s="14"/>
      <c r="K1007" s="19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15.75" customHeight="1">
      <c r="A1008" s="14"/>
      <c r="B1008" s="14"/>
      <c r="C1008" s="84"/>
      <c r="D1008" s="14"/>
      <c r="E1008" s="14"/>
      <c r="F1008" s="14"/>
      <c r="G1008" s="14"/>
      <c r="H1008" s="14"/>
      <c r="I1008" s="14"/>
      <c r="J1008" s="14"/>
      <c r="K1008" s="19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15.75" customHeight="1">
      <c r="A1009" s="14"/>
      <c r="B1009" s="14"/>
      <c r="C1009" s="84"/>
      <c r="D1009" s="14"/>
      <c r="E1009" s="14"/>
      <c r="F1009" s="14"/>
      <c r="G1009" s="14"/>
      <c r="H1009" s="14"/>
      <c r="I1009" s="14"/>
      <c r="J1009" s="14"/>
      <c r="K1009" s="19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15.75" customHeight="1">
      <c r="A1010" s="14"/>
      <c r="B1010" s="14"/>
      <c r="C1010" s="84"/>
      <c r="D1010" s="14"/>
      <c r="E1010" s="14"/>
      <c r="F1010" s="14"/>
      <c r="G1010" s="14"/>
      <c r="H1010" s="14"/>
      <c r="I1010" s="14"/>
      <c r="J1010" s="14"/>
      <c r="K1010" s="19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15.75" customHeight="1">
      <c r="A1011" s="14"/>
      <c r="B1011" s="14"/>
      <c r="C1011" s="84"/>
      <c r="D1011" s="14"/>
      <c r="E1011" s="14"/>
      <c r="F1011" s="14"/>
      <c r="G1011" s="14"/>
      <c r="H1011" s="14"/>
      <c r="I1011" s="14"/>
      <c r="J1011" s="14"/>
      <c r="K1011" s="19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15.75" customHeight="1">
      <c r="A1012" s="14"/>
      <c r="B1012" s="14"/>
      <c r="C1012" s="84"/>
      <c r="D1012" s="14"/>
      <c r="E1012" s="14"/>
      <c r="F1012" s="14"/>
      <c r="G1012" s="14"/>
      <c r="H1012" s="14"/>
      <c r="I1012" s="14"/>
      <c r="J1012" s="14"/>
      <c r="K1012" s="19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15.75" customHeight="1">
      <c r="A1013" s="14"/>
      <c r="B1013" s="14"/>
      <c r="C1013" s="84"/>
      <c r="D1013" s="14"/>
      <c r="E1013" s="14"/>
      <c r="F1013" s="14"/>
      <c r="G1013" s="14"/>
      <c r="H1013" s="14"/>
      <c r="I1013" s="14"/>
      <c r="J1013" s="14"/>
      <c r="K1013" s="19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15.75" customHeight="1">
      <c r="A1014" s="14"/>
      <c r="B1014" s="14"/>
      <c r="C1014" s="84"/>
      <c r="D1014" s="14"/>
      <c r="E1014" s="14"/>
      <c r="F1014" s="14"/>
      <c r="G1014" s="14"/>
      <c r="H1014" s="14"/>
      <c r="I1014" s="14"/>
      <c r="J1014" s="14"/>
      <c r="K1014" s="19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15.75" customHeight="1">
      <c r="A1015" s="14"/>
      <c r="B1015" s="14"/>
      <c r="C1015" s="84"/>
      <c r="D1015" s="14"/>
      <c r="E1015" s="14"/>
      <c r="F1015" s="14"/>
      <c r="G1015" s="14"/>
      <c r="H1015" s="14"/>
      <c r="I1015" s="14"/>
      <c r="J1015" s="14"/>
      <c r="K1015" s="19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15.75" customHeight="1">
      <c r="A1016" s="14"/>
      <c r="B1016" s="14"/>
      <c r="C1016" s="84"/>
      <c r="D1016" s="14"/>
      <c r="E1016" s="14"/>
      <c r="F1016" s="14"/>
      <c r="G1016" s="14"/>
      <c r="H1016" s="14"/>
      <c r="I1016" s="14"/>
      <c r="J1016" s="14"/>
      <c r="K1016" s="19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15.75" customHeight="1">
      <c r="A1017" s="14"/>
      <c r="B1017" s="14"/>
      <c r="C1017" s="84"/>
      <c r="D1017" s="14"/>
      <c r="E1017" s="14"/>
      <c r="F1017" s="14"/>
      <c r="G1017" s="14"/>
      <c r="H1017" s="14"/>
      <c r="I1017" s="14"/>
      <c r="J1017" s="14"/>
      <c r="K1017" s="19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15.75" customHeight="1">
      <c r="A1018" s="14"/>
      <c r="B1018" s="14"/>
      <c r="C1018" s="84"/>
      <c r="D1018" s="14"/>
      <c r="E1018" s="14"/>
      <c r="F1018" s="14"/>
      <c r="G1018" s="14"/>
      <c r="H1018" s="14"/>
      <c r="I1018" s="14"/>
      <c r="J1018" s="14"/>
      <c r="K1018" s="19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15.75" customHeight="1">
      <c r="A1019" s="14"/>
      <c r="B1019" s="14"/>
      <c r="C1019" s="84"/>
      <c r="D1019" s="14"/>
      <c r="E1019" s="14"/>
      <c r="F1019" s="14"/>
      <c r="G1019" s="14"/>
      <c r="H1019" s="14"/>
      <c r="I1019" s="14"/>
      <c r="J1019" s="14"/>
      <c r="K1019" s="19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15.75" customHeight="1">
      <c r="A1020" s="14"/>
      <c r="B1020" s="14"/>
      <c r="C1020" s="84"/>
      <c r="D1020" s="14"/>
      <c r="E1020" s="14"/>
      <c r="F1020" s="14"/>
      <c r="G1020" s="14"/>
      <c r="H1020" s="14"/>
      <c r="I1020" s="14"/>
      <c r="J1020" s="14"/>
      <c r="K1020" s="19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15.75" customHeight="1">
      <c r="A1021" s="14"/>
      <c r="B1021" s="14"/>
      <c r="C1021" s="84"/>
      <c r="D1021" s="14"/>
      <c r="E1021" s="14"/>
      <c r="F1021" s="14"/>
      <c r="G1021" s="14"/>
      <c r="H1021" s="14"/>
      <c r="I1021" s="14"/>
      <c r="J1021" s="14"/>
      <c r="K1021" s="19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15.75" customHeight="1">
      <c r="A1022" s="14"/>
      <c r="B1022" s="14"/>
      <c r="C1022" s="84"/>
      <c r="D1022" s="14"/>
      <c r="E1022" s="14"/>
      <c r="F1022" s="14"/>
      <c r="G1022" s="14"/>
      <c r="H1022" s="14"/>
      <c r="I1022" s="14"/>
      <c r="J1022" s="14"/>
      <c r="K1022" s="19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15.75" customHeight="1">
      <c r="A1023" s="14"/>
      <c r="B1023" s="14"/>
      <c r="C1023" s="84"/>
      <c r="D1023" s="14"/>
      <c r="E1023" s="14"/>
      <c r="F1023" s="14"/>
      <c r="G1023" s="14"/>
      <c r="H1023" s="14"/>
      <c r="I1023" s="14"/>
      <c r="J1023" s="14"/>
      <c r="K1023" s="19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15.75" customHeight="1">
      <c r="A1024" s="14"/>
      <c r="B1024" s="14"/>
      <c r="C1024" s="84"/>
      <c r="D1024" s="14"/>
      <c r="E1024" s="14"/>
      <c r="F1024" s="14"/>
      <c r="G1024" s="14"/>
      <c r="H1024" s="14"/>
      <c r="I1024" s="14"/>
      <c r="J1024" s="14"/>
      <c r="K1024" s="19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  <row r="1025" ht="15.75" customHeight="1">
      <c r="A1025" s="14"/>
      <c r="B1025" s="14"/>
      <c r="C1025" s="84"/>
      <c r="D1025" s="14"/>
      <c r="E1025" s="14"/>
      <c r="F1025" s="14"/>
      <c r="G1025" s="14"/>
      <c r="H1025" s="14"/>
      <c r="I1025" s="14"/>
      <c r="J1025" s="14"/>
      <c r="K1025" s="19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</row>
    <row r="1026" ht="15.75" customHeight="1">
      <c r="A1026" s="14"/>
      <c r="B1026" s="14"/>
      <c r="C1026" s="84"/>
      <c r="D1026" s="14"/>
      <c r="E1026" s="14"/>
      <c r="F1026" s="14"/>
      <c r="G1026" s="14"/>
      <c r="H1026" s="14"/>
      <c r="I1026" s="14"/>
      <c r="J1026" s="14"/>
      <c r="K1026" s="19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</row>
    <row r="1027" ht="15.75" customHeight="1">
      <c r="A1027" s="14"/>
      <c r="B1027" s="14"/>
      <c r="C1027" s="84"/>
      <c r="D1027" s="14"/>
      <c r="E1027" s="14"/>
      <c r="F1027" s="14"/>
      <c r="G1027" s="14"/>
      <c r="H1027" s="14"/>
      <c r="I1027" s="14"/>
      <c r="J1027" s="14"/>
      <c r="K1027" s="19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</row>
    <row r="1028" ht="15.75" customHeight="1">
      <c r="A1028" s="14"/>
      <c r="B1028" s="14"/>
      <c r="C1028" s="84"/>
      <c r="D1028" s="14"/>
      <c r="E1028" s="14"/>
      <c r="F1028" s="14"/>
      <c r="G1028" s="14"/>
      <c r="H1028" s="14"/>
      <c r="I1028" s="14"/>
      <c r="J1028" s="14"/>
      <c r="K1028" s="19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</row>
    <row r="1029" ht="15.75" customHeight="1">
      <c r="A1029" s="14"/>
      <c r="B1029" s="14"/>
      <c r="C1029" s="84"/>
      <c r="D1029" s="14"/>
      <c r="E1029" s="14"/>
      <c r="F1029" s="14"/>
      <c r="G1029" s="14"/>
      <c r="H1029" s="14"/>
      <c r="I1029" s="14"/>
      <c r="J1029" s="14"/>
      <c r="K1029" s="19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</row>
    <row r="1030" ht="15.75" customHeight="1">
      <c r="A1030" s="14"/>
      <c r="B1030" s="14"/>
      <c r="C1030" s="84"/>
      <c r="D1030" s="14"/>
      <c r="E1030" s="14"/>
      <c r="F1030" s="14"/>
      <c r="G1030" s="14"/>
      <c r="H1030" s="14"/>
      <c r="I1030" s="14"/>
      <c r="J1030" s="14"/>
      <c r="K1030" s="19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</row>
    <row r="1031" ht="15.75" customHeight="1">
      <c r="A1031" s="14"/>
      <c r="B1031" s="14"/>
      <c r="C1031" s="84"/>
      <c r="D1031" s="14"/>
      <c r="E1031" s="14"/>
      <c r="F1031" s="14"/>
      <c r="G1031" s="14"/>
      <c r="H1031" s="14"/>
      <c r="I1031" s="14"/>
      <c r="J1031" s="14"/>
      <c r="K1031" s="19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</row>
    <row r="1032" ht="15.75" customHeight="1">
      <c r="A1032" s="14"/>
      <c r="B1032" s="14"/>
      <c r="C1032" s="84"/>
      <c r="D1032" s="14"/>
      <c r="E1032" s="14"/>
      <c r="F1032" s="14"/>
      <c r="G1032" s="14"/>
      <c r="H1032" s="14"/>
      <c r="I1032" s="14"/>
      <c r="J1032" s="14"/>
      <c r="K1032" s="19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</row>
    <row r="1033" ht="15.75" customHeight="1">
      <c r="A1033" s="14"/>
      <c r="B1033" s="14"/>
      <c r="C1033" s="84"/>
      <c r="D1033" s="14"/>
      <c r="E1033" s="14"/>
      <c r="F1033" s="14"/>
      <c r="G1033" s="14"/>
      <c r="H1033" s="14"/>
      <c r="I1033" s="14"/>
      <c r="J1033" s="14"/>
      <c r="K1033" s="19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</row>
    <row r="1034" ht="15.75" customHeight="1">
      <c r="A1034" s="14"/>
      <c r="B1034" s="14"/>
      <c r="C1034" s="84"/>
      <c r="D1034" s="14"/>
      <c r="E1034" s="14"/>
      <c r="F1034" s="14"/>
      <c r="G1034" s="14"/>
      <c r="H1034" s="14"/>
      <c r="I1034" s="14"/>
      <c r="J1034" s="14"/>
      <c r="K1034" s="19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</row>
    <row r="1035" ht="15.75" customHeight="1">
      <c r="A1035" s="14"/>
      <c r="B1035" s="14"/>
      <c r="C1035" s="84"/>
      <c r="D1035" s="14"/>
      <c r="E1035" s="14"/>
      <c r="F1035" s="14"/>
      <c r="G1035" s="14"/>
      <c r="H1035" s="14"/>
      <c r="I1035" s="14"/>
      <c r="J1035" s="14"/>
      <c r="K1035" s="19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</row>
    <row r="1036" ht="15.75" customHeight="1">
      <c r="A1036" s="14"/>
      <c r="B1036" s="14"/>
      <c r="C1036" s="84"/>
      <c r="D1036" s="14"/>
      <c r="E1036" s="14"/>
      <c r="F1036" s="14"/>
      <c r="G1036" s="14"/>
      <c r="H1036" s="14"/>
      <c r="I1036" s="14"/>
      <c r="J1036" s="14"/>
      <c r="K1036" s="19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</row>
    <row r="1037" ht="15.75" customHeight="1">
      <c r="A1037" s="14"/>
      <c r="B1037" s="14"/>
      <c r="C1037" s="84"/>
      <c r="D1037" s="14"/>
      <c r="E1037" s="14"/>
      <c r="F1037" s="14"/>
      <c r="G1037" s="14"/>
      <c r="H1037" s="14"/>
      <c r="I1037" s="14"/>
      <c r="J1037" s="14"/>
      <c r="K1037" s="19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</row>
    <row r="1038" ht="15.75" customHeight="1">
      <c r="A1038" s="14"/>
      <c r="B1038" s="14"/>
      <c r="C1038" s="84"/>
      <c r="D1038" s="14"/>
      <c r="E1038" s="14"/>
      <c r="F1038" s="14"/>
      <c r="G1038" s="14"/>
      <c r="H1038" s="14"/>
      <c r="I1038" s="14"/>
      <c r="J1038" s="14"/>
      <c r="K1038" s="19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</row>
    <row r="1039" ht="15.75" customHeight="1">
      <c r="A1039" s="14"/>
      <c r="B1039" s="14"/>
      <c r="C1039" s="84"/>
      <c r="D1039" s="14"/>
      <c r="E1039" s="14"/>
      <c r="F1039" s="14"/>
      <c r="G1039" s="14"/>
      <c r="H1039" s="14"/>
      <c r="I1039" s="14"/>
      <c r="J1039" s="14"/>
      <c r="K1039" s="19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</row>
    <row r="1040" ht="15.75" customHeight="1">
      <c r="A1040" s="14"/>
      <c r="B1040" s="14"/>
      <c r="C1040" s="84"/>
      <c r="D1040" s="14"/>
      <c r="E1040" s="14"/>
      <c r="F1040" s="14"/>
      <c r="G1040" s="14"/>
      <c r="H1040" s="14"/>
      <c r="I1040" s="14"/>
      <c r="J1040" s="14"/>
      <c r="K1040" s="19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</row>
    <row r="1041" ht="15.75" customHeight="1">
      <c r="A1041" s="14"/>
      <c r="B1041" s="14"/>
      <c r="C1041" s="84"/>
      <c r="D1041" s="14"/>
      <c r="E1041" s="14"/>
      <c r="F1041" s="14"/>
      <c r="G1041" s="14"/>
      <c r="H1041" s="14"/>
      <c r="I1041" s="14"/>
      <c r="J1041" s="14"/>
      <c r="K1041" s="19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</row>
    <row r="1042" ht="15.75" customHeight="1">
      <c r="A1042" s="14"/>
      <c r="B1042" s="14"/>
      <c r="C1042" s="84"/>
      <c r="D1042" s="14"/>
      <c r="E1042" s="14"/>
      <c r="F1042" s="14"/>
      <c r="G1042" s="14"/>
      <c r="H1042" s="14"/>
      <c r="I1042" s="14"/>
      <c r="J1042" s="14"/>
      <c r="K1042" s="19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</row>
    <row r="1043" ht="15.75" customHeight="1">
      <c r="A1043" s="14"/>
      <c r="B1043" s="14"/>
      <c r="C1043" s="84"/>
      <c r="D1043" s="14"/>
      <c r="E1043" s="14"/>
      <c r="F1043" s="14"/>
      <c r="G1043" s="14"/>
      <c r="H1043" s="14"/>
      <c r="I1043" s="14"/>
      <c r="J1043" s="14"/>
      <c r="K1043" s="19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</row>
    <row r="1044" ht="15.75" customHeight="1">
      <c r="A1044" s="14"/>
      <c r="B1044" s="14"/>
      <c r="C1044" s="84"/>
      <c r="D1044" s="14"/>
      <c r="E1044" s="14"/>
      <c r="F1044" s="14"/>
      <c r="G1044" s="14"/>
      <c r="H1044" s="14"/>
      <c r="I1044" s="14"/>
      <c r="J1044" s="14"/>
      <c r="K1044" s="19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</row>
    <row r="1045" ht="15.75" customHeight="1">
      <c r="A1045" s="14"/>
      <c r="B1045" s="14"/>
      <c r="C1045" s="84"/>
      <c r="D1045" s="14"/>
      <c r="E1045" s="14"/>
      <c r="F1045" s="14"/>
      <c r="G1045" s="14"/>
      <c r="H1045" s="14"/>
      <c r="I1045" s="14"/>
      <c r="J1045" s="14"/>
      <c r="K1045" s="19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</row>
    <row r="1046" ht="15.75" customHeight="1">
      <c r="A1046" s="14"/>
      <c r="B1046" s="14"/>
      <c r="C1046" s="84"/>
      <c r="D1046" s="14"/>
      <c r="E1046" s="14"/>
      <c r="F1046" s="14"/>
      <c r="G1046" s="14"/>
      <c r="H1046" s="14"/>
      <c r="I1046" s="14"/>
      <c r="J1046" s="14"/>
      <c r="K1046" s="19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</row>
    <row r="1047" ht="15.75" customHeight="1">
      <c r="A1047" s="14"/>
      <c r="B1047" s="14"/>
      <c r="C1047" s="84"/>
      <c r="D1047" s="14"/>
      <c r="E1047" s="14"/>
      <c r="F1047" s="14"/>
      <c r="G1047" s="14"/>
      <c r="H1047" s="14"/>
      <c r="I1047" s="14"/>
      <c r="J1047" s="14"/>
      <c r="K1047" s="19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</row>
    <row r="1048" ht="15.75" customHeight="1">
      <c r="A1048" s="14"/>
      <c r="B1048" s="14"/>
      <c r="C1048" s="84"/>
      <c r="D1048" s="14"/>
      <c r="E1048" s="14"/>
      <c r="F1048" s="14"/>
      <c r="G1048" s="14"/>
      <c r="H1048" s="14"/>
      <c r="I1048" s="14"/>
      <c r="J1048" s="14"/>
      <c r="K1048" s="19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</row>
    <row r="1049" ht="15.75" customHeight="1">
      <c r="A1049" s="14"/>
      <c r="B1049" s="14"/>
      <c r="C1049" s="84"/>
      <c r="D1049" s="14"/>
      <c r="E1049" s="14"/>
      <c r="F1049" s="14"/>
      <c r="G1049" s="14"/>
      <c r="H1049" s="14"/>
      <c r="I1049" s="14"/>
      <c r="J1049" s="14"/>
      <c r="K1049" s="19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</row>
    <row r="1050" ht="15.75" customHeight="1">
      <c r="A1050" s="14"/>
      <c r="B1050" s="14"/>
      <c r="C1050" s="84"/>
      <c r="D1050" s="14"/>
      <c r="E1050" s="14"/>
      <c r="F1050" s="14"/>
      <c r="G1050" s="14"/>
      <c r="H1050" s="14"/>
      <c r="I1050" s="14"/>
      <c r="J1050" s="14"/>
      <c r="K1050" s="19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</row>
    <row r="1051" ht="15.75" customHeight="1">
      <c r="A1051" s="14"/>
      <c r="B1051" s="14"/>
      <c r="C1051" s="84"/>
      <c r="D1051" s="14"/>
      <c r="E1051" s="14"/>
      <c r="F1051" s="14"/>
      <c r="G1051" s="14"/>
      <c r="H1051" s="14"/>
      <c r="I1051" s="14"/>
      <c r="J1051" s="14"/>
      <c r="K1051" s="19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</row>
    <row r="1052" ht="15.75" customHeight="1">
      <c r="A1052" s="14"/>
      <c r="B1052" s="14"/>
      <c r="C1052" s="84"/>
      <c r="D1052" s="14"/>
      <c r="E1052" s="14"/>
      <c r="F1052" s="14"/>
      <c r="G1052" s="14"/>
      <c r="H1052" s="14"/>
      <c r="I1052" s="14"/>
      <c r="J1052" s="14"/>
      <c r="K1052" s="19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</row>
    <row r="1053" ht="15.75" customHeight="1">
      <c r="A1053" s="14"/>
      <c r="B1053" s="14"/>
      <c r="C1053" s="84"/>
      <c r="D1053" s="14"/>
      <c r="E1053" s="14"/>
      <c r="F1053" s="14"/>
      <c r="G1053" s="14"/>
      <c r="H1053" s="14"/>
      <c r="I1053" s="14"/>
      <c r="J1053" s="14"/>
      <c r="K1053" s="19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 ht="15.75" customHeight="1">
      <c r="A1054" s="14"/>
      <c r="B1054" s="14"/>
      <c r="C1054" s="84"/>
      <c r="D1054" s="14"/>
      <c r="E1054" s="14"/>
      <c r="F1054" s="14"/>
      <c r="G1054" s="14"/>
      <c r="H1054" s="14"/>
      <c r="I1054" s="14"/>
      <c r="J1054" s="14"/>
      <c r="K1054" s="19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 ht="15.75" customHeight="1">
      <c r="A1055" s="14"/>
      <c r="B1055" s="14"/>
      <c r="C1055" s="84"/>
      <c r="D1055" s="14"/>
      <c r="E1055" s="14"/>
      <c r="F1055" s="14"/>
      <c r="G1055" s="14"/>
      <c r="H1055" s="14"/>
      <c r="I1055" s="14"/>
      <c r="J1055" s="14"/>
      <c r="K1055" s="19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 ht="15.75" customHeight="1">
      <c r="A1056" s="14"/>
      <c r="B1056" s="14"/>
      <c r="C1056" s="84"/>
      <c r="D1056" s="14"/>
      <c r="E1056" s="14"/>
      <c r="F1056" s="14"/>
      <c r="G1056" s="14"/>
      <c r="H1056" s="14"/>
      <c r="I1056" s="14"/>
      <c r="J1056" s="14"/>
      <c r="K1056" s="19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 ht="15.75" customHeight="1">
      <c r="A1057" s="14"/>
      <c r="B1057" s="14"/>
      <c r="C1057" s="84"/>
      <c r="D1057" s="14"/>
      <c r="E1057" s="14"/>
      <c r="F1057" s="14"/>
      <c r="G1057" s="14"/>
      <c r="H1057" s="14"/>
      <c r="I1057" s="14"/>
      <c r="J1057" s="14"/>
      <c r="K1057" s="19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 ht="15.75" customHeight="1">
      <c r="A1058" s="14"/>
      <c r="B1058" s="14"/>
      <c r="C1058" s="84"/>
      <c r="D1058" s="14"/>
      <c r="E1058" s="14"/>
      <c r="F1058" s="14"/>
      <c r="G1058" s="14"/>
      <c r="H1058" s="14"/>
      <c r="I1058" s="14"/>
      <c r="J1058" s="14"/>
      <c r="K1058" s="19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 ht="15.75" customHeight="1">
      <c r="A1059" s="14"/>
      <c r="B1059" s="14"/>
      <c r="C1059" s="84"/>
      <c r="D1059" s="14"/>
      <c r="E1059" s="14"/>
      <c r="F1059" s="14"/>
      <c r="G1059" s="14"/>
      <c r="H1059" s="14"/>
      <c r="I1059" s="14"/>
      <c r="J1059" s="14"/>
      <c r="K1059" s="19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 ht="15.75" customHeight="1">
      <c r="A1060" s="14"/>
      <c r="B1060" s="14"/>
      <c r="C1060" s="84"/>
      <c r="D1060" s="14"/>
      <c r="E1060" s="14"/>
      <c r="F1060" s="14"/>
      <c r="G1060" s="14"/>
      <c r="H1060" s="14"/>
      <c r="I1060" s="14"/>
      <c r="J1060" s="14"/>
      <c r="K1060" s="19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 ht="15.75" customHeight="1">
      <c r="A1061" s="14"/>
      <c r="B1061" s="14"/>
      <c r="C1061" s="84"/>
      <c r="D1061" s="14"/>
      <c r="E1061" s="14"/>
      <c r="F1061" s="14"/>
      <c r="G1061" s="14"/>
      <c r="H1061" s="14"/>
      <c r="I1061" s="14"/>
      <c r="J1061" s="14"/>
      <c r="K1061" s="19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 ht="15.75" customHeight="1">
      <c r="A1062" s="14"/>
      <c r="B1062" s="14"/>
      <c r="C1062" s="84"/>
      <c r="D1062" s="14"/>
      <c r="E1062" s="14"/>
      <c r="F1062" s="14"/>
      <c r="G1062" s="14"/>
      <c r="H1062" s="14"/>
      <c r="I1062" s="14"/>
      <c r="J1062" s="14"/>
      <c r="K1062" s="19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 ht="15.75" customHeight="1">
      <c r="A1063" s="14"/>
      <c r="B1063" s="14"/>
      <c r="C1063" s="84"/>
      <c r="D1063" s="14"/>
      <c r="E1063" s="14"/>
      <c r="F1063" s="14"/>
      <c r="G1063" s="14"/>
      <c r="H1063" s="14"/>
      <c r="I1063" s="14"/>
      <c r="J1063" s="14"/>
      <c r="K1063" s="19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 ht="15.75" customHeight="1">
      <c r="A1064" s="14"/>
      <c r="B1064" s="14"/>
      <c r="C1064" s="84"/>
      <c r="D1064" s="14"/>
      <c r="E1064" s="14"/>
      <c r="F1064" s="14"/>
      <c r="G1064" s="14"/>
      <c r="H1064" s="14"/>
      <c r="I1064" s="14"/>
      <c r="J1064" s="14"/>
      <c r="K1064" s="19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 ht="15.75" customHeight="1">
      <c r="A1065" s="14"/>
      <c r="B1065" s="14"/>
      <c r="C1065" s="84"/>
      <c r="D1065" s="14"/>
      <c r="E1065" s="14"/>
      <c r="F1065" s="14"/>
      <c r="G1065" s="14"/>
      <c r="H1065" s="14"/>
      <c r="I1065" s="14"/>
      <c r="J1065" s="14"/>
      <c r="K1065" s="19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 ht="15.75" customHeight="1">
      <c r="A1066" s="14"/>
      <c r="B1066" s="14"/>
      <c r="C1066" s="84"/>
      <c r="D1066" s="14"/>
      <c r="E1066" s="14"/>
      <c r="F1066" s="14"/>
      <c r="G1066" s="14"/>
      <c r="H1066" s="14"/>
      <c r="I1066" s="14"/>
      <c r="J1066" s="14"/>
      <c r="K1066" s="19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 ht="15.75" customHeight="1">
      <c r="A1067" s="14"/>
      <c r="B1067" s="14"/>
      <c r="C1067" s="84"/>
      <c r="D1067" s="14"/>
      <c r="E1067" s="14"/>
      <c r="F1067" s="14"/>
      <c r="G1067" s="14"/>
      <c r="H1067" s="14"/>
      <c r="I1067" s="14"/>
      <c r="J1067" s="14"/>
      <c r="K1067" s="19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 ht="15.75" customHeight="1">
      <c r="A1068" s="14"/>
      <c r="B1068" s="14"/>
      <c r="C1068" s="84"/>
      <c r="D1068" s="14"/>
      <c r="E1068" s="14"/>
      <c r="F1068" s="14"/>
      <c r="G1068" s="14"/>
      <c r="H1068" s="14"/>
      <c r="I1068" s="14"/>
      <c r="J1068" s="14"/>
      <c r="K1068" s="19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 ht="15.75" customHeight="1">
      <c r="A1069" s="14"/>
      <c r="B1069" s="14"/>
      <c r="C1069" s="84"/>
      <c r="D1069" s="14"/>
      <c r="E1069" s="14"/>
      <c r="F1069" s="14"/>
      <c r="G1069" s="14"/>
      <c r="H1069" s="14"/>
      <c r="I1069" s="14"/>
      <c r="J1069" s="14"/>
      <c r="K1069" s="19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 ht="15.75" customHeight="1">
      <c r="A1070" s="14"/>
      <c r="B1070" s="14"/>
      <c r="C1070" s="84"/>
      <c r="D1070" s="14"/>
      <c r="E1070" s="14"/>
      <c r="F1070" s="14"/>
      <c r="G1070" s="14"/>
      <c r="H1070" s="14"/>
      <c r="I1070" s="14"/>
      <c r="J1070" s="14"/>
      <c r="K1070" s="19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 ht="15.75" customHeight="1">
      <c r="A1071" s="14"/>
      <c r="B1071" s="14"/>
      <c r="C1071" s="84"/>
      <c r="D1071" s="14"/>
      <c r="E1071" s="14"/>
      <c r="F1071" s="14"/>
      <c r="G1071" s="14"/>
      <c r="H1071" s="14"/>
      <c r="I1071" s="14"/>
      <c r="J1071" s="14"/>
      <c r="K1071" s="19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 ht="15.75" customHeight="1">
      <c r="A1072" s="14"/>
      <c r="B1072" s="14"/>
      <c r="C1072" s="84"/>
      <c r="D1072" s="14"/>
      <c r="E1072" s="14"/>
      <c r="F1072" s="14"/>
      <c r="G1072" s="14"/>
      <c r="H1072" s="14"/>
      <c r="I1072" s="14"/>
      <c r="J1072" s="14"/>
      <c r="K1072" s="19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 ht="15.75" customHeight="1">
      <c r="A1073" s="14"/>
      <c r="B1073" s="14"/>
      <c r="C1073" s="84"/>
      <c r="D1073" s="14"/>
      <c r="E1073" s="14"/>
      <c r="F1073" s="14"/>
      <c r="G1073" s="14"/>
      <c r="H1073" s="14"/>
      <c r="I1073" s="14"/>
      <c r="J1073" s="14"/>
      <c r="K1073" s="19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 ht="15.75" customHeight="1">
      <c r="A1074" s="14"/>
      <c r="B1074" s="14"/>
      <c r="C1074" s="84"/>
      <c r="D1074" s="14"/>
      <c r="E1074" s="14"/>
      <c r="F1074" s="14"/>
      <c r="G1074" s="14"/>
      <c r="H1074" s="14"/>
      <c r="I1074" s="14"/>
      <c r="J1074" s="14"/>
      <c r="K1074" s="19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 ht="15.75" customHeight="1">
      <c r="A1075" s="14"/>
      <c r="B1075" s="14"/>
      <c r="C1075" s="84"/>
      <c r="D1075" s="14"/>
      <c r="E1075" s="14"/>
      <c r="F1075" s="14"/>
      <c r="G1075" s="14"/>
      <c r="H1075" s="14"/>
      <c r="I1075" s="14"/>
      <c r="J1075" s="14"/>
      <c r="K1075" s="19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 ht="15.75" customHeight="1">
      <c r="A1076" s="14"/>
      <c r="B1076" s="14"/>
      <c r="C1076" s="84"/>
      <c r="D1076" s="14"/>
      <c r="E1076" s="14"/>
      <c r="F1076" s="14"/>
      <c r="G1076" s="14"/>
      <c r="H1076" s="14"/>
      <c r="I1076" s="14"/>
      <c r="J1076" s="14"/>
      <c r="K1076" s="19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 ht="15.75" customHeight="1">
      <c r="A1077" s="14"/>
      <c r="B1077" s="14"/>
      <c r="C1077" s="84"/>
      <c r="D1077" s="14"/>
      <c r="E1077" s="14"/>
      <c r="F1077" s="14"/>
      <c r="G1077" s="14"/>
      <c r="H1077" s="14"/>
      <c r="I1077" s="14"/>
      <c r="J1077" s="14"/>
      <c r="K1077" s="19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 ht="15.75" customHeight="1">
      <c r="A1078" s="14"/>
      <c r="B1078" s="14"/>
      <c r="C1078" s="84"/>
      <c r="D1078" s="14"/>
      <c r="E1078" s="14"/>
      <c r="F1078" s="14"/>
      <c r="G1078" s="14"/>
      <c r="H1078" s="14"/>
      <c r="I1078" s="14"/>
      <c r="J1078" s="14"/>
      <c r="K1078" s="19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 ht="15.75" customHeight="1">
      <c r="A1079" s="14"/>
      <c r="B1079" s="14"/>
      <c r="C1079" s="84"/>
      <c r="D1079" s="14"/>
      <c r="E1079" s="14"/>
      <c r="F1079" s="14"/>
      <c r="G1079" s="14"/>
      <c r="H1079" s="14"/>
      <c r="I1079" s="14"/>
      <c r="J1079" s="14"/>
      <c r="K1079" s="19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 ht="15.75" customHeight="1">
      <c r="A1080" s="14"/>
      <c r="B1080" s="14"/>
      <c r="C1080" s="84"/>
      <c r="D1080" s="14"/>
      <c r="E1080" s="14"/>
      <c r="F1080" s="14"/>
      <c r="G1080" s="14"/>
      <c r="H1080" s="14"/>
      <c r="I1080" s="14"/>
      <c r="J1080" s="14"/>
      <c r="K1080" s="19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 ht="15.75" customHeight="1">
      <c r="A1081" s="14"/>
      <c r="B1081" s="14"/>
      <c r="C1081" s="84"/>
      <c r="D1081" s="14"/>
      <c r="E1081" s="14"/>
      <c r="F1081" s="14"/>
      <c r="G1081" s="14"/>
      <c r="H1081" s="14"/>
      <c r="I1081" s="14"/>
      <c r="J1081" s="14"/>
      <c r="K1081" s="19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 ht="15.75" customHeight="1">
      <c r="A1082" s="14"/>
      <c r="B1082" s="14"/>
      <c r="C1082" s="84"/>
      <c r="D1082" s="14"/>
      <c r="E1082" s="14"/>
      <c r="F1082" s="14"/>
      <c r="G1082" s="14"/>
      <c r="H1082" s="14"/>
      <c r="I1082" s="14"/>
      <c r="J1082" s="14"/>
      <c r="K1082" s="19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 ht="15.75" customHeight="1">
      <c r="A1083" s="14"/>
      <c r="B1083" s="14"/>
      <c r="C1083" s="84"/>
      <c r="D1083" s="14"/>
      <c r="E1083" s="14"/>
      <c r="F1083" s="14"/>
      <c r="G1083" s="14"/>
      <c r="H1083" s="14"/>
      <c r="I1083" s="14"/>
      <c r="J1083" s="14"/>
      <c r="K1083" s="19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 ht="15.75" customHeight="1">
      <c r="A1084" s="14"/>
      <c r="B1084" s="14"/>
      <c r="C1084" s="84"/>
      <c r="D1084" s="14"/>
      <c r="E1084" s="14"/>
      <c r="F1084" s="14"/>
      <c r="G1084" s="14"/>
      <c r="H1084" s="14"/>
      <c r="I1084" s="14"/>
      <c r="J1084" s="14"/>
      <c r="K1084" s="19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 ht="15.75" customHeight="1">
      <c r="A1085" s="14"/>
      <c r="B1085" s="14"/>
      <c r="C1085" s="84"/>
      <c r="D1085" s="14"/>
      <c r="E1085" s="14"/>
      <c r="F1085" s="14"/>
      <c r="G1085" s="14"/>
      <c r="H1085" s="14"/>
      <c r="I1085" s="14"/>
      <c r="J1085" s="14"/>
      <c r="K1085" s="19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 ht="15.75" customHeight="1">
      <c r="A1086" s="14"/>
      <c r="B1086" s="14"/>
      <c r="C1086" s="84"/>
      <c r="D1086" s="14"/>
      <c r="E1086" s="14"/>
      <c r="F1086" s="14"/>
      <c r="G1086" s="14"/>
      <c r="H1086" s="14"/>
      <c r="I1086" s="14"/>
      <c r="J1086" s="14"/>
      <c r="K1086" s="19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 ht="15.75" customHeight="1">
      <c r="A1087" s="14"/>
      <c r="B1087" s="14"/>
      <c r="C1087" s="84"/>
      <c r="D1087" s="14"/>
      <c r="E1087" s="14"/>
      <c r="F1087" s="14"/>
      <c r="G1087" s="14"/>
      <c r="H1087" s="14"/>
      <c r="I1087" s="14"/>
      <c r="J1087" s="14"/>
      <c r="K1087" s="19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 ht="15.75" customHeight="1">
      <c r="A1088" s="14"/>
      <c r="B1088" s="14"/>
      <c r="C1088" s="84"/>
      <c r="D1088" s="14"/>
      <c r="E1088" s="14"/>
      <c r="F1088" s="14"/>
      <c r="G1088" s="14"/>
      <c r="H1088" s="14"/>
      <c r="I1088" s="14"/>
      <c r="J1088" s="14"/>
      <c r="K1088" s="19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 ht="15.75" customHeight="1">
      <c r="A1089" s="14"/>
      <c r="B1089" s="14"/>
      <c r="C1089" s="84"/>
      <c r="D1089" s="14"/>
      <c r="E1089" s="14"/>
      <c r="F1089" s="14"/>
      <c r="G1089" s="14"/>
      <c r="H1089" s="14"/>
      <c r="I1089" s="14"/>
      <c r="J1089" s="14"/>
      <c r="K1089" s="19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 ht="15.75" customHeight="1">
      <c r="A1090" s="14"/>
      <c r="B1090" s="14"/>
      <c r="C1090" s="84"/>
      <c r="D1090" s="14"/>
      <c r="E1090" s="14"/>
      <c r="F1090" s="14"/>
      <c r="G1090" s="14"/>
      <c r="H1090" s="14"/>
      <c r="I1090" s="14"/>
      <c r="J1090" s="14"/>
      <c r="K1090" s="19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 ht="15.75" customHeight="1">
      <c r="A1091" s="14"/>
      <c r="B1091" s="14"/>
      <c r="C1091" s="84"/>
      <c r="D1091" s="14"/>
      <c r="E1091" s="14"/>
      <c r="F1091" s="14"/>
      <c r="G1091" s="14"/>
      <c r="H1091" s="14"/>
      <c r="I1091" s="14"/>
      <c r="J1091" s="14"/>
      <c r="K1091" s="19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 ht="15.75" customHeight="1">
      <c r="A1092" s="14"/>
      <c r="B1092" s="14"/>
      <c r="C1092" s="84"/>
      <c r="D1092" s="14"/>
      <c r="E1092" s="14"/>
      <c r="F1092" s="14"/>
      <c r="G1092" s="14"/>
      <c r="H1092" s="14"/>
      <c r="I1092" s="14"/>
      <c r="J1092" s="14"/>
      <c r="K1092" s="19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 ht="15.75" customHeight="1">
      <c r="A1093" s="14"/>
      <c r="B1093" s="14"/>
      <c r="C1093" s="84"/>
      <c r="D1093" s="14"/>
      <c r="E1093" s="14"/>
      <c r="F1093" s="14"/>
      <c r="G1093" s="14"/>
      <c r="H1093" s="14"/>
      <c r="I1093" s="14"/>
      <c r="J1093" s="14"/>
      <c r="K1093" s="19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 ht="15.75" customHeight="1">
      <c r="A1094" s="14"/>
      <c r="B1094" s="14"/>
      <c r="C1094" s="84"/>
      <c r="D1094" s="14"/>
      <c r="E1094" s="14"/>
      <c r="F1094" s="14"/>
      <c r="G1094" s="14"/>
      <c r="H1094" s="14"/>
      <c r="I1094" s="14"/>
      <c r="J1094" s="14"/>
      <c r="K1094" s="19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 ht="15.75" customHeight="1">
      <c r="A1095" s="14"/>
      <c r="B1095" s="14"/>
      <c r="C1095" s="84"/>
      <c r="D1095" s="14"/>
      <c r="E1095" s="14"/>
      <c r="F1095" s="14"/>
      <c r="G1095" s="14"/>
      <c r="H1095" s="14"/>
      <c r="I1095" s="14"/>
      <c r="J1095" s="14"/>
      <c r="K1095" s="19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 ht="15.75" customHeight="1">
      <c r="A1096" s="14"/>
      <c r="B1096" s="14"/>
      <c r="C1096" s="84"/>
      <c r="D1096" s="14"/>
      <c r="E1096" s="14"/>
      <c r="F1096" s="14"/>
      <c r="G1096" s="14"/>
      <c r="H1096" s="14"/>
      <c r="I1096" s="14"/>
      <c r="J1096" s="14"/>
      <c r="K1096" s="19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 ht="15.75" customHeight="1">
      <c r="A1097" s="14"/>
      <c r="B1097" s="14"/>
      <c r="C1097" s="84"/>
      <c r="D1097" s="14"/>
      <c r="E1097" s="14"/>
      <c r="F1097" s="14"/>
      <c r="G1097" s="14"/>
      <c r="H1097" s="14"/>
      <c r="I1097" s="14"/>
      <c r="J1097" s="14"/>
      <c r="K1097" s="19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 ht="15.75" customHeight="1">
      <c r="A1098" s="14"/>
      <c r="B1098" s="14"/>
      <c r="C1098" s="84"/>
      <c r="D1098" s="14"/>
      <c r="E1098" s="14"/>
      <c r="F1098" s="14"/>
      <c r="G1098" s="14"/>
      <c r="H1098" s="14"/>
      <c r="I1098" s="14"/>
      <c r="J1098" s="14"/>
      <c r="K1098" s="19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 ht="15.75" customHeight="1">
      <c r="A1099" s="14"/>
      <c r="B1099" s="14"/>
      <c r="C1099" s="84"/>
      <c r="D1099" s="14"/>
      <c r="E1099" s="14"/>
      <c r="F1099" s="14"/>
      <c r="G1099" s="14"/>
      <c r="H1099" s="14"/>
      <c r="I1099" s="14"/>
      <c r="J1099" s="14"/>
      <c r="K1099" s="19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 ht="15.75" customHeight="1">
      <c r="A1100" s="14"/>
      <c r="B1100" s="14"/>
      <c r="C1100" s="84"/>
      <c r="D1100" s="14"/>
      <c r="E1100" s="14"/>
      <c r="F1100" s="14"/>
      <c r="G1100" s="14"/>
      <c r="H1100" s="14"/>
      <c r="I1100" s="14"/>
      <c r="J1100" s="14"/>
      <c r="K1100" s="19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 ht="15.75" customHeight="1">
      <c r="A1101" s="14"/>
      <c r="B1101" s="14"/>
      <c r="C1101" s="84"/>
      <c r="D1101" s="14"/>
      <c r="E1101" s="14"/>
      <c r="F1101" s="14"/>
      <c r="G1101" s="14"/>
      <c r="H1101" s="14"/>
      <c r="I1101" s="14"/>
      <c r="J1101" s="14"/>
      <c r="K1101" s="19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 ht="15.75" customHeight="1">
      <c r="A1102" s="14"/>
      <c r="B1102" s="14"/>
      <c r="C1102" s="84"/>
      <c r="D1102" s="14"/>
      <c r="E1102" s="14"/>
      <c r="F1102" s="14"/>
      <c r="G1102" s="14"/>
      <c r="H1102" s="14"/>
      <c r="I1102" s="14"/>
      <c r="J1102" s="14"/>
      <c r="K1102" s="19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 ht="15.75" customHeight="1">
      <c r="A1103" s="14"/>
      <c r="B1103" s="14"/>
      <c r="C1103" s="84"/>
      <c r="D1103" s="14"/>
      <c r="E1103" s="14"/>
      <c r="F1103" s="14"/>
      <c r="G1103" s="14"/>
      <c r="H1103" s="14"/>
      <c r="I1103" s="14"/>
      <c r="J1103" s="14"/>
      <c r="K1103" s="19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 ht="15.75" customHeight="1">
      <c r="A1104" s="14"/>
      <c r="B1104" s="14"/>
      <c r="C1104" s="84"/>
      <c r="D1104" s="14"/>
      <c r="E1104" s="14"/>
      <c r="F1104" s="14"/>
      <c r="G1104" s="14"/>
      <c r="H1104" s="14"/>
      <c r="I1104" s="14"/>
      <c r="J1104" s="14"/>
      <c r="K1104" s="19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</sheetData>
  <autoFilter ref="$A$2:$Z$291"/>
  <mergeCells count="13">
    <mergeCell ref="K157:M157"/>
    <mergeCell ref="K158:M158"/>
    <mergeCell ref="K159:M159"/>
    <mergeCell ref="K160:M160"/>
    <mergeCell ref="K161:M161"/>
    <mergeCell ref="K162:M162"/>
    <mergeCell ref="K150:M150"/>
    <mergeCell ref="K151:M151"/>
    <mergeCell ref="K152:M152"/>
    <mergeCell ref="K153:M153"/>
    <mergeCell ref="K154:M154"/>
    <mergeCell ref="K155:M155"/>
    <mergeCell ref="K156:M156"/>
  </mergeCells>
  <conditionalFormatting sqref="F2 F246:F291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0.63"/>
    <col customWidth="1" min="3" max="3" width="26.38"/>
    <col customWidth="1" min="4" max="4" width="15.38"/>
    <col customWidth="1" min="5" max="5" width="14.0"/>
    <col customWidth="1" min="6" max="6" width="17.25"/>
    <col customWidth="1" min="7" max="7" width="18.0"/>
    <col customWidth="1" min="8" max="8" width="16.38"/>
    <col customWidth="1" min="9" max="9" width="16.13"/>
    <col customWidth="1" min="10" max="10" width="23.13"/>
    <col customWidth="1" min="11" max="11" width="18.63"/>
    <col customWidth="1" min="12" max="12" width="32.88"/>
    <col customWidth="1" min="13" max="13" width="14.38"/>
    <col customWidth="1" min="14" max="14" width="26.63"/>
    <col customWidth="1" min="15" max="15" width="14.0"/>
    <col customWidth="1" min="16" max="16" width="21.13"/>
    <col customWidth="1" min="17" max="17" width="15.88"/>
    <col customWidth="1" min="18" max="26" width="8.88"/>
  </cols>
  <sheetData>
    <row r="1">
      <c r="A1" s="74" t="s">
        <v>207</v>
      </c>
      <c r="B1" s="75" t="s">
        <v>208</v>
      </c>
      <c r="C1" s="76" t="s">
        <v>209</v>
      </c>
      <c r="D1" s="4"/>
      <c r="E1" s="4"/>
      <c r="F1" s="4"/>
      <c r="G1" s="6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212</v>
      </c>
      <c r="G2" s="78" t="s">
        <v>26</v>
      </c>
      <c r="H2" s="78" t="s">
        <v>27</v>
      </c>
      <c r="I2" s="22" t="s">
        <v>28</v>
      </c>
      <c r="J2" s="22" t="s">
        <v>213</v>
      </c>
      <c r="K2" s="22" t="s">
        <v>15</v>
      </c>
      <c r="L2" s="22" t="s">
        <v>16</v>
      </c>
      <c r="M2" s="22" t="s">
        <v>29</v>
      </c>
      <c r="N2" s="22" t="s">
        <v>30</v>
      </c>
      <c r="O2" s="22" t="s">
        <v>20</v>
      </c>
      <c r="P2" s="30" t="s">
        <v>21</v>
      </c>
      <c r="Q2" s="30" t="s">
        <v>34</v>
      </c>
    </row>
    <row r="3" ht="17.25" customHeight="1">
      <c r="A3" s="44">
        <v>1.0</v>
      </c>
      <c r="B3" s="43" t="s">
        <v>215</v>
      </c>
      <c r="C3" s="43" t="s">
        <v>217</v>
      </c>
      <c r="D3" s="43">
        <v>1.0</v>
      </c>
      <c r="E3" s="43">
        <v>0.0</v>
      </c>
      <c r="F3" s="44">
        <f t="shared" ref="F3:F8" si="1">D3-E3</f>
        <v>1</v>
      </c>
      <c r="G3" s="81">
        <v>287400.0</v>
      </c>
      <c r="H3" s="82">
        <f t="shared" ref="H3:H8" si="2">D3*G3</f>
        <v>287400</v>
      </c>
      <c r="I3" s="83" t="s">
        <v>178</v>
      </c>
      <c r="J3" s="43" t="s">
        <v>222</v>
      </c>
      <c r="K3" s="43" t="s">
        <v>68</v>
      </c>
      <c r="L3" s="43" t="s">
        <v>223</v>
      </c>
      <c r="M3" s="43"/>
      <c r="N3" s="85"/>
      <c r="O3" s="34"/>
      <c r="P3" s="44"/>
      <c r="Q3" s="44"/>
      <c r="R3" s="19"/>
      <c r="S3" s="19"/>
      <c r="T3" s="19"/>
      <c r="U3" s="19"/>
      <c r="V3" s="19"/>
      <c r="W3" s="19"/>
      <c r="X3" s="19"/>
      <c r="Y3" s="19"/>
      <c r="Z3" s="19"/>
    </row>
    <row r="4">
      <c r="A4" s="58">
        <v>1.0</v>
      </c>
      <c r="B4" s="58" t="s">
        <v>215</v>
      </c>
      <c r="C4" s="58" t="s">
        <v>217</v>
      </c>
      <c r="D4" s="58">
        <v>1.0</v>
      </c>
      <c r="E4" s="58">
        <v>0.0</v>
      </c>
      <c r="F4" s="59">
        <f t="shared" si="1"/>
        <v>1</v>
      </c>
      <c r="G4" s="88">
        <v>287400.0</v>
      </c>
      <c r="H4" s="89">
        <f t="shared" si="2"/>
        <v>287400</v>
      </c>
      <c r="I4" s="90" t="s">
        <v>142</v>
      </c>
      <c r="J4" s="58" t="s">
        <v>222</v>
      </c>
      <c r="K4" s="58" t="s">
        <v>68</v>
      </c>
      <c r="L4" s="58" t="s">
        <v>223</v>
      </c>
      <c r="M4" s="58"/>
      <c r="N4" s="92"/>
      <c r="O4" s="69"/>
      <c r="P4" s="59"/>
      <c r="Q4" s="59"/>
      <c r="R4" s="19"/>
      <c r="S4" s="19"/>
      <c r="T4" s="19"/>
      <c r="U4" s="19"/>
      <c r="V4" s="19"/>
      <c r="W4" s="19"/>
      <c r="X4" s="19"/>
      <c r="Y4" s="19"/>
      <c r="Z4" s="19"/>
    </row>
    <row r="5">
      <c r="A5" s="43">
        <v>1.0</v>
      </c>
      <c r="B5" s="43" t="s">
        <v>215</v>
      </c>
      <c r="C5" s="43" t="s">
        <v>217</v>
      </c>
      <c r="D5" s="43">
        <v>1.0</v>
      </c>
      <c r="E5" s="43">
        <v>0.0</v>
      </c>
      <c r="F5" s="44">
        <f t="shared" si="1"/>
        <v>1</v>
      </c>
      <c r="G5" s="81">
        <v>287400.0</v>
      </c>
      <c r="H5" s="82">
        <f t="shared" si="2"/>
        <v>287400</v>
      </c>
      <c r="I5" s="83" t="s">
        <v>196</v>
      </c>
      <c r="J5" s="43" t="s">
        <v>222</v>
      </c>
      <c r="K5" s="43" t="s">
        <v>68</v>
      </c>
      <c r="L5" s="43" t="s">
        <v>223</v>
      </c>
      <c r="M5" s="43"/>
      <c r="N5" s="94"/>
      <c r="O5" s="34"/>
      <c r="P5" s="44"/>
      <c r="Q5" s="44"/>
      <c r="R5" s="19"/>
      <c r="S5" s="19"/>
      <c r="T5" s="19"/>
      <c r="U5" s="19"/>
      <c r="V5" s="19"/>
      <c r="W5" s="19"/>
      <c r="X5" s="19"/>
      <c r="Y5" s="19"/>
      <c r="Z5" s="19"/>
    </row>
    <row r="6">
      <c r="A6" s="59">
        <v>1.0</v>
      </c>
      <c r="B6" s="58" t="s">
        <v>215</v>
      </c>
      <c r="C6" s="58" t="s">
        <v>217</v>
      </c>
      <c r="D6" s="58">
        <v>1.0</v>
      </c>
      <c r="E6" s="58">
        <v>0.0</v>
      </c>
      <c r="F6" s="59">
        <f t="shared" si="1"/>
        <v>1</v>
      </c>
      <c r="G6" s="88">
        <v>287400.0</v>
      </c>
      <c r="H6" s="89">
        <f t="shared" si="2"/>
        <v>287400</v>
      </c>
      <c r="I6" s="90" t="s">
        <v>134</v>
      </c>
      <c r="J6" s="58" t="s">
        <v>222</v>
      </c>
      <c r="K6" s="58" t="s">
        <v>68</v>
      </c>
      <c r="L6" s="58" t="s">
        <v>223</v>
      </c>
      <c r="M6" s="58"/>
      <c r="N6" s="92"/>
      <c r="O6" s="69"/>
      <c r="P6" s="59"/>
      <c r="Q6" s="59"/>
      <c r="R6" s="19"/>
      <c r="S6" s="19"/>
      <c r="T6" s="19"/>
      <c r="U6" s="19"/>
      <c r="V6" s="19"/>
      <c r="W6" s="19"/>
      <c r="X6" s="19"/>
      <c r="Y6" s="19"/>
      <c r="Z6" s="19"/>
    </row>
    <row r="7">
      <c r="A7" s="43">
        <v>1.0</v>
      </c>
      <c r="B7" s="43" t="s">
        <v>215</v>
      </c>
      <c r="C7" s="43" t="s">
        <v>217</v>
      </c>
      <c r="D7" s="43">
        <v>1.0</v>
      </c>
      <c r="E7" s="43">
        <v>0.0</v>
      </c>
      <c r="F7" s="44">
        <f t="shared" si="1"/>
        <v>1</v>
      </c>
      <c r="G7" s="81">
        <v>287400.0</v>
      </c>
      <c r="H7" s="82">
        <f t="shared" si="2"/>
        <v>287400</v>
      </c>
      <c r="I7" s="83" t="s">
        <v>214</v>
      </c>
      <c r="J7" s="43" t="s">
        <v>222</v>
      </c>
      <c r="K7" s="43" t="s">
        <v>68</v>
      </c>
      <c r="L7" s="43" t="s">
        <v>223</v>
      </c>
      <c r="M7" s="43"/>
      <c r="N7" s="94"/>
      <c r="O7" s="34"/>
      <c r="P7" s="34"/>
      <c r="Q7" s="44"/>
      <c r="R7" s="19"/>
      <c r="S7" s="19"/>
      <c r="T7" s="19"/>
      <c r="U7" s="19"/>
      <c r="V7" s="19"/>
      <c r="W7" s="19"/>
      <c r="X7" s="19"/>
      <c r="Y7" s="19"/>
      <c r="Z7" s="19"/>
    </row>
    <row r="8">
      <c r="A8" s="59">
        <v>1.0</v>
      </c>
      <c r="B8" s="58" t="s">
        <v>215</v>
      </c>
      <c r="C8" s="58" t="s">
        <v>217</v>
      </c>
      <c r="D8" s="58">
        <v>1.0</v>
      </c>
      <c r="E8" s="58">
        <v>0.0</v>
      </c>
      <c r="F8" s="59">
        <f t="shared" si="1"/>
        <v>1</v>
      </c>
      <c r="G8" s="88">
        <v>287400.0</v>
      </c>
      <c r="H8" s="89">
        <f t="shared" si="2"/>
        <v>287400</v>
      </c>
      <c r="I8" s="90" t="s">
        <v>232</v>
      </c>
      <c r="J8" s="58" t="s">
        <v>222</v>
      </c>
      <c r="K8" s="58" t="s">
        <v>68</v>
      </c>
      <c r="L8" s="58" t="s">
        <v>223</v>
      </c>
      <c r="M8" s="58"/>
      <c r="N8" s="92"/>
      <c r="O8" s="69"/>
      <c r="P8" s="69"/>
      <c r="Q8" s="5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autoFilter ref="$A$1:$Q$8"/>
  <mergeCells count="1">
    <mergeCell ref="C1:G1"/>
  </mergeCells>
  <conditionalFormatting sqref="F2:F8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0.63"/>
    <col customWidth="1" min="3" max="3" width="26.38"/>
    <col customWidth="1" min="4" max="4" width="15.38"/>
    <col customWidth="1" min="5" max="5" width="14.0"/>
    <col customWidth="1" min="6" max="6" width="12.63"/>
    <col customWidth="1" min="7" max="7" width="18.0"/>
    <col customWidth="1" min="8" max="8" width="16.38"/>
    <col customWidth="1" min="9" max="9" width="16.13"/>
    <col customWidth="1" min="10" max="10" width="23.13"/>
    <col customWidth="1" min="11" max="11" width="18.63"/>
    <col customWidth="1" min="12" max="12" width="32.88"/>
    <col customWidth="1" min="13" max="13" width="14.38"/>
    <col customWidth="1" min="14" max="14" width="26.63"/>
    <col customWidth="1" min="15" max="15" width="14.0"/>
    <col customWidth="1" min="16" max="16" width="21.13"/>
    <col customWidth="1" min="17" max="17" width="15.88"/>
    <col customWidth="1" min="18" max="26" width="8.88"/>
  </cols>
  <sheetData>
    <row r="1">
      <c r="A1" s="74" t="s">
        <v>207</v>
      </c>
      <c r="B1" s="75" t="s">
        <v>208</v>
      </c>
      <c r="C1" s="76" t="s">
        <v>260</v>
      </c>
      <c r="D1" s="4"/>
      <c r="E1" s="4"/>
      <c r="F1" s="4"/>
      <c r="G1" s="6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212</v>
      </c>
      <c r="G2" s="78" t="s">
        <v>26</v>
      </c>
      <c r="H2" s="78" t="s">
        <v>27</v>
      </c>
      <c r="I2" s="22" t="s">
        <v>28</v>
      </c>
      <c r="J2" s="22" t="s">
        <v>213</v>
      </c>
      <c r="K2" s="22" t="s">
        <v>15</v>
      </c>
      <c r="L2" s="22" t="s">
        <v>16</v>
      </c>
      <c r="M2" s="22" t="s">
        <v>29</v>
      </c>
      <c r="N2" s="22" t="s">
        <v>30</v>
      </c>
      <c r="O2" s="22" t="s">
        <v>20</v>
      </c>
      <c r="P2" s="30" t="s">
        <v>21</v>
      </c>
      <c r="Q2" s="30" t="s">
        <v>34</v>
      </c>
    </row>
    <row r="3" ht="17.25" customHeight="1">
      <c r="A3" s="44">
        <v>1.0</v>
      </c>
      <c r="B3" s="43" t="s">
        <v>47</v>
      </c>
      <c r="C3" s="43" t="s">
        <v>49</v>
      </c>
      <c r="D3" s="43">
        <v>4.0</v>
      </c>
      <c r="E3" s="107">
        <v>3.0</v>
      </c>
      <c r="F3" s="44">
        <f t="shared" ref="F3:F33" si="1">D3-E3</f>
        <v>1</v>
      </c>
      <c r="G3" s="81">
        <v>159000.0</v>
      </c>
      <c r="H3" s="82">
        <f t="shared" ref="H3:H33" si="2">D3*G3</f>
        <v>636000</v>
      </c>
      <c r="I3" s="83" t="s">
        <v>199</v>
      </c>
      <c r="J3" s="43" t="s">
        <v>262</v>
      </c>
      <c r="K3" s="43" t="s">
        <v>263</v>
      </c>
      <c r="L3" s="43" t="s">
        <v>265</v>
      </c>
      <c r="M3" s="43" t="s">
        <v>266</v>
      </c>
      <c r="N3" s="85" t="s">
        <v>267</v>
      </c>
      <c r="O3" s="34"/>
      <c r="P3" s="44"/>
      <c r="Q3" s="44"/>
      <c r="R3" s="19"/>
      <c r="S3" s="19"/>
      <c r="T3" s="19"/>
      <c r="U3" s="19"/>
      <c r="V3" s="19"/>
      <c r="W3" s="19"/>
      <c r="X3" s="19"/>
      <c r="Y3" s="19"/>
      <c r="Z3" s="19"/>
    </row>
    <row r="4">
      <c r="A4" s="59">
        <v>1.0</v>
      </c>
      <c r="B4" s="58" t="s">
        <v>47</v>
      </c>
      <c r="C4" s="58" t="s">
        <v>49</v>
      </c>
      <c r="D4" s="58">
        <v>14.0</v>
      </c>
      <c r="E4" s="58">
        <v>12.0</v>
      </c>
      <c r="F4" s="59">
        <f t="shared" si="1"/>
        <v>2</v>
      </c>
      <c r="G4" s="88">
        <v>159000.0</v>
      </c>
      <c r="H4" s="89">
        <f t="shared" si="2"/>
        <v>2226000</v>
      </c>
      <c r="I4" s="90" t="s">
        <v>268</v>
      </c>
      <c r="J4" s="58" t="s">
        <v>262</v>
      </c>
      <c r="K4" s="58" t="s">
        <v>269</v>
      </c>
      <c r="L4" s="58" t="s">
        <v>265</v>
      </c>
      <c r="M4" s="58" t="s">
        <v>266</v>
      </c>
      <c r="N4" s="92" t="s">
        <v>267</v>
      </c>
      <c r="O4" s="69"/>
      <c r="P4" s="59"/>
      <c r="Q4" s="59"/>
      <c r="R4" s="19"/>
      <c r="S4" s="19"/>
      <c r="T4" s="19"/>
      <c r="U4" s="19"/>
      <c r="V4" s="19"/>
      <c r="W4" s="19"/>
      <c r="X4" s="19"/>
      <c r="Y4" s="19"/>
      <c r="Z4" s="19"/>
    </row>
    <row r="5">
      <c r="A5" s="44">
        <v>1.0</v>
      </c>
      <c r="B5" s="43" t="s">
        <v>47</v>
      </c>
      <c r="C5" s="43" t="s">
        <v>49</v>
      </c>
      <c r="D5" s="43">
        <v>2.0</v>
      </c>
      <c r="E5" s="110">
        <v>1.0</v>
      </c>
      <c r="F5" s="44">
        <f t="shared" si="1"/>
        <v>1</v>
      </c>
      <c r="G5" s="81">
        <v>159000.0</v>
      </c>
      <c r="H5" s="82">
        <f t="shared" si="2"/>
        <v>318000</v>
      </c>
      <c r="I5" s="83" t="s">
        <v>214</v>
      </c>
      <c r="J5" s="43" t="s">
        <v>262</v>
      </c>
      <c r="K5" s="43" t="s">
        <v>270</v>
      </c>
      <c r="L5" s="43" t="s">
        <v>265</v>
      </c>
      <c r="M5" s="43" t="s">
        <v>266</v>
      </c>
      <c r="N5" s="94" t="s">
        <v>267</v>
      </c>
      <c r="O5" s="34"/>
      <c r="P5" s="34"/>
      <c r="Q5" s="44"/>
      <c r="R5" s="19"/>
      <c r="S5" s="19"/>
      <c r="T5" s="19"/>
      <c r="U5" s="19"/>
      <c r="V5" s="19"/>
      <c r="W5" s="19"/>
      <c r="X5" s="19"/>
      <c r="Y5" s="19"/>
      <c r="Z5" s="19"/>
    </row>
    <row r="6">
      <c r="A6" s="58">
        <v>2.0</v>
      </c>
      <c r="B6" s="58" t="s">
        <v>271</v>
      </c>
      <c r="C6" s="58" t="s">
        <v>273</v>
      </c>
      <c r="D6" s="58">
        <v>1.0</v>
      </c>
      <c r="E6" s="58">
        <v>0.0</v>
      </c>
      <c r="F6" s="59">
        <f t="shared" si="1"/>
        <v>1</v>
      </c>
      <c r="G6" s="89"/>
      <c r="H6" s="89">
        <f t="shared" si="2"/>
        <v>0</v>
      </c>
      <c r="I6" s="90" t="s">
        <v>58</v>
      </c>
      <c r="J6" s="112" t="s">
        <v>274</v>
      </c>
      <c r="K6" s="59"/>
      <c r="L6" s="59"/>
      <c r="M6" s="59"/>
      <c r="N6" s="69"/>
      <c r="O6" s="69"/>
      <c r="P6" s="59"/>
      <c r="Q6" s="59"/>
      <c r="R6" s="19"/>
      <c r="S6" s="19"/>
      <c r="T6" s="19"/>
      <c r="U6" s="19"/>
      <c r="V6" s="19"/>
      <c r="W6" s="19"/>
      <c r="X6" s="19"/>
      <c r="Y6" s="19"/>
      <c r="Z6" s="19"/>
    </row>
    <row r="7">
      <c r="A7" s="43">
        <v>2.0</v>
      </c>
      <c r="B7" s="43" t="s">
        <v>271</v>
      </c>
      <c r="C7" s="43" t="s">
        <v>273</v>
      </c>
      <c r="D7" s="43">
        <v>1.0</v>
      </c>
      <c r="E7" s="43">
        <v>0.0</v>
      </c>
      <c r="F7" s="44">
        <f t="shared" si="1"/>
        <v>1</v>
      </c>
      <c r="G7" s="82"/>
      <c r="H7" s="82">
        <f t="shared" si="2"/>
        <v>0</v>
      </c>
      <c r="I7" s="83" t="s">
        <v>103</v>
      </c>
      <c r="J7" s="112" t="s">
        <v>274</v>
      </c>
      <c r="K7" s="44"/>
      <c r="L7" s="44"/>
      <c r="M7" s="44"/>
      <c r="N7" s="34"/>
      <c r="O7" s="34"/>
      <c r="P7" s="44"/>
      <c r="Q7" s="44"/>
      <c r="R7" s="19"/>
      <c r="S7" s="19"/>
      <c r="T7" s="19"/>
      <c r="U7" s="19"/>
      <c r="V7" s="19"/>
      <c r="W7" s="19"/>
      <c r="X7" s="19"/>
      <c r="Y7" s="19"/>
      <c r="Z7" s="19"/>
    </row>
    <row r="8">
      <c r="A8" s="58">
        <v>2.0</v>
      </c>
      <c r="B8" s="58" t="s">
        <v>271</v>
      </c>
      <c r="C8" s="58" t="s">
        <v>273</v>
      </c>
      <c r="D8" s="58">
        <v>1.0</v>
      </c>
      <c r="E8" s="58">
        <v>0.0</v>
      </c>
      <c r="F8" s="59">
        <f t="shared" si="1"/>
        <v>1</v>
      </c>
      <c r="G8" s="89"/>
      <c r="H8" s="89">
        <f t="shared" si="2"/>
        <v>0</v>
      </c>
      <c r="I8" s="90" t="s">
        <v>96</v>
      </c>
      <c r="J8" s="112" t="s">
        <v>274</v>
      </c>
      <c r="K8" s="59"/>
      <c r="L8" s="59"/>
      <c r="M8" s="59"/>
      <c r="N8" s="69"/>
      <c r="O8" s="69"/>
      <c r="P8" s="59"/>
      <c r="Q8" s="59"/>
      <c r="R8" s="19"/>
      <c r="S8" s="19"/>
      <c r="T8" s="19"/>
      <c r="U8" s="19"/>
      <c r="V8" s="19"/>
      <c r="W8" s="19"/>
      <c r="X8" s="19"/>
      <c r="Y8" s="19"/>
      <c r="Z8" s="19"/>
    </row>
    <row r="9">
      <c r="A9" s="43">
        <v>2.0</v>
      </c>
      <c r="B9" s="43" t="s">
        <v>271</v>
      </c>
      <c r="C9" s="43" t="s">
        <v>273</v>
      </c>
      <c r="D9" s="43">
        <v>1.0</v>
      </c>
      <c r="E9" s="43">
        <v>0.0</v>
      </c>
      <c r="F9" s="44">
        <f t="shared" si="1"/>
        <v>1</v>
      </c>
      <c r="G9" s="82"/>
      <c r="H9" s="82">
        <f t="shared" si="2"/>
        <v>0</v>
      </c>
      <c r="I9" s="83" t="s">
        <v>134</v>
      </c>
      <c r="J9" s="112" t="s">
        <v>274</v>
      </c>
      <c r="K9" s="44"/>
      <c r="L9" s="44"/>
      <c r="M9" s="44"/>
      <c r="N9" s="34"/>
      <c r="O9" s="34"/>
      <c r="P9" s="44"/>
      <c r="Q9" s="44"/>
      <c r="R9" s="19"/>
      <c r="S9" s="19"/>
      <c r="T9" s="19"/>
      <c r="U9" s="19"/>
      <c r="V9" s="19"/>
      <c r="W9" s="19"/>
      <c r="X9" s="19"/>
      <c r="Y9" s="19"/>
      <c r="Z9" s="19"/>
    </row>
    <row r="10">
      <c r="A10" s="58">
        <v>2.0</v>
      </c>
      <c r="B10" s="58" t="s">
        <v>271</v>
      </c>
      <c r="C10" s="58" t="s">
        <v>273</v>
      </c>
      <c r="D10" s="58">
        <v>1.0</v>
      </c>
      <c r="E10" s="58">
        <v>0.0</v>
      </c>
      <c r="F10" s="59">
        <f t="shared" si="1"/>
        <v>1</v>
      </c>
      <c r="G10" s="89"/>
      <c r="H10" s="89">
        <f t="shared" si="2"/>
        <v>0</v>
      </c>
      <c r="I10" s="90" t="s">
        <v>117</v>
      </c>
      <c r="J10" s="112" t="s">
        <v>274</v>
      </c>
      <c r="K10" s="59"/>
      <c r="L10" s="59"/>
      <c r="M10" s="59"/>
      <c r="N10" s="69"/>
      <c r="O10" s="69"/>
      <c r="P10" s="59"/>
      <c r="Q10" s="5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3">
        <v>2.0</v>
      </c>
      <c r="B11" s="43" t="s">
        <v>271</v>
      </c>
      <c r="C11" s="43" t="s">
        <v>273</v>
      </c>
      <c r="D11" s="43">
        <v>1.0</v>
      </c>
      <c r="E11" s="43">
        <v>0.0</v>
      </c>
      <c r="F11" s="44">
        <f t="shared" si="1"/>
        <v>1</v>
      </c>
      <c r="G11" s="82"/>
      <c r="H11" s="82">
        <f t="shared" si="2"/>
        <v>0</v>
      </c>
      <c r="I11" s="83" t="s">
        <v>161</v>
      </c>
      <c r="J11" s="112" t="s">
        <v>274</v>
      </c>
      <c r="K11" s="44"/>
      <c r="L11" s="44"/>
      <c r="M11" s="44"/>
      <c r="N11" s="34"/>
      <c r="O11" s="34"/>
      <c r="P11" s="44"/>
      <c r="Q11" s="44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14">
        <v>2.0</v>
      </c>
      <c r="B12" s="115" t="s">
        <v>271</v>
      </c>
      <c r="C12" s="115" t="s">
        <v>273</v>
      </c>
      <c r="D12" s="58">
        <v>1.0</v>
      </c>
      <c r="E12" s="58">
        <v>0.0</v>
      </c>
      <c r="F12" s="59">
        <f t="shared" si="1"/>
        <v>1</v>
      </c>
      <c r="G12" s="89"/>
      <c r="H12" s="89">
        <f t="shared" si="2"/>
        <v>0</v>
      </c>
      <c r="I12" s="90" t="s">
        <v>272</v>
      </c>
      <c r="J12" s="112" t="s">
        <v>274</v>
      </c>
      <c r="K12" s="59"/>
      <c r="L12" s="59"/>
      <c r="M12" s="59"/>
      <c r="N12" s="59"/>
      <c r="O12" s="59"/>
      <c r="P12" s="59"/>
      <c r="Q12" s="5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09">
        <v>2.0</v>
      </c>
      <c r="B13" s="117" t="s">
        <v>271</v>
      </c>
      <c r="C13" s="117" t="s">
        <v>273</v>
      </c>
      <c r="D13" s="43">
        <v>1.0</v>
      </c>
      <c r="E13" s="43">
        <v>0.0</v>
      </c>
      <c r="F13" s="44">
        <f t="shared" si="1"/>
        <v>1</v>
      </c>
      <c r="G13" s="82"/>
      <c r="H13" s="82">
        <f t="shared" si="2"/>
        <v>0</v>
      </c>
      <c r="I13" s="83" t="s">
        <v>214</v>
      </c>
      <c r="J13" s="112" t="s">
        <v>274</v>
      </c>
      <c r="K13" s="44"/>
      <c r="L13" s="44"/>
      <c r="M13" s="44"/>
      <c r="N13" s="44"/>
      <c r="O13" s="44"/>
      <c r="P13" s="44"/>
      <c r="Q13" s="44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15">
        <v>3.0</v>
      </c>
      <c r="B14" s="115" t="s">
        <v>215</v>
      </c>
      <c r="C14" s="115" t="s">
        <v>284</v>
      </c>
      <c r="D14" s="58">
        <v>2.0</v>
      </c>
      <c r="E14" s="111">
        <v>1.0</v>
      </c>
      <c r="F14" s="59">
        <f t="shared" si="1"/>
        <v>1</v>
      </c>
      <c r="G14" s="88">
        <v>241590.0</v>
      </c>
      <c r="H14" s="89">
        <f t="shared" si="2"/>
        <v>483180</v>
      </c>
      <c r="I14" s="90" t="s">
        <v>286</v>
      </c>
      <c r="J14" s="58" t="s">
        <v>287</v>
      </c>
      <c r="K14" s="58" t="s">
        <v>288</v>
      </c>
      <c r="L14" s="58" t="s">
        <v>289</v>
      </c>
      <c r="M14" s="58" t="s">
        <v>290</v>
      </c>
      <c r="N14" s="58" t="s">
        <v>291</v>
      </c>
      <c r="O14" s="59"/>
      <c r="P14" s="59"/>
      <c r="Q14" s="5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17">
        <v>3.0</v>
      </c>
      <c r="B15" s="117" t="s">
        <v>215</v>
      </c>
      <c r="C15" s="117" t="s">
        <v>284</v>
      </c>
      <c r="D15" s="43">
        <v>1.0</v>
      </c>
      <c r="E15" s="111">
        <v>1.0</v>
      </c>
      <c r="F15" s="44">
        <f t="shared" si="1"/>
        <v>0</v>
      </c>
      <c r="G15" s="81">
        <v>241590.0</v>
      </c>
      <c r="H15" s="82">
        <f t="shared" si="2"/>
        <v>241590</v>
      </c>
      <c r="I15" s="83" t="s">
        <v>142</v>
      </c>
      <c r="J15" s="43" t="s">
        <v>287</v>
      </c>
      <c r="K15" s="43" t="s">
        <v>294</v>
      </c>
      <c r="L15" s="43" t="s">
        <v>289</v>
      </c>
      <c r="M15" s="43" t="s">
        <v>290</v>
      </c>
      <c r="N15" s="43" t="s">
        <v>291</v>
      </c>
      <c r="O15" s="44"/>
      <c r="P15" s="44"/>
      <c r="Q15" s="44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15">
        <v>3.0</v>
      </c>
      <c r="B16" s="115" t="s">
        <v>215</v>
      </c>
      <c r="C16" s="115" t="s">
        <v>284</v>
      </c>
      <c r="D16" s="58">
        <v>2.0</v>
      </c>
      <c r="E16" s="111">
        <v>1.0</v>
      </c>
      <c r="F16" s="59">
        <f t="shared" si="1"/>
        <v>1</v>
      </c>
      <c r="G16" s="88">
        <v>241590.0</v>
      </c>
      <c r="H16" s="89">
        <f t="shared" si="2"/>
        <v>483180</v>
      </c>
      <c r="I16" s="90" t="s">
        <v>295</v>
      </c>
      <c r="J16" s="58" t="s">
        <v>287</v>
      </c>
      <c r="K16" s="58" t="s">
        <v>294</v>
      </c>
      <c r="L16" s="58" t="s">
        <v>289</v>
      </c>
      <c r="M16" s="58" t="s">
        <v>290</v>
      </c>
      <c r="N16" s="58" t="s">
        <v>291</v>
      </c>
      <c r="O16" s="59"/>
      <c r="P16" s="59"/>
      <c r="Q16" s="5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17">
        <v>3.0</v>
      </c>
      <c r="B17" s="117" t="s">
        <v>215</v>
      </c>
      <c r="C17" s="117" t="s">
        <v>284</v>
      </c>
      <c r="D17" s="43">
        <v>1.0</v>
      </c>
      <c r="E17" s="43">
        <v>0.0</v>
      </c>
      <c r="F17" s="44">
        <f t="shared" si="1"/>
        <v>1</v>
      </c>
      <c r="G17" s="81">
        <v>241590.0</v>
      </c>
      <c r="H17" s="82">
        <f t="shared" si="2"/>
        <v>241590</v>
      </c>
      <c r="I17" s="83" t="s">
        <v>188</v>
      </c>
      <c r="J17" s="43" t="s">
        <v>287</v>
      </c>
      <c r="K17" s="43" t="s">
        <v>294</v>
      </c>
      <c r="L17" s="43" t="s">
        <v>289</v>
      </c>
      <c r="M17" s="43" t="s">
        <v>290</v>
      </c>
      <c r="N17" s="43" t="s">
        <v>291</v>
      </c>
      <c r="O17" s="44"/>
      <c r="P17" s="44"/>
      <c r="Q17" s="44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15">
        <v>3.0</v>
      </c>
      <c r="B18" s="115" t="s">
        <v>215</v>
      </c>
      <c r="C18" s="115" t="s">
        <v>284</v>
      </c>
      <c r="D18" s="58">
        <v>2.0</v>
      </c>
      <c r="E18" s="111">
        <v>1.0</v>
      </c>
      <c r="F18" s="59">
        <f t="shared" si="1"/>
        <v>1</v>
      </c>
      <c r="G18" s="88">
        <v>241590.0</v>
      </c>
      <c r="H18" s="89">
        <f t="shared" si="2"/>
        <v>483180</v>
      </c>
      <c r="I18" s="90" t="s">
        <v>196</v>
      </c>
      <c r="J18" s="58" t="s">
        <v>287</v>
      </c>
      <c r="K18" s="58" t="s">
        <v>294</v>
      </c>
      <c r="L18" s="58" t="s">
        <v>289</v>
      </c>
      <c r="M18" s="58" t="s">
        <v>290</v>
      </c>
      <c r="N18" s="58" t="s">
        <v>291</v>
      </c>
      <c r="O18" s="59"/>
      <c r="P18" s="59"/>
      <c r="Q18" s="5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17">
        <v>3.0</v>
      </c>
      <c r="B19" s="117" t="s">
        <v>215</v>
      </c>
      <c r="C19" s="117" t="s">
        <v>284</v>
      </c>
      <c r="D19" s="43">
        <v>1.0</v>
      </c>
      <c r="E19" s="43">
        <v>0.0</v>
      </c>
      <c r="F19" s="44">
        <f t="shared" si="1"/>
        <v>1</v>
      </c>
      <c r="G19" s="81">
        <v>241590.0</v>
      </c>
      <c r="H19" s="82">
        <f t="shared" si="2"/>
        <v>241590</v>
      </c>
      <c r="I19" s="83" t="s">
        <v>194</v>
      </c>
      <c r="J19" s="43" t="s">
        <v>287</v>
      </c>
      <c r="K19" s="43" t="s">
        <v>294</v>
      </c>
      <c r="L19" s="43" t="s">
        <v>289</v>
      </c>
      <c r="M19" s="43" t="s">
        <v>290</v>
      </c>
      <c r="N19" s="43" t="s">
        <v>291</v>
      </c>
      <c r="O19" s="44"/>
      <c r="P19" s="44"/>
      <c r="Q19" s="44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15">
        <v>3.0</v>
      </c>
      <c r="B20" s="115" t="s">
        <v>215</v>
      </c>
      <c r="C20" s="115" t="s">
        <v>284</v>
      </c>
      <c r="D20" s="58">
        <v>1.0</v>
      </c>
      <c r="E20" s="58">
        <v>0.0</v>
      </c>
      <c r="F20" s="59">
        <f t="shared" si="1"/>
        <v>1</v>
      </c>
      <c r="G20" s="88">
        <v>241590.0</v>
      </c>
      <c r="H20" s="89">
        <f t="shared" si="2"/>
        <v>241590</v>
      </c>
      <c r="I20" s="90" t="s">
        <v>134</v>
      </c>
      <c r="J20" s="58" t="s">
        <v>287</v>
      </c>
      <c r="K20" s="58" t="s">
        <v>294</v>
      </c>
      <c r="L20" s="58" t="s">
        <v>289</v>
      </c>
      <c r="M20" s="58" t="s">
        <v>290</v>
      </c>
      <c r="N20" s="58" t="s">
        <v>291</v>
      </c>
      <c r="O20" s="59"/>
      <c r="P20" s="59"/>
      <c r="Q20" s="5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17">
        <v>3.0</v>
      </c>
      <c r="B21" s="117" t="s">
        <v>215</v>
      </c>
      <c r="C21" s="117" t="s">
        <v>284</v>
      </c>
      <c r="D21" s="43">
        <v>1.0</v>
      </c>
      <c r="E21" s="43">
        <v>0.0</v>
      </c>
      <c r="F21" s="44">
        <f t="shared" si="1"/>
        <v>1</v>
      </c>
      <c r="G21" s="81">
        <v>241590.0</v>
      </c>
      <c r="H21" s="82">
        <f t="shared" si="2"/>
        <v>241590</v>
      </c>
      <c r="I21" s="83" t="s">
        <v>161</v>
      </c>
      <c r="J21" s="43" t="s">
        <v>287</v>
      </c>
      <c r="K21" s="43" t="s">
        <v>294</v>
      </c>
      <c r="L21" s="43" t="s">
        <v>289</v>
      </c>
      <c r="M21" s="43" t="s">
        <v>290</v>
      </c>
      <c r="N21" s="43" t="s">
        <v>291</v>
      </c>
      <c r="O21" s="44"/>
      <c r="P21" s="44"/>
      <c r="Q21" s="44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15">
        <v>3.0</v>
      </c>
      <c r="B22" s="115" t="s">
        <v>215</v>
      </c>
      <c r="C22" s="115" t="s">
        <v>284</v>
      </c>
      <c r="D22" s="58">
        <v>1.0</v>
      </c>
      <c r="E22" s="111">
        <v>1.0</v>
      </c>
      <c r="F22" s="59">
        <f t="shared" si="1"/>
        <v>0</v>
      </c>
      <c r="G22" s="88">
        <v>241590.0</v>
      </c>
      <c r="H22" s="89">
        <f t="shared" si="2"/>
        <v>241590</v>
      </c>
      <c r="I22" s="90" t="s">
        <v>304</v>
      </c>
      <c r="J22" s="58" t="s">
        <v>287</v>
      </c>
      <c r="K22" s="58" t="s">
        <v>294</v>
      </c>
      <c r="L22" s="58" t="s">
        <v>289</v>
      </c>
      <c r="M22" s="58" t="s">
        <v>290</v>
      </c>
      <c r="N22" s="58" t="s">
        <v>291</v>
      </c>
      <c r="O22" s="59"/>
      <c r="P22" s="59"/>
      <c r="Q22" s="5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17">
        <v>3.0</v>
      </c>
      <c r="B23" s="117" t="s">
        <v>215</v>
      </c>
      <c r="C23" s="117" t="s">
        <v>284</v>
      </c>
      <c r="D23" s="43">
        <v>2.0</v>
      </c>
      <c r="E23" s="43">
        <v>0.0</v>
      </c>
      <c r="F23" s="44">
        <f t="shared" si="1"/>
        <v>2</v>
      </c>
      <c r="G23" s="81">
        <v>241590.0</v>
      </c>
      <c r="H23" s="82">
        <f t="shared" si="2"/>
        <v>483180</v>
      </c>
      <c r="I23" s="83" t="s">
        <v>210</v>
      </c>
      <c r="J23" s="43" t="s">
        <v>287</v>
      </c>
      <c r="K23" s="43" t="s">
        <v>294</v>
      </c>
      <c r="L23" s="43" t="s">
        <v>289</v>
      </c>
      <c r="M23" s="43" t="s">
        <v>290</v>
      </c>
      <c r="N23" s="43" t="s">
        <v>291</v>
      </c>
      <c r="O23" s="44"/>
      <c r="P23" s="44"/>
      <c r="Q23" s="44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15">
        <v>3.0</v>
      </c>
      <c r="B24" s="115" t="s">
        <v>215</v>
      </c>
      <c r="C24" s="115" t="s">
        <v>284</v>
      </c>
      <c r="D24" s="58">
        <v>1.0</v>
      </c>
      <c r="E24" s="111">
        <v>1.0</v>
      </c>
      <c r="F24" s="59">
        <f t="shared" si="1"/>
        <v>0</v>
      </c>
      <c r="G24" s="88">
        <v>241590.0</v>
      </c>
      <c r="H24" s="89">
        <f t="shared" si="2"/>
        <v>241590</v>
      </c>
      <c r="I24" s="90" t="s">
        <v>154</v>
      </c>
      <c r="J24" s="58" t="s">
        <v>287</v>
      </c>
      <c r="K24" s="58" t="s">
        <v>294</v>
      </c>
      <c r="L24" s="58" t="s">
        <v>289</v>
      </c>
      <c r="M24" s="58" t="s">
        <v>290</v>
      </c>
      <c r="N24" s="58" t="s">
        <v>291</v>
      </c>
      <c r="O24" s="59"/>
      <c r="P24" s="59"/>
      <c r="Q24" s="5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17">
        <v>3.0</v>
      </c>
      <c r="B25" s="117" t="s">
        <v>215</v>
      </c>
      <c r="C25" s="117" t="s">
        <v>284</v>
      </c>
      <c r="D25" s="43">
        <v>1.0</v>
      </c>
      <c r="E25" s="43">
        <v>0.0</v>
      </c>
      <c r="F25" s="44">
        <f t="shared" si="1"/>
        <v>1</v>
      </c>
      <c r="G25" s="81">
        <v>241590.0</v>
      </c>
      <c r="H25" s="82">
        <f t="shared" si="2"/>
        <v>241590</v>
      </c>
      <c r="I25" s="83" t="s">
        <v>103</v>
      </c>
      <c r="J25" s="43" t="s">
        <v>287</v>
      </c>
      <c r="K25" s="43" t="s">
        <v>294</v>
      </c>
      <c r="L25" s="43" t="s">
        <v>289</v>
      </c>
      <c r="M25" s="43" t="s">
        <v>290</v>
      </c>
      <c r="N25" s="43" t="s">
        <v>291</v>
      </c>
      <c r="O25" s="44"/>
      <c r="P25" s="44"/>
      <c r="Q25" s="44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15">
        <v>3.0</v>
      </c>
      <c r="B26" s="115" t="s">
        <v>215</v>
      </c>
      <c r="C26" s="115" t="s">
        <v>284</v>
      </c>
      <c r="D26" s="58">
        <v>1.0</v>
      </c>
      <c r="E26" s="111">
        <v>1.0</v>
      </c>
      <c r="F26" s="59">
        <f t="shared" si="1"/>
        <v>0</v>
      </c>
      <c r="G26" s="88">
        <v>241590.0</v>
      </c>
      <c r="H26" s="89">
        <f t="shared" si="2"/>
        <v>241590</v>
      </c>
      <c r="I26" s="90" t="s">
        <v>232</v>
      </c>
      <c r="J26" s="58" t="s">
        <v>287</v>
      </c>
      <c r="K26" s="58" t="s">
        <v>294</v>
      </c>
      <c r="L26" s="58" t="s">
        <v>289</v>
      </c>
      <c r="M26" s="58" t="s">
        <v>290</v>
      </c>
      <c r="N26" s="58" t="s">
        <v>291</v>
      </c>
      <c r="O26" s="59"/>
      <c r="P26" s="59"/>
      <c r="Q26" s="5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17">
        <v>3.0</v>
      </c>
      <c r="B27" s="117" t="s">
        <v>215</v>
      </c>
      <c r="C27" s="117" t="s">
        <v>284</v>
      </c>
      <c r="D27" s="43">
        <v>1.0</v>
      </c>
      <c r="E27" s="43">
        <v>0.0</v>
      </c>
      <c r="F27" s="44">
        <f t="shared" si="1"/>
        <v>1</v>
      </c>
      <c r="G27" s="81">
        <v>241590.0</v>
      </c>
      <c r="H27" s="82">
        <f t="shared" si="2"/>
        <v>241590</v>
      </c>
      <c r="I27" s="83" t="s">
        <v>96</v>
      </c>
      <c r="J27" s="43" t="s">
        <v>287</v>
      </c>
      <c r="K27" s="43" t="s">
        <v>294</v>
      </c>
      <c r="L27" s="43" t="s">
        <v>289</v>
      </c>
      <c r="M27" s="43" t="s">
        <v>290</v>
      </c>
      <c r="N27" s="43" t="s">
        <v>291</v>
      </c>
      <c r="O27" s="44"/>
      <c r="P27" s="44"/>
      <c r="Q27" s="44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15">
        <v>3.0</v>
      </c>
      <c r="B28" s="115" t="s">
        <v>215</v>
      </c>
      <c r="C28" s="115" t="s">
        <v>284</v>
      </c>
      <c r="D28" s="58">
        <v>1.0</v>
      </c>
      <c r="E28" s="110">
        <v>1.0</v>
      </c>
      <c r="F28" s="59">
        <f t="shared" si="1"/>
        <v>0</v>
      </c>
      <c r="G28" s="88">
        <v>241590.0</v>
      </c>
      <c r="H28" s="89">
        <f t="shared" si="2"/>
        <v>241590</v>
      </c>
      <c r="I28" s="90" t="s">
        <v>202</v>
      </c>
      <c r="J28" s="58" t="s">
        <v>287</v>
      </c>
      <c r="K28" s="58" t="s">
        <v>294</v>
      </c>
      <c r="L28" s="58" t="s">
        <v>289</v>
      </c>
      <c r="M28" s="58" t="s">
        <v>290</v>
      </c>
      <c r="N28" s="58" t="s">
        <v>291</v>
      </c>
      <c r="O28" s="59"/>
      <c r="P28" s="59"/>
      <c r="Q28" s="5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17">
        <v>3.0</v>
      </c>
      <c r="B29" s="117" t="s">
        <v>215</v>
      </c>
      <c r="C29" s="117" t="s">
        <v>284</v>
      </c>
      <c r="D29" s="43">
        <v>1.0</v>
      </c>
      <c r="E29" s="43">
        <v>0.0</v>
      </c>
      <c r="F29" s="44">
        <f t="shared" si="1"/>
        <v>1</v>
      </c>
      <c r="G29" s="81">
        <v>241590.0</v>
      </c>
      <c r="H29" s="82">
        <f t="shared" si="2"/>
        <v>241590</v>
      </c>
      <c r="I29" s="83" t="s">
        <v>192</v>
      </c>
      <c r="J29" s="43" t="s">
        <v>287</v>
      </c>
      <c r="K29" s="43" t="s">
        <v>294</v>
      </c>
      <c r="L29" s="43" t="s">
        <v>289</v>
      </c>
      <c r="M29" s="43" t="s">
        <v>290</v>
      </c>
      <c r="N29" s="43" t="s">
        <v>291</v>
      </c>
      <c r="O29" s="44"/>
      <c r="P29" s="44"/>
      <c r="Q29" s="44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22">
        <v>4.0</v>
      </c>
      <c r="B30" s="122" t="s">
        <v>319</v>
      </c>
      <c r="C30" s="122" t="s">
        <v>121</v>
      </c>
      <c r="D30" s="112">
        <v>4.0</v>
      </c>
      <c r="E30" s="112">
        <v>0.0</v>
      </c>
      <c r="F30" s="123">
        <f t="shared" si="1"/>
        <v>4</v>
      </c>
      <c r="G30" s="125"/>
      <c r="H30" s="125">
        <f t="shared" si="2"/>
        <v>0</v>
      </c>
      <c r="I30" s="127" t="s">
        <v>160</v>
      </c>
      <c r="J30" s="112" t="s">
        <v>320</v>
      </c>
      <c r="K30" s="123"/>
      <c r="L30" s="123"/>
      <c r="M30" s="123"/>
      <c r="N30" s="123"/>
      <c r="O30" s="123"/>
      <c r="P30" s="123"/>
      <c r="Q30" s="123"/>
      <c r="R30" s="130"/>
      <c r="S30" s="130"/>
      <c r="T30" s="130"/>
      <c r="U30" s="130"/>
      <c r="V30" s="130"/>
      <c r="W30" s="130"/>
      <c r="X30" s="130"/>
      <c r="Y30" s="130"/>
      <c r="Z30" s="130"/>
    </row>
    <row r="31" ht="15.75" customHeight="1">
      <c r="A31" s="122">
        <v>4.0</v>
      </c>
      <c r="B31" s="122" t="s">
        <v>319</v>
      </c>
      <c r="C31" s="122" t="s">
        <v>121</v>
      </c>
      <c r="D31" s="112">
        <v>2.0</v>
      </c>
      <c r="E31" s="112">
        <v>0.0</v>
      </c>
      <c r="F31" s="123">
        <f t="shared" si="1"/>
        <v>2</v>
      </c>
      <c r="G31" s="125"/>
      <c r="H31" s="125">
        <f t="shared" si="2"/>
        <v>0</v>
      </c>
      <c r="I31" s="127" t="s">
        <v>117</v>
      </c>
      <c r="J31" s="112" t="s">
        <v>320</v>
      </c>
      <c r="K31" s="123"/>
      <c r="L31" s="123"/>
      <c r="M31" s="123"/>
      <c r="N31" s="123"/>
      <c r="O31" s="123"/>
      <c r="P31" s="123"/>
      <c r="Q31" s="123"/>
      <c r="R31" s="130"/>
      <c r="S31" s="130"/>
      <c r="T31" s="130"/>
      <c r="U31" s="130"/>
      <c r="V31" s="130"/>
      <c r="W31" s="130"/>
      <c r="X31" s="130"/>
      <c r="Y31" s="130"/>
      <c r="Z31" s="130"/>
    </row>
    <row r="32" ht="15.75" customHeight="1">
      <c r="A32" s="122">
        <v>4.0</v>
      </c>
      <c r="B32" s="122" t="s">
        <v>319</v>
      </c>
      <c r="C32" s="122" t="s">
        <v>121</v>
      </c>
      <c r="D32" s="122">
        <v>2.0</v>
      </c>
      <c r="E32" s="122">
        <v>0.0</v>
      </c>
      <c r="F32" s="123">
        <f t="shared" si="1"/>
        <v>2</v>
      </c>
      <c r="G32" s="125"/>
      <c r="H32" s="125">
        <f t="shared" si="2"/>
        <v>0</v>
      </c>
      <c r="I32" s="133" t="s">
        <v>194</v>
      </c>
      <c r="J32" s="112" t="s">
        <v>320</v>
      </c>
      <c r="K32" s="123"/>
      <c r="L32" s="123"/>
      <c r="M32" s="123"/>
      <c r="N32" s="123"/>
      <c r="O32" s="123"/>
      <c r="P32" s="135"/>
      <c r="Q32" s="123"/>
      <c r="R32" s="130"/>
      <c r="S32" s="130"/>
      <c r="T32" s="130"/>
      <c r="U32" s="130"/>
      <c r="V32" s="130"/>
      <c r="W32" s="130"/>
      <c r="X32" s="130"/>
      <c r="Y32" s="130"/>
      <c r="Z32" s="130"/>
    </row>
    <row r="33" ht="15.75" customHeight="1">
      <c r="A33" s="122">
        <v>4.0</v>
      </c>
      <c r="B33" s="122" t="s">
        <v>319</v>
      </c>
      <c r="C33" s="122" t="s">
        <v>121</v>
      </c>
      <c r="D33" s="112">
        <v>4.0</v>
      </c>
      <c r="E33" s="112">
        <v>0.0</v>
      </c>
      <c r="F33" s="123">
        <f t="shared" si="1"/>
        <v>4</v>
      </c>
      <c r="G33" s="125"/>
      <c r="H33" s="125">
        <f t="shared" si="2"/>
        <v>0</v>
      </c>
      <c r="I33" s="127" t="s">
        <v>210</v>
      </c>
      <c r="J33" s="112" t="s">
        <v>320</v>
      </c>
      <c r="K33" s="123"/>
      <c r="L33" s="123"/>
      <c r="M33" s="123"/>
      <c r="N33" s="123"/>
      <c r="O33" s="123"/>
      <c r="P33" s="123"/>
      <c r="Q33" s="123"/>
      <c r="R33" s="130"/>
      <c r="S33" s="130"/>
      <c r="T33" s="130"/>
      <c r="U33" s="130"/>
      <c r="V33" s="130"/>
      <c r="W33" s="130"/>
      <c r="X33" s="130"/>
      <c r="Y33" s="130"/>
      <c r="Z33" s="13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Q$33"/>
  <mergeCells count="1">
    <mergeCell ref="C1:G1"/>
  </mergeCells>
  <conditionalFormatting sqref="F2:F33 D24:D29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63"/>
    <col customWidth="1" min="3" max="3" width="25.63"/>
    <col customWidth="1" min="4" max="4" width="8.88"/>
    <col customWidth="1" min="5" max="5" width="9.0"/>
    <col customWidth="1" min="6" max="6" width="9.13"/>
    <col customWidth="1" min="7" max="7" width="16.38"/>
    <col customWidth="1" min="8" max="8" width="13.13"/>
    <col customWidth="1" min="9" max="9" width="13.88"/>
    <col customWidth="1" min="10" max="10" width="34.63"/>
    <col customWidth="1" min="11" max="11" width="20.88"/>
    <col customWidth="1" min="12" max="12" width="102.88"/>
    <col customWidth="1" min="13" max="13" width="12.13"/>
    <col customWidth="1" min="14" max="15" width="9.0"/>
    <col customWidth="1" min="16" max="16" width="15.5"/>
    <col customWidth="1" min="17" max="17" width="58.63"/>
    <col customWidth="1" min="18" max="26" width="9.0"/>
  </cols>
  <sheetData>
    <row r="1">
      <c r="A1" s="145" t="s">
        <v>359</v>
      </c>
      <c r="B1" s="75" t="s">
        <v>360</v>
      </c>
      <c r="C1" s="146" t="s">
        <v>361</v>
      </c>
      <c r="D1" s="147"/>
      <c r="E1" s="147"/>
      <c r="F1" s="147"/>
      <c r="G1" s="17"/>
      <c r="H1" s="17"/>
      <c r="J1" s="19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4" t="s">
        <v>26</v>
      </c>
      <c r="H2" s="24" t="s">
        <v>27</v>
      </c>
      <c r="I2" s="22" t="s">
        <v>28</v>
      </c>
      <c r="J2" s="22" t="s">
        <v>14</v>
      </c>
      <c r="K2" s="22" t="s">
        <v>15</v>
      </c>
      <c r="L2" s="22" t="s">
        <v>16</v>
      </c>
      <c r="M2" s="22" t="s">
        <v>29</v>
      </c>
      <c r="N2" s="22" t="s">
        <v>30</v>
      </c>
      <c r="O2" s="22" t="s">
        <v>20</v>
      </c>
      <c r="P2" s="30" t="s">
        <v>21</v>
      </c>
      <c r="Q2" s="30" t="s">
        <v>34</v>
      </c>
      <c r="R2" s="148" t="s">
        <v>363</v>
      </c>
    </row>
    <row r="3" ht="29.25" customHeight="1">
      <c r="A3" s="35">
        <v>1.0</v>
      </c>
      <c r="B3" s="35" t="s">
        <v>59</v>
      </c>
      <c r="C3" s="35" t="s">
        <v>198</v>
      </c>
      <c r="D3" s="35">
        <v>1.0</v>
      </c>
      <c r="E3" s="110">
        <v>1.0</v>
      </c>
      <c r="F3" s="35">
        <f t="shared" ref="F3:F38" si="1">D3-E3</f>
        <v>0</v>
      </c>
      <c r="G3" s="40">
        <v>574575.0</v>
      </c>
      <c r="H3" s="40">
        <f t="shared" ref="H3:H182" si="2">G3*D3</f>
        <v>574575</v>
      </c>
      <c r="I3" s="35" t="s">
        <v>179</v>
      </c>
      <c r="J3" s="35" t="s">
        <v>364</v>
      </c>
      <c r="K3" s="44" t="s">
        <v>365</v>
      </c>
      <c r="L3" s="44" t="s">
        <v>366</v>
      </c>
      <c r="M3" s="44"/>
      <c r="N3" s="44"/>
      <c r="O3" s="44"/>
      <c r="P3" s="119">
        <v>45975.0</v>
      </c>
      <c r="Q3" s="149" t="s">
        <v>367</v>
      </c>
      <c r="R3" s="150"/>
    </row>
    <row r="4">
      <c r="A4" s="52">
        <v>1.0</v>
      </c>
      <c r="B4" s="52" t="s">
        <v>59</v>
      </c>
      <c r="C4" s="52" t="s">
        <v>198</v>
      </c>
      <c r="D4" s="52">
        <v>1.0</v>
      </c>
      <c r="E4" s="110">
        <v>1.0</v>
      </c>
      <c r="F4" s="52">
        <f t="shared" si="1"/>
        <v>0</v>
      </c>
      <c r="G4" s="54">
        <v>574575.0</v>
      </c>
      <c r="H4" s="54">
        <f t="shared" si="2"/>
        <v>574575</v>
      </c>
      <c r="I4" s="52" t="s">
        <v>202</v>
      </c>
      <c r="J4" s="52" t="s">
        <v>364</v>
      </c>
      <c r="K4" s="59" t="s">
        <v>365</v>
      </c>
      <c r="L4" s="59" t="s">
        <v>366</v>
      </c>
      <c r="M4" s="59"/>
      <c r="N4" s="59"/>
      <c r="O4" s="59"/>
      <c r="P4" s="120">
        <v>45975.0</v>
      </c>
      <c r="Q4" s="151" t="s">
        <v>367</v>
      </c>
      <c r="R4" s="59"/>
    </row>
    <row r="5">
      <c r="A5" s="35">
        <v>1.0</v>
      </c>
      <c r="B5" s="35" t="s">
        <v>59</v>
      </c>
      <c r="C5" s="35" t="s">
        <v>198</v>
      </c>
      <c r="D5" s="35">
        <v>1.0</v>
      </c>
      <c r="E5" s="43">
        <v>0.0</v>
      </c>
      <c r="F5" s="35">
        <f t="shared" si="1"/>
        <v>1</v>
      </c>
      <c r="G5" s="40">
        <v>574575.0</v>
      </c>
      <c r="H5" s="40">
        <f t="shared" si="2"/>
        <v>574575</v>
      </c>
      <c r="I5" s="35" t="s">
        <v>111</v>
      </c>
      <c r="J5" s="35" t="s">
        <v>364</v>
      </c>
      <c r="K5" s="44" t="s">
        <v>365</v>
      </c>
      <c r="L5" s="44" t="s">
        <v>366</v>
      </c>
      <c r="M5" s="44"/>
      <c r="N5" s="44"/>
      <c r="O5" s="44"/>
      <c r="P5" s="119">
        <v>45975.0</v>
      </c>
      <c r="Q5" s="149" t="s">
        <v>367</v>
      </c>
      <c r="R5" s="44"/>
    </row>
    <row r="6">
      <c r="A6" s="52">
        <v>1.0</v>
      </c>
      <c r="B6" s="52" t="s">
        <v>59</v>
      </c>
      <c r="C6" s="52" t="s">
        <v>198</v>
      </c>
      <c r="D6" s="52">
        <v>1.0</v>
      </c>
      <c r="E6" s="58">
        <v>1.0</v>
      </c>
      <c r="F6" s="52">
        <f t="shared" si="1"/>
        <v>0</v>
      </c>
      <c r="G6" s="54">
        <v>574575.0</v>
      </c>
      <c r="H6" s="54">
        <f t="shared" si="2"/>
        <v>574575</v>
      </c>
      <c r="I6" s="52" t="s">
        <v>221</v>
      </c>
      <c r="J6" s="52" t="s">
        <v>364</v>
      </c>
      <c r="K6" s="59" t="s">
        <v>365</v>
      </c>
      <c r="L6" s="59" t="s">
        <v>366</v>
      </c>
      <c r="M6" s="59"/>
      <c r="N6" s="59"/>
      <c r="O6" s="59"/>
      <c r="P6" s="120">
        <v>45975.0</v>
      </c>
      <c r="Q6" s="151" t="s">
        <v>367</v>
      </c>
      <c r="R6" s="59"/>
    </row>
    <row r="7">
      <c r="A7" s="35">
        <v>1.0</v>
      </c>
      <c r="B7" s="35" t="s">
        <v>59</v>
      </c>
      <c r="C7" s="35" t="s">
        <v>198</v>
      </c>
      <c r="D7" s="35">
        <v>1.0</v>
      </c>
      <c r="E7" s="111">
        <v>1.0</v>
      </c>
      <c r="F7" s="35">
        <f t="shared" si="1"/>
        <v>0</v>
      </c>
      <c r="G7" s="40">
        <v>574575.0</v>
      </c>
      <c r="H7" s="40">
        <f t="shared" si="2"/>
        <v>574575</v>
      </c>
      <c r="I7" s="35" t="s">
        <v>197</v>
      </c>
      <c r="J7" s="35" t="s">
        <v>364</v>
      </c>
      <c r="K7" s="44" t="s">
        <v>365</v>
      </c>
      <c r="L7" s="44" t="s">
        <v>374</v>
      </c>
      <c r="M7" s="44"/>
      <c r="N7" s="44"/>
      <c r="O7" s="44"/>
      <c r="P7" s="119">
        <v>45975.0</v>
      </c>
      <c r="Q7" s="149" t="s">
        <v>367</v>
      </c>
      <c r="R7" s="44"/>
    </row>
    <row r="8">
      <c r="A8" s="52">
        <v>2.0</v>
      </c>
      <c r="B8" s="52" t="s">
        <v>76</v>
      </c>
      <c r="C8" s="52" t="s">
        <v>376</v>
      </c>
      <c r="D8" s="52">
        <v>4.0</v>
      </c>
      <c r="E8" s="58">
        <v>4.0</v>
      </c>
      <c r="F8" s="52">
        <f t="shared" si="1"/>
        <v>0</v>
      </c>
      <c r="G8" s="53">
        <v>659633.19</v>
      </c>
      <c r="H8" s="54">
        <f t="shared" si="2"/>
        <v>2638532.76</v>
      </c>
      <c r="I8" s="52" t="s">
        <v>160</v>
      </c>
      <c r="J8" s="58" t="s">
        <v>377</v>
      </c>
      <c r="K8" s="152" t="s">
        <v>378</v>
      </c>
      <c r="L8" s="58" t="s">
        <v>379</v>
      </c>
      <c r="M8" s="59"/>
      <c r="N8" s="59"/>
      <c r="O8" s="59"/>
      <c r="P8" s="120">
        <v>45975.0</v>
      </c>
      <c r="Q8" s="151" t="s">
        <v>367</v>
      </c>
      <c r="R8" s="59"/>
    </row>
    <row r="9">
      <c r="A9" s="35">
        <v>3.0</v>
      </c>
      <c r="B9" s="35" t="s">
        <v>106</v>
      </c>
      <c r="C9" s="35" t="s">
        <v>285</v>
      </c>
      <c r="D9" s="35">
        <v>1.0</v>
      </c>
      <c r="E9" s="44">
        <v>0.0</v>
      </c>
      <c r="F9" s="35">
        <f t="shared" si="1"/>
        <v>1</v>
      </c>
      <c r="G9" s="40">
        <v>558500.0</v>
      </c>
      <c r="H9" s="40">
        <f t="shared" si="2"/>
        <v>558500</v>
      </c>
      <c r="I9" s="35" t="s">
        <v>189</v>
      </c>
      <c r="J9" s="153" t="s">
        <v>385</v>
      </c>
      <c r="K9" s="154" t="s">
        <v>386</v>
      </c>
      <c r="L9" s="44" t="s">
        <v>387</v>
      </c>
      <c r="M9" s="44"/>
      <c r="N9" s="43"/>
      <c r="O9" s="44"/>
      <c r="P9" s="44"/>
      <c r="Q9" s="149" t="s">
        <v>367</v>
      </c>
      <c r="R9" s="44"/>
      <c r="S9" s="155"/>
      <c r="T9" s="155"/>
      <c r="U9" s="155"/>
      <c r="V9" s="155"/>
      <c r="W9" s="155"/>
      <c r="X9" s="155"/>
      <c r="Y9" s="155"/>
      <c r="Z9" s="155"/>
    </row>
    <row r="10">
      <c r="A10" s="52">
        <v>3.0</v>
      </c>
      <c r="B10" s="52" t="s">
        <v>106</v>
      </c>
      <c r="C10" s="52" t="s">
        <v>285</v>
      </c>
      <c r="D10" s="52">
        <v>1.0</v>
      </c>
      <c r="E10" s="111">
        <v>1.0</v>
      </c>
      <c r="F10" s="52">
        <f t="shared" si="1"/>
        <v>0</v>
      </c>
      <c r="G10" s="54">
        <v>558500.0</v>
      </c>
      <c r="H10" s="54">
        <f t="shared" si="2"/>
        <v>558500</v>
      </c>
      <c r="I10" s="52" t="s">
        <v>192</v>
      </c>
      <c r="J10" s="156" t="s">
        <v>385</v>
      </c>
      <c r="K10" s="157" t="s">
        <v>389</v>
      </c>
      <c r="L10" s="59" t="s">
        <v>387</v>
      </c>
      <c r="M10" s="58" t="s">
        <v>390</v>
      </c>
      <c r="N10" s="58" t="s">
        <v>206</v>
      </c>
      <c r="O10" s="59"/>
      <c r="P10" s="59"/>
      <c r="Q10" s="158" t="s">
        <v>392</v>
      </c>
      <c r="R10" s="59"/>
      <c r="S10" s="155"/>
      <c r="T10" s="155"/>
      <c r="U10" s="155"/>
      <c r="V10" s="155"/>
      <c r="W10" s="155"/>
      <c r="X10" s="155"/>
      <c r="Y10" s="155"/>
      <c r="Z10" s="155"/>
    </row>
    <row r="11">
      <c r="A11" s="35">
        <v>4.0</v>
      </c>
      <c r="B11" s="35" t="s">
        <v>102</v>
      </c>
      <c r="C11" s="35" t="s">
        <v>279</v>
      </c>
      <c r="D11" s="35">
        <v>1.0</v>
      </c>
      <c r="E11" s="44">
        <v>0.0</v>
      </c>
      <c r="F11" s="35">
        <f t="shared" si="1"/>
        <v>1</v>
      </c>
      <c r="G11" s="37">
        <v>979500.0</v>
      </c>
      <c r="H11" s="40">
        <f t="shared" si="2"/>
        <v>979500</v>
      </c>
      <c r="I11" s="35" t="s">
        <v>89</v>
      </c>
      <c r="J11" s="43" t="s">
        <v>377</v>
      </c>
      <c r="K11" s="43" t="s">
        <v>394</v>
      </c>
      <c r="L11" s="43" t="s">
        <v>227</v>
      </c>
      <c r="M11" s="43" t="s">
        <v>390</v>
      </c>
      <c r="N11" s="43" t="s">
        <v>206</v>
      </c>
      <c r="O11" s="44"/>
      <c r="P11" s="44"/>
      <c r="Q11" s="159" t="s">
        <v>395</v>
      </c>
      <c r="R11" s="44"/>
      <c r="S11" s="155"/>
      <c r="T11" s="155"/>
      <c r="U11" s="155"/>
      <c r="V11" s="155"/>
      <c r="W11" s="155"/>
      <c r="X11" s="155"/>
      <c r="Y11" s="155"/>
      <c r="Z11" s="155"/>
    </row>
    <row r="12">
      <c r="A12" s="52">
        <v>4.0</v>
      </c>
      <c r="B12" s="52" t="s">
        <v>102</v>
      </c>
      <c r="C12" s="52" t="s">
        <v>279</v>
      </c>
      <c r="D12" s="52">
        <v>1.0</v>
      </c>
      <c r="E12" s="59">
        <v>0.0</v>
      </c>
      <c r="F12" s="52">
        <f t="shared" si="1"/>
        <v>1</v>
      </c>
      <c r="G12" s="53">
        <v>979500.0</v>
      </c>
      <c r="H12" s="54">
        <f t="shared" si="2"/>
        <v>979500</v>
      </c>
      <c r="I12" s="52" t="s">
        <v>179</v>
      </c>
      <c r="J12" s="58" t="s">
        <v>377</v>
      </c>
      <c r="K12" s="58" t="s">
        <v>398</v>
      </c>
      <c r="L12" s="58" t="s">
        <v>62</v>
      </c>
      <c r="M12" s="58" t="s">
        <v>390</v>
      </c>
      <c r="N12" s="58" t="s">
        <v>206</v>
      </c>
      <c r="O12" s="59"/>
      <c r="P12" s="59"/>
      <c r="Q12" s="158" t="s">
        <v>395</v>
      </c>
      <c r="R12" s="59"/>
      <c r="S12" s="155"/>
      <c r="T12" s="155"/>
      <c r="U12" s="155"/>
      <c r="V12" s="155"/>
      <c r="W12" s="155"/>
      <c r="X12" s="155"/>
      <c r="Y12" s="155"/>
      <c r="Z12" s="155"/>
    </row>
    <row r="13">
      <c r="A13" s="35">
        <v>4.0</v>
      </c>
      <c r="B13" s="35" t="s">
        <v>102</v>
      </c>
      <c r="C13" s="35" t="s">
        <v>279</v>
      </c>
      <c r="D13" s="35">
        <v>1.0</v>
      </c>
      <c r="E13" s="44">
        <v>0.0</v>
      </c>
      <c r="F13" s="35">
        <f t="shared" si="1"/>
        <v>1</v>
      </c>
      <c r="G13" s="37">
        <v>979500.0</v>
      </c>
      <c r="H13" s="40">
        <f t="shared" si="2"/>
        <v>979500</v>
      </c>
      <c r="I13" s="35" t="s">
        <v>167</v>
      </c>
      <c r="J13" s="43" t="s">
        <v>377</v>
      </c>
      <c r="K13" s="43" t="s">
        <v>398</v>
      </c>
      <c r="L13" s="43" t="s">
        <v>62</v>
      </c>
      <c r="M13" s="43" t="s">
        <v>390</v>
      </c>
      <c r="N13" s="43" t="s">
        <v>206</v>
      </c>
      <c r="O13" s="44"/>
      <c r="P13" s="44"/>
      <c r="Q13" s="159" t="s">
        <v>395</v>
      </c>
      <c r="R13" s="44"/>
      <c r="S13" s="155"/>
      <c r="T13" s="155"/>
      <c r="U13" s="155"/>
      <c r="V13" s="155"/>
      <c r="W13" s="155"/>
      <c r="X13" s="155"/>
      <c r="Y13" s="155"/>
      <c r="Z13" s="155"/>
    </row>
    <row r="14">
      <c r="A14" s="52">
        <v>4.0</v>
      </c>
      <c r="B14" s="52" t="s">
        <v>102</v>
      </c>
      <c r="C14" s="52" t="s">
        <v>279</v>
      </c>
      <c r="D14" s="52">
        <v>1.0</v>
      </c>
      <c r="E14" s="59">
        <v>0.0</v>
      </c>
      <c r="F14" s="52">
        <f t="shared" si="1"/>
        <v>1</v>
      </c>
      <c r="G14" s="53">
        <v>979500.0</v>
      </c>
      <c r="H14" s="54">
        <f t="shared" si="2"/>
        <v>979500</v>
      </c>
      <c r="I14" s="52" t="s">
        <v>196</v>
      </c>
      <c r="J14" s="58" t="s">
        <v>377</v>
      </c>
      <c r="K14" s="58" t="s">
        <v>398</v>
      </c>
      <c r="L14" s="58" t="s">
        <v>62</v>
      </c>
      <c r="M14" s="58" t="s">
        <v>390</v>
      </c>
      <c r="N14" s="58" t="s">
        <v>206</v>
      </c>
      <c r="O14" s="59"/>
      <c r="P14" s="59"/>
      <c r="Q14" s="158" t="s">
        <v>395</v>
      </c>
      <c r="R14" s="59"/>
      <c r="S14" s="155"/>
      <c r="T14" s="155"/>
      <c r="U14" s="155"/>
      <c r="V14" s="155"/>
      <c r="W14" s="155"/>
      <c r="X14" s="155"/>
      <c r="Y14" s="155"/>
      <c r="Z14" s="155"/>
    </row>
    <row r="15">
      <c r="A15" s="35">
        <v>5.0</v>
      </c>
      <c r="B15" s="35" t="s">
        <v>36</v>
      </c>
      <c r="C15" s="35" t="s">
        <v>41</v>
      </c>
      <c r="D15" s="35">
        <v>1.0</v>
      </c>
      <c r="E15" s="110">
        <v>1.0</v>
      </c>
      <c r="F15" s="35">
        <f t="shared" si="1"/>
        <v>0</v>
      </c>
      <c r="G15" s="40">
        <v>364128.52</v>
      </c>
      <c r="H15" s="40">
        <f t="shared" si="2"/>
        <v>364128.52</v>
      </c>
      <c r="I15" s="35" t="s">
        <v>89</v>
      </c>
      <c r="J15" s="44" t="s">
        <v>401</v>
      </c>
      <c r="K15" s="44" t="s">
        <v>365</v>
      </c>
      <c r="L15" s="162" t="s">
        <v>366</v>
      </c>
      <c r="M15" s="44"/>
      <c r="N15" s="44"/>
      <c r="O15" s="44"/>
      <c r="P15" s="44"/>
      <c r="Q15" s="149" t="s">
        <v>367</v>
      </c>
      <c r="R15" s="44"/>
      <c r="S15" s="155"/>
      <c r="T15" s="155"/>
      <c r="U15" s="155"/>
      <c r="V15" s="155"/>
      <c r="W15" s="155"/>
      <c r="X15" s="155"/>
      <c r="Y15" s="155"/>
      <c r="Z15" s="155"/>
    </row>
    <row r="16">
      <c r="A16" s="52">
        <v>5.0</v>
      </c>
      <c r="B16" s="52" t="s">
        <v>36</v>
      </c>
      <c r="C16" s="52" t="s">
        <v>41</v>
      </c>
      <c r="D16" s="52">
        <v>1.0</v>
      </c>
      <c r="E16" s="110">
        <v>1.0</v>
      </c>
      <c r="F16" s="52">
        <f t="shared" si="1"/>
        <v>0</v>
      </c>
      <c r="G16" s="54">
        <v>364128.52</v>
      </c>
      <c r="H16" s="54">
        <f t="shared" si="2"/>
        <v>364128.52</v>
      </c>
      <c r="I16" s="52" t="s">
        <v>402</v>
      </c>
      <c r="J16" s="59" t="s">
        <v>401</v>
      </c>
      <c r="K16" s="59" t="s">
        <v>365</v>
      </c>
      <c r="L16" s="163" t="s">
        <v>366</v>
      </c>
      <c r="M16" s="59"/>
      <c r="N16" s="59"/>
      <c r="O16" s="59"/>
      <c r="P16" s="59"/>
      <c r="Q16" s="151" t="s">
        <v>367</v>
      </c>
      <c r="R16" s="59"/>
      <c r="S16" s="155"/>
      <c r="T16" s="155"/>
      <c r="U16" s="155"/>
      <c r="V16" s="155"/>
      <c r="W16" s="155"/>
      <c r="X16" s="155"/>
      <c r="Y16" s="155"/>
      <c r="Z16" s="155"/>
    </row>
    <row r="17">
      <c r="A17" s="35">
        <v>5.0</v>
      </c>
      <c r="B17" s="35" t="s">
        <v>36</v>
      </c>
      <c r="C17" s="35" t="s">
        <v>41</v>
      </c>
      <c r="D17" s="35">
        <v>3.0</v>
      </c>
      <c r="E17" s="110">
        <v>3.0</v>
      </c>
      <c r="F17" s="35">
        <f t="shared" si="1"/>
        <v>0</v>
      </c>
      <c r="G17" s="40">
        <v>364128.52</v>
      </c>
      <c r="H17" s="40">
        <f t="shared" si="2"/>
        <v>1092385.56</v>
      </c>
      <c r="I17" s="35" t="s">
        <v>154</v>
      </c>
      <c r="J17" s="44" t="s">
        <v>401</v>
      </c>
      <c r="K17" s="44" t="s">
        <v>365</v>
      </c>
      <c r="L17" s="164" t="s">
        <v>366</v>
      </c>
      <c r="M17" s="44"/>
      <c r="N17" s="44"/>
      <c r="O17" s="44"/>
      <c r="P17" s="44"/>
      <c r="Q17" s="149" t="s">
        <v>367</v>
      </c>
      <c r="R17" s="44"/>
      <c r="S17" s="155"/>
      <c r="T17" s="155"/>
      <c r="U17" s="155"/>
      <c r="V17" s="155"/>
      <c r="W17" s="155"/>
      <c r="X17" s="155"/>
      <c r="Y17" s="155"/>
      <c r="Z17" s="155"/>
    </row>
    <row r="18">
      <c r="A18" s="52">
        <v>5.0</v>
      </c>
      <c r="B18" s="52" t="s">
        <v>36</v>
      </c>
      <c r="C18" s="52" t="s">
        <v>41</v>
      </c>
      <c r="D18" s="52">
        <v>1.0</v>
      </c>
      <c r="E18" s="59">
        <v>0.0</v>
      </c>
      <c r="F18" s="52">
        <f t="shared" si="1"/>
        <v>1</v>
      </c>
      <c r="G18" s="54">
        <v>364128.52</v>
      </c>
      <c r="H18" s="54">
        <f t="shared" si="2"/>
        <v>364128.52</v>
      </c>
      <c r="I18" s="52" t="s">
        <v>192</v>
      </c>
      <c r="J18" s="59" t="s">
        <v>401</v>
      </c>
      <c r="K18" s="59" t="s">
        <v>365</v>
      </c>
      <c r="L18" s="163" t="s">
        <v>366</v>
      </c>
      <c r="M18" s="59"/>
      <c r="N18" s="59"/>
      <c r="O18" s="59"/>
      <c r="P18" s="60">
        <v>46003.0</v>
      </c>
      <c r="Q18" s="151" t="s">
        <v>367</v>
      </c>
      <c r="R18" s="59"/>
      <c r="S18" s="155"/>
      <c r="T18" s="155"/>
      <c r="U18" s="155"/>
      <c r="V18" s="155"/>
      <c r="W18" s="155"/>
      <c r="X18" s="155"/>
      <c r="Y18" s="155"/>
      <c r="Z18" s="155"/>
    </row>
    <row r="19">
      <c r="A19" s="35">
        <v>6.0</v>
      </c>
      <c r="B19" s="35" t="s">
        <v>44</v>
      </c>
      <c r="C19" s="35" t="s">
        <v>220</v>
      </c>
      <c r="D19" s="35">
        <v>1.0</v>
      </c>
      <c r="E19" s="44">
        <v>0.0</v>
      </c>
      <c r="F19" s="35">
        <f t="shared" si="1"/>
        <v>1</v>
      </c>
      <c r="G19" s="40">
        <v>517000.0</v>
      </c>
      <c r="H19" s="40">
        <f t="shared" si="2"/>
        <v>517000</v>
      </c>
      <c r="I19" s="35" t="s">
        <v>134</v>
      </c>
      <c r="J19" s="44" t="s">
        <v>403</v>
      </c>
      <c r="K19" s="44" t="s">
        <v>405</v>
      </c>
      <c r="L19" s="44" t="s">
        <v>236</v>
      </c>
      <c r="M19" s="44"/>
      <c r="N19" s="44"/>
      <c r="O19" s="44"/>
      <c r="P19" s="119">
        <v>45975.0</v>
      </c>
      <c r="Q19" s="149" t="s">
        <v>367</v>
      </c>
      <c r="R19" s="44"/>
    </row>
    <row r="20">
      <c r="A20" s="52">
        <v>6.0</v>
      </c>
      <c r="B20" s="52" t="s">
        <v>44</v>
      </c>
      <c r="C20" s="52" t="s">
        <v>220</v>
      </c>
      <c r="D20" s="52">
        <v>1.0</v>
      </c>
      <c r="E20" s="110">
        <v>1.0</v>
      </c>
      <c r="F20" s="52">
        <f t="shared" si="1"/>
        <v>0</v>
      </c>
      <c r="G20" s="54">
        <v>517000.0</v>
      </c>
      <c r="H20" s="54">
        <f t="shared" si="2"/>
        <v>517000</v>
      </c>
      <c r="I20" s="52" t="s">
        <v>111</v>
      </c>
      <c r="J20" s="59" t="s">
        <v>403</v>
      </c>
      <c r="K20" s="59" t="s">
        <v>405</v>
      </c>
      <c r="L20" s="59" t="s">
        <v>236</v>
      </c>
      <c r="M20" s="59"/>
      <c r="N20" s="59"/>
      <c r="O20" s="59"/>
      <c r="P20" s="120">
        <v>45975.0</v>
      </c>
      <c r="Q20" s="151" t="s">
        <v>367</v>
      </c>
      <c r="R20" s="59"/>
    </row>
    <row r="21" ht="15.75" customHeight="1">
      <c r="A21" s="35">
        <v>7.0</v>
      </c>
      <c r="B21" s="35" t="s">
        <v>180</v>
      </c>
      <c r="C21" s="35" t="s">
        <v>410</v>
      </c>
      <c r="D21" s="35">
        <v>1.0</v>
      </c>
      <c r="E21" s="44">
        <v>0.0</v>
      </c>
      <c r="F21" s="35">
        <f t="shared" si="1"/>
        <v>1</v>
      </c>
      <c r="G21" s="37">
        <v>880000.0</v>
      </c>
      <c r="H21" s="40">
        <f t="shared" si="2"/>
        <v>880000</v>
      </c>
      <c r="I21" s="35" t="s">
        <v>160</v>
      </c>
      <c r="J21" s="43" t="s">
        <v>412</v>
      </c>
      <c r="K21" s="44" t="s">
        <v>413</v>
      </c>
      <c r="L21" s="43" t="s">
        <v>414</v>
      </c>
      <c r="M21" s="44"/>
      <c r="N21" s="44"/>
      <c r="O21" s="44"/>
      <c r="P21" s="47">
        <v>46007.0</v>
      </c>
      <c r="Q21" s="170" t="s">
        <v>415</v>
      </c>
      <c r="R21" s="44"/>
    </row>
    <row r="22" ht="15.75" customHeight="1">
      <c r="A22" s="52">
        <v>7.0</v>
      </c>
      <c r="B22" s="52" t="s">
        <v>180</v>
      </c>
      <c r="C22" s="52" t="s">
        <v>410</v>
      </c>
      <c r="D22" s="52">
        <v>1.0</v>
      </c>
      <c r="E22" s="59">
        <v>0.0</v>
      </c>
      <c r="F22" s="52">
        <f t="shared" si="1"/>
        <v>1</v>
      </c>
      <c r="G22" s="53">
        <v>880000.0</v>
      </c>
      <c r="H22" s="54">
        <f t="shared" si="2"/>
        <v>880000</v>
      </c>
      <c r="I22" s="52" t="s">
        <v>196</v>
      </c>
      <c r="J22" s="58" t="s">
        <v>412</v>
      </c>
      <c r="K22" s="59" t="s">
        <v>413</v>
      </c>
      <c r="L22" s="58" t="s">
        <v>414</v>
      </c>
      <c r="M22" s="59"/>
      <c r="N22" s="59"/>
      <c r="O22" s="59"/>
      <c r="P22" s="60">
        <v>46007.0</v>
      </c>
      <c r="Q22" s="174" t="s">
        <v>415</v>
      </c>
      <c r="R22" s="59"/>
    </row>
    <row r="23" ht="15.75" customHeight="1">
      <c r="A23" s="35">
        <v>7.0</v>
      </c>
      <c r="B23" s="35" t="s">
        <v>180</v>
      </c>
      <c r="C23" s="35" t="s">
        <v>410</v>
      </c>
      <c r="D23" s="35">
        <v>1.0</v>
      </c>
      <c r="E23" s="44">
        <v>0.0</v>
      </c>
      <c r="F23" s="35">
        <f t="shared" si="1"/>
        <v>1</v>
      </c>
      <c r="G23" s="37">
        <v>880000.0</v>
      </c>
      <c r="H23" s="40">
        <f t="shared" si="2"/>
        <v>880000</v>
      </c>
      <c r="I23" s="35" t="s">
        <v>178</v>
      </c>
      <c r="J23" s="43" t="s">
        <v>412</v>
      </c>
      <c r="K23" s="44" t="s">
        <v>413</v>
      </c>
      <c r="L23" s="43" t="s">
        <v>414</v>
      </c>
      <c r="M23" s="44"/>
      <c r="N23" s="44"/>
      <c r="O23" s="44"/>
      <c r="P23" s="47">
        <v>46007.0</v>
      </c>
      <c r="Q23" s="170" t="s">
        <v>415</v>
      </c>
      <c r="R23" s="44"/>
    </row>
    <row r="24" ht="15.75" customHeight="1">
      <c r="A24" s="52">
        <v>7.0</v>
      </c>
      <c r="B24" s="52" t="s">
        <v>180</v>
      </c>
      <c r="C24" s="52" t="s">
        <v>410</v>
      </c>
      <c r="D24" s="52">
        <v>1.0</v>
      </c>
      <c r="E24" s="59">
        <v>0.0</v>
      </c>
      <c r="F24" s="52">
        <f t="shared" si="1"/>
        <v>1</v>
      </c>
      <c r="G24" s="53">
        <v>880000.0</v>
      </c>
      <c r="H24" s="54">
        <f t="shared" si="2"/>
        <v>880000</v>
      </c>
      <c r="I24" s="52" t="s">
        <v>189</v>
      </c>
      <c r="J24" s="58" t="s">
        <v>412</v>
      </c>
      <c r="K24" s="59" t="s">
        <v>413</v>
      </c>
      <c r="L24" s="58" t="s">
        <v>414</v>
      </c>
      <c r="M24" s="59"/>
      <c r="N24" s="59"/>
      <c r="O24" s="59"/>
      <c r="P24" s="60">
        <v>46007.0</v>
      </c>
      <c r="Q24" s="174" t="s">
        <v>415</v>
      </c>
      <c r="R24" s="59"/>
    </row>
    <row r="25" ht="15.75" customHeight="1">
      <c r="A25" s="35">
        <v>7.0</v>
      </c>
      <c r="B25" s="35" t="s">
        <v>180</v>
      </c>
      <c r="C25" s="35" t="s">
        <v>410</v>
      </c>
      <c r="D25" s="35">
        <v>1.0</v>
      </c>
      <c r="E25" s="44">
        <v>0.0</v>
      </c>
      <c r="F25" s="35">
        <f t="shared" si="1"/>
        <v>1</v>
      </c>
      <c r="G25" s="37">
        <v>880000.0</v>
      </c>
      <c r="H25" s="40">
        <f t="shared" si="2"/>
        <v>880000</v>
      </c>
      <c r="I25" s="35" t="s">
        <v>192</v>
      </c>
      <c r="J25" s="43" t="s">
        <v>412</v>
      </c>
      <c r="K25" s="44" t="s">
        <v>413</v>
      </c>
      <c r="L25" s="43" t="s">
        <v>414</v>
      </c>
      <c r="M25" s="44"/>
      <c r="N25" s="44"/>
      <c r="O25" s="44"/>
      <c r="P25" s="47">
        <v>46007.0</v>
      </c>
      <c r="Q25" s="170" t="s">
        <v>415</v>
      </c>
      <c r="R25" s="44"/>
    </row>
    <row r="26" ht="15.75" customHeight="1">
      <c r="A26" s="52">
        <v>7.0</v>
      </c>
      <c r="B26" s="52" t="s">
        <v>180</v>
      </c>
      <c r="C26" s="52" t="s">
        <v>410</v>
      </c>
      <c r="D26" s="52">
        <v>1.0</v>
      </c>
      <c r="E26" s="59">
        <v>0.0</v>
      </c>
      <c r="F26" s="52">
        <f t="shared" si="1"/>
        <v>1</v>
      </c>
      <c r="G26" s="53">
        <v>880000.0</v>
      </c>
      <c r="H26" s="54">
        <f t="shared" si="2"/>
        <v>880000</v>
      </c>
      <c r="I26" s="52" t="s">
        <v>272</v>
      </c>
      <c r="J26" s="58" t="s">
        <v>412</v>
      </c>
      <c r="K26" s="59" t="s">
        <v>413</v>
      </c>
      <c r="L26" s="58" t="s">
        <v>414</v>
      </c>
      <c r="M26" s="59"/>
      <c r="N26" s="59"/>
      <c r="O26" s="59"/>
      <c r="P26" s="60">
        <v>46007.0</v>
      </c>
      <c r="Q26" s="174" t="s">
        <v>415</v>
      </c>
      <c r="R26" s="59"/>
    </row>
    <row r="27" ht="15.75" customHeight="1">
      <c r="A27" s="35">
        <v>7.0</v>
      </c>
      <c r="B27" s="35" t="s">
        <v>180</v>
      </c>
      <c r="C27" s="35" t="s">
        <v>410</v>
      </c>
      <c r="D27" s="35">
        <v>1.0</v>
      </c>
      <c r="E27" s="44">
        <v>0.0</v>
      </c>
      <c r="F27" s="35">
        <f t="shared" si="1"/>
        <v>1</v>
      </c>
      <c r="G27" s="37">
        <v>880000.0</v>
      </c>
      <c r="H27" s="40">
        <f t="shared" si="2"/>
        <v>880000</v>
      </c>
      <c r="I27" s="35" t="s">
        <v>194</v>
      </c>
      <c r="J27" s="43" t="s">
        <v>412</v>
      </c>
      <c r="K27" s="44" t="s">
        <v>413</v>
      </c>
      <c r="L27" s="43" t="s">
        <v>414</v>
      </c>
      <c r="M27" s="44"/>
      <c r="N27" s="44"/>
      <c r="O27" s="44"/>
      <c r="P27" s="47">
        <v>46007.0</v>
      </c>
      <c r="Q27" s="170" t="s">
        <v>415</v>
      </c>
      <c r="R27" s="44"/>
    </row>
    <row r="28" ht="15.75" customHeight="1">
      <c r="A28" s="52">
        <v>7.0</v>
      </c>
      <c r="B28" s="52" t="s">
        <v>180</v>
      </c>
      <c r="C28" s="52" t="s">
        <v>410</v>
      </c>
      <c r="D28" s="52">
        <v>1.0</v>
      </c>
      <c r="E28" s="59">
        <v>0.0</v>
      </c>
      <c r="F28" s="52">
        <f t="shared" si="1"/>
        <v>1</v>
      </c>
      <c r="G28" s="53">
        <v>880000.0</v>
      </c>
      <c r="H28" s="54">
        <f t="shared" si="2"/>
        <v>880000</v>
      </c>
      <c r="I28" s="52" t="s">
        <v>134</v>
      </c>
      <c r="J28" s="58" t="s">
        <v>412</v>
      </c>
      <c r="K28" s="59" t="s">
        <v>413</v>
      </c>
      <c r="L28" s="58" t="s">
        <v>414</v>
      </c>
      <c r="M28" s="59"/>
      <c r="N28" s="59"/>
      <c r="O28" s="59"/>
      <c r="P28" s="60">
        <v>46007.0</v>
      </c>
      <c r="Q28" s="174" t="s">
        <v>415</v>
      </c>
      <c r="R28" s="59"/>
    </row>
    <row r="29" ht="15.75" customHeight="1">
      <c r="A29" s="35">
        <v>7.0</v>
      </c>
      <c r="B29" s="35" t="s">
        <v>180</v>
      </c>
      <c r="C29" s="35" t="s">
        <v>410</v>
      </c>
      <c r="D29" s="35">
        <v>1.0</v>
      </c>
      <c r="E29" s="44">
        <v>0.0</v>
      </c>
      <c r="F29" s="35">
        <f t="shared" si="1"/>
        <v>1</v>
      </c>
      <c r="G29" s="37">
        <v>880000.0</v>
      </c>
      <c r="H29" s="40">
        <f t="shared" si="2"/>
        <v>880000</v>
      </c>
      <c r="I29" s="35" t="s">
        <v>199</v>
      </c>
      <c r="J29" s="43" t="s">
        <v>412</v>
      </c>
      <c r="K29" s="44" t="s">
        <v>413</v>
      </c>
      <c r="L29" s="43" t="s">
        <v>414</v>
      </c>
      <c r="M29" s="44"/>
      <c r="N29" s="44"/>
      <c r="O29" s="44"/>
      <c r="P29" s="47">
        <v>46007.0</v>
      </c>
      <c r="Q29" s="170" t="s">
        <v>415</v>
      </c>
      <c r="R29" s="44"/>
    </row>
    <row r="30" ht="15.75" customHeight="1">
      <c r="A30" s="52">
        <v>7.0</v>
      </c>
      <c r="B30" s="52" t="s">
        <v>180</v>
      </c>
      <c r="C30" s="52" t="s">
        <v>410</v>
      </c>
      <c r="D30" s="52">
        <v>1.0</v>
      </c>
      <c r="E30" s="59">
        <v>0.0</v>
      </c>
      <c r="F30" s="52">
        <f t="shared" si="1"/>
        <v>1</v>
      </c>
      <c r="G30" s="53">
        <v>880000.0</v>
      </c>
      <c r="H30" s="54">
        <f t="shared" si="2"/>
        <v>880000</v>
      </c>
      <c r="I30" s="52" t="s">
        <v>210</v>
      </c>
      <c r="J30" s="58" t="s">
        <v>412</v>
      </c>
      <c r="K30" s="59" t="s">
        <v>413</v>
      </c>
      <c r="L30" s="58" t="s">
        <v>326</v>
      </c>
      <c r="M30" s="59"/>
      <c r="N30" s="59"/>
      <c r="O30" s="59"/>
      <c r="P30" s="60">
        <v>46007.0</v>
      </c>
      <c r="Q30" s="174" t="s">
        <v>415</v>
      </c>
      <c r="R30" s="59"/>
    </row>
    <row r="31" ht="15.75" customHeight="1">
      <c r="A31" s="35">
        <v>7.0</v>
      </c>
      <c r="B31" s="35" t="s">
        <v>180</v>
      </c>
      <c r="C31" s="35" t="s">
        <v>410</v>
      </c>
      <c r="D31" s="35">
        <v>1.0</v>
      </c>
      <c r="E31" s="44">
        <v>0.0</v>
      </c>
      <c r="F31" s="35">
        <f t="shared" si="1"/>
        <v>1</v>
      </c>
      <c r="G31" s="37">
        <v>880000.0</v>
      </c>
      <c r="H31" s="40">
        <f t="shared" si="2"/>
        <v>880000</v>
      </c>
      <c r="I31" s="35" t="s">
        <v>214</v>
      </c>
      <c r="J31" s="43" t="s">
        <v>412</v>
      </c>
      <c r="K31" s="44" t="s">
        <v>413</v>
      </c>
      <c r="L31" s="43" t="s">
        <v>326</v>
      </c>
      <c r="M31" s="44"/>
      <c r="N31" s="44"/>
      <c r="O31" s="44"/>
      <c r="P31" s="44"/>
      <c r="Q31" s="170" t="s">
        <v>415</v>
      </c>
      <c r="R31" s="44"/>
    </row>
    <row r="32" ht="26.25" customHeight="1">
      <c r="A32" s="52">
        <v>8.0</v>
      </c>
      <c r="B32" s="52" t="s">
        <v>69</v>
      </c>
      <c r="C32" s="52" t="s">
        <v>230</v>
      </c>
      <c r="D32" s="52">
        <v>1.0</v>
      </c>
      <c r="E32" s="59">
        <v>0.0</v>
      </c>
      <c r="F32" s="52">
        <f t="shared" si="1"/>
        <v>1</v>
      </c>
      <c r="G32" s="54">
        <v>594480.0</v>
      </c>
      <c r="H32" s="54">
        <f t="shared" si="2"/>
        <v>594480</v>
      </c>
      <c r="I32" s="52" t="s">
        <v>282</v>
      </c>
      <c r="J32" s="59" t="s">
        <v>436</v>
      </c>
      <c r="K32" s="59" t="s">
        <v>437</v>
      </c>
      <c r="L32" s="59" t="s">
        <v>438</v>
      </c>
      <c r="M32" s="59"/>
      <c r="N32" s="59"/>
      <c r="O32" s="59"/>
      <c r="P32" s="120">
        <v>45975.0</v>
      </c>
      <c r="Q32" s="151" t="s">
        <v>367</v>
      </c>
      <c r="R32" s="59"/>
    </row>
    <row r="33" ht="15.75" customHeight="1">
      <c r="A33" s="35">
        <v>9.0</v>
      </c>
      <c r="B33" s="35" t="s">
        <v>165</v>
      </c>
      <c r="C33" s="35" t="s">
        <v>439</v>
      </c>
      <c r="D33" s="35">
        <v>1.0</v>
      </c>
      <c r="E33" s="44">
        <v>0.0</v>
      </c>
      <c r="F33" s="35">
        <f t="shared" si="1"/>
        <v>1</v>
      </c>
      <c r="G33" s="40">
        <v>617000.0</v>
      </c>
      <c r="H33" s="40">
        <f t="shared" si="2"/>
        <v>617000</v>
      </c>
      <c r="I33" s="35" t="s">
        <v>58</v>
      </c>
      <c r="J33" s="44" t="s">
        <v>441</v>
      </c>
      <c r="K33" s="44" t="s">
        <v>442</v>
      </c>
      <c r="L33" s="44" t="s">
        <v>443</v>
      </c>
      <c r="M33" s="44"/>
      <c r="N33" s="44"/>
      <c r="O33" s="44"/>
      <c r="P33" s="44"/>
      <c r="Q33" s="149" t="s">
        <v>444</v>
      </c>
      <c r="R33" s="44"/>
      <c r="S33" s="155"/>
      <c r="T33" s="155"/>
      <c r="U33" s="155"/>
      <c r="V33" s="155"/>
      <c r="W33" s="155"/>
      <c r="X33" s="155"/>
      <c r="Y33" s="155"/>
      <c r="Z33" s="155"/>
    </row>
    <row r="34" ht="15.75" customHeight="1">
      <c r="A34" s="52">
        <v>9.0</v>
      </c>
      <c r="B34" s="52" t="s">
        <v>165</v>
      </c>
      <c r="C34" s="52" t="s">
        <v>439</v>
      </c>
      <c r="D34" s="52">
        <v>2.0</v>
      </c>
      <c r="E34" s="59">
        <v>0.0</v>
      </c>
      <c r="F34" s="52">
        <f t="shared" si="1"/>
        <v>2</v>
      </c>
      <c r="G34" s="54">
        <v>617000.0</v>
      </c>
      <c r="H34" s="54">
        <f t="shared" si="2"/>
        <v>1234000</v>
      </c>
      <c r="I34" s="52" t="s">
        <v>85</v>
      </c>
      <c r="J34" s="59" t="s">
        <v>441</v>
      </c>
      <c r="K34" s="59" t="s">
        <v>442</v>
      </c>
      <c r="L34" s="59" t="s">
        <v>443</v>
      </c>
      <c r="M34" s="59"/>
      <c r="N34" s="59"/>
      <c r="O34" s="59"/>
      <c r="P34" s="59"/>
      <c r="Q34" s="151" t="s">
        <v>444</v>
      </c>
      <c r="R34" s="59"/>
      <c r="S34" s="155"/>
      <c r="T34" s="155"/>
      <c r="U34" s="155"/>
      <c r="V34" s="155"/>
      <c r="W34" s="155"/>
      <c r="X34" s="155"/>
      <c r="Y34" s="155"/>
      <c r="Z34" s="155"/>
    </row>
    <row r="35" ht="15.75" customHeight="1">
      <c r="A35" s="35">
        <v>9.0</v>
      </c>
      <c r="B35" s="35" t="s">
        <v>165</v>
      </c>
      <c r="C35" s="35" t="s">
        <v>439</v>
      </c>
      <c r="D35" s="35">
        <v>2.0</v>
      </c>
      <c r="E35" s="44">
        <v>0.0</v>
      </c>
      <c r="F35" s="35">
        <f t="shared" si="1"/>
        <v>2</v>
      </c>
      <c r="G35" s="40">
        <v>617000.0</v>
      </c>
      <c r="H35" s="40">
        <f t="shared" si="2"/>
        <v>1234000</v>
      </c>
      <c r="I35" s="35" t="s">
        <v>103</v>
      </c>
      <c r="J35" s="44" t="s">
        <v>441</v>
      </c>
      <c r="K35" s="44" t="s">
        <v>442</v>
      </c>
      <c r="L35" s="44" t="s">
        <v>443</v>
      </c>
      <c r="M35" s="44"/>
      <c r="N35" s="44"/>
      <c r="O35" s="44"/>
      <c r="P35" s="44"/>
      <c r="Q35" s="149" t="s">
        <v>444</v>
      </c>
      <c r="R35" s="44"/>
      <c r="S35" s="155"/>
      <c r="T35" s="155"/>
      <c r="U35" s="155"/>
      <c r="V35" s="155"/>
      <c r="W35" s="155"/>
      <c r="X35" s="155"/>
      <c r="Y35" s="155"/>
      <c r="Z35" s="155"/>
    </row>
    <row r="36" ht="15.75" customHeight="1">
      <c r="A36" s="52">
        <v>9.0</v>
      </c>
      <c r="B36" s="52" t="s">
        <v>165</v>
      </c>
      <c r="C36" s="52" t="s">
        <v>439</v>
      </c>
      <c r="D36" s="52">
        <v>1.0</v>
      </c>
      <c r="E36" s="59">
        <v>0.0</v>
      </c>
      <c r="F36" s="52">
        <f t="shared" si="1"/>
        <v>1</v>
      </c>
      <c r="G36" s="54">
        <v>617000.0</v>
      </c>
      <c r="H36" s="54">
        <f t="shared" si="2"/>
        <v>617000</v>
      </c>
      <c r="I36" s="52" t="s">
        <v>276</v>
      </c>
      <c r="J36" s="59" t="s">
        <v>441</v>
      </c>
      <c r="K36" s="59" t="s">
        <v>442</v>
      </c>
      <c r="L36" s="59" t="s">
        <v>443</v>
      </c>
      <c r="M36" s="59"/>
      <c r="N36" s="59"/>
      <c r="O36" s="59"/>
      <c r="P36" s="59"/>
      <c r="Q36" s="151" t="s">
        <v>444</v>
      </c>
      <c r="R36" s="59"/>
      <c r="S36" s="155"/>
      <c r="T36" s="155"/>
      <c r="U36" s="155"/>
      <c r="V36" s="155"/>
      <c r="W36" s="155"/>
      <c r="X36" s="155"/>
      <c r="Y36" s="155"/>
      <c r="Z36" s="155"/>
    </row>
    <row r="37" ht="15.75" customHeight="1">
      <c r="A37" s="35">
        <v>9.0</v>
      </c>
      <c r="B37" s="35" t="s">
        <v>165</v>
      </c>
      <c r="C37" s="35" t="s">
        <v>439</v>
      </c>
      <c r="D37" s="35">
        <v>2.0</v>
      </c>
      <c r="E37" s="44">
        <v>0.0</v>
      </c>
      <c r="F37" s="35">
        <f t="shared" si="1"/>
        <v>2</v>
      </c>
      <c r="G37" s="40">
        <v>617000.0</v>
      </c>
      <c r="H37" s="40">
        <f t="shared" si="2"/>
        <v>1234000</v>
      </c>
      <c r="I37" s="35" t="s">
        <v>178</v>
      </c>
      <c r="J37" s="44" t="s">
        <v>441</v>
      </c>
      <c r="K37" s="44" t="s">
        <v>442</v>
      </c>
      <c r="L37" s="44" t="s">
        <v>443</v>
      </c>
      <c r="M37" s="109"/>
      <c r="N37" s="109"/>
      <c r="O37" s="109"/>
      <c r="P37" s="109"/>
      <c r="Q37" s="149" t="s">
        <v>444</v>
      </c>
      <c r="R37" s="44"/>
      <c r="S37" s="155"/>
      <c r="T37" s="155"/>
      <c r="U37" s="155"/>
      <c r="V37" s="155"/>
      <c r="W37" s="155"/>
      <c r="X37" s="155"/>
      <c r="Y37" s="155"/>
      <c r="Z37" s="155"/>
    </row>
    <row r="38" ht="15.75" customHeight="1">
      <c r="A38" s="52">
        <v>9.0</v>
      </c>
      <c r="B38" s="52" t="s">
        <v>165</v>
      </c>
      <c r="C38" s="52" t="s">
        <v>439</v>
      </c>
      <c r="D38" s="52">
        <v>2.0</v>
      </c>
      <c r="E38" s="59">
        <v>0.0</v>
      </c>
      <c r="F38" s="52">
        <f t="shared" si="1"/>
        <v>2</v>
      </c>
      <c r="G38" s="54">
        <v>617000.0</v>
      </c>
      <c r="H38" s="54">
        <f t="shared" si="2"/>
        <v>1234000</v>
      </c>
      <c r="I38" s="52" t="s">
        <v>272</v>
      </c>
      <c r="J38" s="59" t="s">
        <v>441</v>
      </c>
      <c r="K38" s="59" t="s">
        <v>442</v>
      </c>
      <c r="L38" s="59" t="s">
        <v>443</v>
      </c>
      <c r="M38" s="59"/>
      <c r="N38" s="59"/>
      <c r="O38" s="59"/>
      <c r="P38" s="59"/>
      <c r="Q38" s="151" t="s">
        <v>444</v>
      </c>
      <c r="R38" s="59"/>
      <c r="S38" s="155"/>
      <c r="T38" s="155"/>
      <c r="U38" s="155"/>
      <c r="V38" s="155"/>
      <c r="W38" s="155"/>
      <c r="X38" s="155"/>
      <c r="Y38" s="155"/>
      <c r="Z38" s="155"/>
    </row>
    <row r="39" ht="15.75" customHeight="1">
      <c r="A39" s="35">
        <v>10.0</v>
      </c>
      <c r="B39" s="35" t="s">
        <v>153</v>
      </c>
      <c r="C39" s="35" t="s">
        <v>284</v>
      </c>
      <c r="D39" s="35">
        <v>1.0</v>
      </c>
      <c r="E39" s="35">
        <v>1.0</v>
      </c>
      <c r="F39" s="35">
        <f>'90186_2024'!$D39-'90186_2024'!$E39</f>
        <v>0</v>
      </c>
      <c r="G39" s="40">
        <v>244000.0</v>
      </c>
      <c r="H39" s="40">
        <f t="shared" si="2"/>
        <v>244000</v>
      </c>
      <c r="I39" s="35" t="s">
        <v>232</v>
      </c>
      <c r="J39" s="44" t="s">
        <v>450</v>
      </c>
      <c r="K39" s="44" t="s">
        <v>451</v>
      </c>
      <c r="L39" s="44" t="s">
        <v>452</v>
      </c>
      <c r="M39" s="44"/>
      <c r="N39" s="44"/>
      <c r="O39" s="44"/>
      <c r="P39" s="119">
        <v>45975.0</v>
      </c>
      <c r="Q39" s="149" t="s">
        <v>367</v>
      </c>
      <c r="R39" s="44"/>
    </row>
    <row r="40" ht="15.75" customHeight="1">
      <c r="A40" s="52">
        <v>10.0</v>
      </c>
      <c r="B40" s="52" t="s">
        <v>153</v>
      </c>
      <c r="C40" s="52" t="s">
        <v>284</v>
      </c>
      <c r="D40" s="52">
        <v>1.0</v>
      </c>
      <c r="E40" s="193">
        <v>1.0</v>
      </c>
      <c r="F40" s="193">
        <f>'90186_2024'!$D40-'90186_2024'!$E40</f>
        <v>0</v>
      </c>
      <c r="G40" s="54">
        <v>244000.0</v>
      </c>
      <c r="H40" s="54">
        <f t="shared" si="2"/>
        <v>244000</v>
      </c>
      <c r="I40" s="52" t="s">
        <v>202</v>
      </c>
      <c r="J40" s="59" t="s">
        <v>450</v>
      </c>
      <c r="K40" s="59" t="s">
        <v>451</v>
      </c>
      <c r="L40" s="114" t="s">
        <v>452</v>
      </c>
      <c r="M40" s="113"/>
      <c r="N40" s="113"/>
      <c r="O40" s="113"/>
      <c r="P40" s="120">
        <v>45975.0</v>
      </c>
      <c r="Q40" s="151" t="s">
        <v>367</v>
      </c>
      <c r="R40" s="59"/>
    </row>
    <row r="41" ht="35.25" customHeight="1">
      <c r="A41" s="35">
        <v>11.0</v>
      </c>
      <c r="B41" s="35" t="s">
        <v>125</v>
      </c>
      <c r="C41" s="35" t="s">
        <v>249</v>
      </c>
      <c r="D41" s="35">
        <v>1.0</v>
      </c>
      <c r="E41" s="35">
        <v>0.0</v>
      </c>
      <c r="F41" s="35">
        <f>'90186_2024'!$D41-'90186_2024'!$E41</f>
        <v>1</v>
      </c>
      <c r="G41" s="40">
        <v>564480.0</v>
      </c>
      <c r="H41" s="40">
        <f t="shared" si="2"/>
        <v>564480</v>
      </c>
      <c r="I41" s="35" t="s">
        <v>179</v>
      </c>
      <c r="J41" s="44" t="s">
        <v>453</v>
      </c>
      <c r="K41" s="44" t="s">
        <v>437</v>
      </c>
      <c r="L41" s="109" t="s">
        <v>438</v>
      </c>
      <c r="M41" s="44"/>
      <c r="N41" s="44"/>
      <c r="O41" s="44"/>
      <c r="P41" s="119">
        <v>45975.0</v>
      </c>
      <c r="Q41" s="149" t="s">
        <v>367</v>
      </c>
      <c r="R41" s="44"/>
    </row>
    <row r="42" ht="15.75" customHeight="1">
      <c r="A42" s="52">
        <v>12.0</v>
      </c>
      <c r="B42" s="52" t="s">
        <v>124</v>
      </c>
      <c r="C42" s="52" t="s">
        <v>455</v>
      </c>
      <c r="D42" s="52">
        <v>1.0</v>
      </c>
      <c r="E42" s="52">
        <v>0.0</v>
      </c>
      <c r="F42" s="52">
        <f>'90186_2024'!$D42-'90186_2024'!$E42</f>
        <v>1</v>
      </c>
      <c r="G42" s="53">
        <v>734998.0</v>
      </c>
      <c r="H42" s="54">
        <f t="shared" si="2"/>
        <v>734998</v>
      </c>
      <c r="I42" s="52" t="s">
        <v>167</v>
      </c>
      <c r="J42" s="59" t="s">
        <v>456</v>
      </c>
      <c r="K42" s="59" t="s">
        <v>70</v>
      </c>
      <c r="L42" s="58" t="s">
        <v>457</v>
      </c>
      <c r="M42" s="59"/>
      <c r="N42" s="59"/>
      <c r="O42" s="59"/>
      <c r="P42" s="120">
        <v>45975.0</v>
      </c>
      <c r="Q42" s="151" t="s">
        <v>367</v>
      </c>
      <c r="R42" s="59"/>
    </row>
    <row r="43" ht="15.75" customHeight="1">
      <c r="A43" s="35">
        <v>13.0</v>
      </c>
      <c r="B43" s="35" t="s">
        <v>131</v>
      </c>
      <c r="C43" s="35" t="s">
        <v>459</v>
      </c>
      <c r="D43" s="35">
        <v>2.0</v>
      </c>
      <c r="E43" s="35">
        <v>0.0</v>
      </c>
      <c r="F43" s="35">
        <f>'90186_2024'!$D43-'90186_2024'!$E43</f>
        <v>2</v>
      </c>
      <c r="G43" s="40">
        <v>760000.0</v>
      </c>
      <c r="H43" s="40">
        <f t="shared" si="2"/>
        <v>1520000</v>
      </c>
      <c r="I43" s="35" t="s">
        <v>221</v>
      </c>
      <c r="J43" s="44" t="s">
        <v>461</v>
      </c>
      <c r="K43" s="194" t="s">
        <v>389</v>
      </c>
      <c r="L43" s="91" t="s">
        <v>462</v>
      </c>
      <c r="M43" s="44"/>
      <c r="N43" s="44"/>
      <c r="O43" s="44"/>
      <c r="P43" s="44"/>
      <c r="Q43" s="149" t="s">
        <v>367</v>
      </c>
      <c r="R43" s="44"/>
    </row>
    <row r="44" ht="15.75" customHeight="1">
      <c r="A44" s="52">
        <v>14.0</v>
      </c>
      <c r="B44" s="52" t="s">
        <v>82</v>
      </c>
      <c r="C44" s="52" t="s">
        <v>251</v>
      </c>
      <c r="D44" s="52">
        <v>1.0</v>
      </c>
      <c r="E44" s="49">
        <v>1.0</v>
      </c>
      <c r="F44" s="52">
        <f>'90186_2024'!$D44-'90186_2024'!$E44</f>
        <v>0</v>
      </c>
      <c r="G44" s="54">
        <v>120800.0</v>
      </c>
      <c r="H44" s="54">
        <f t="shared" si="2"/>
        <v>120800</v>
      </c>
      <c r="I44" s="52" t="s">
        <v>179</v>
      </c>
      <c r="J44" s="59" t="s">
        <v>463</v>
      </c>
      <c r="K44" s="59" t="s">
        <v>464</v>
      </c>
      <c r="L44" s="59" t="s">
        <v>465</v>
      </c>
      <c r="M44" s="59"/>
      <c r="N44" s="59"/>
      <c r="O44" s="59"/>
      <c r="P44" s="59"/>
      <c r="Q44" s="151" t="s">
        <v>367</v>
      </c>
      <c r="R44" s="59"/>
      <c r="S44" s="155"/>
      <c r="T44" s="155"/>
      <c r="U44" s="155"/>
      <c r="V44" s="155"/>
      <c r="W44" s="155"/>
      <c r="X44" s="155"/>
      <c r="Y44" s="155"/>
      <c r="Z44" s="155"/>
    </row>
    <row r="45" ht="15.75" customHeight="1">
      <c r="A45" s="35">
        <v>14.0</v>
      </c>
      <c r="B45" s="35" t="s">
        <v>82</v>
      </c>
      <c r="C45" s="35" t="s">
        <v>251</v>
      </c>
      <c r="D45" s="35">
        <v>1.0</v>
      </c>
      <c r="E45" s="35">
        <v>0.0</v>
      </c>
      <c r="F45" s="35">
        <f>'90186_2024'!$D45-'90186_2024'!$E45</f>
        <v>1</v>
      </c>
      <c r="G45" s="40">
        <v>120800.0</v>
      </c>
      <c r="H45" s="40">
        <f t="shared" si="2"/>
        <v>120800</v>
      </c>
      <c r="I45" s="35" t="s">
        <v>167</v>
      </c>
      <c r="J45" s="44" t="s">
        <v>463</v>
      </c>
      <c r="K45" s="44" t="s">
        <v>464</v>
      </c>
      <c r="L45" s="44" t="s">
        <v>465</v>
      </c>
      <c r="M45" s="44"/>
      <c r="N45" s="44"/>
      <c r="O45" s="44"/>
      <c r="P45" s="44"/>
      <c r="Q45" s="149" t="s">
        <v>367</v>
      </c>
      <c r="R45" s="44"/>
      <c r="S45" s="155"/>
      <c r="T45" s="155"/>
      <c r="U45" s="155"/>
      <c r="V45" s="155"/>
      <c r="W45" s="155"/>
      <c r="X45" s="155"/>
      <c r="Y45" s="155"/>
      <c r="Z45" s="155"/>
    </row>
    <row r="46" ht="15.75" customHeight="1">
      <c r="A46" s="52">
        <v>14.0</v>
      </c>
      <c r="B46" s="52" t="s">
        <v>82</v>
      </c>
      <c r="C46" s="52" t="s">
        <v>251</v>
      </c>
      <c r="D46" s="52">
        <v>1.0</v>
      </c>
      <c r="E46" s="52">
        <v>0.0</v>
      </c>
      <c r="F46" s="52">
        <f>'90186_2024'!$D46-'90186_2024'!$E46</f>
        <v>1</v>
      </c>
      <c r="G46" s="54">
        <v>120800.0</v>
      </c>
      <c r="H46" s="54">
        <f t="shared" si="2"/>
        <v>120800</v>
      </c>
      <c r="I46" s="52" t="s">
        <v>202</v>
      </c>
      <c r="J46" s="59" t="s">
        <v>463</v>
      </c>
      <c r="K46" s="59" t="s">
        <v>464</v>
      </c>
      <c r="L46" s="59" t="s">
        <v>465</v>
      </c>
      <c r="M46" s="59"/>
      <c r="N46" s="59"/>
      <c r="O46" s="59"/>
      <c r="P46" s="59"/>
      <c r="Q46" s="151" t="s">
        <v>367</v>
      </c>
      <c r="R46" s="59"/>
      <c r="S46" s="155"/>
      <c r="T46" s="155"/>
      <c r="U46" s="155"/>
      <c r="V46" s="155"/>
      <c r="W46" s="155"/>
      <c r="X46" s="155"/>
      <c r="Y46" s="155"/>
      <c r="Z46" s="155"/>
    </row>
    <row r="47" ht="15.75" customHeight="1">
      <c r="A47" s="35">
        <v>15.0</v>
      </c>
      <c r="B47" s="35" t="s">
        <v>115</v>
      </c>
      <c r="C47" s="35" t="s">
        <v>305</v>
      </c>
      <c r="D47" s="35">
        <v>1.0</v>
      </c>
      <c r="E47" s="33">
        <v>1.0</v>
      </c>
      <c r="F47" s="35">
        <f>'90186_2024'!$D47-'90186_2024'!$E47</f>
        <v>0</v>
      </c>
      <c r="G47" s="40">
        <v>350800.0</v>
      </c>
      <c r="H47" s="40">
        <f t="shared" si="2"/>
        <v>350800</v>
      </c>
      <c r="I47" s="35" t="s">
        <v>196</v>
      </c>
      <c r="J47" s="44" t="s">
        <v>466</v>
      </c>
      <c r="K47" s="44" t="s">
        <v>467</v>
      </c>
      <c r="L47" s="44" t="s">
        <v>468</v>
      </c>
      <c r="M47" s="44"/>
      <c r="N47" s="44"/>
      <c r="O47" s="44"/>
      <c r="P47" s="119">
        <v>45975.0</v>
      </c>
      <c r="Q47" s="149" t="s">
        <v>367</v>
      </c>
      <c r="R47" s="44"/>
    </row>
    <row r="48" ht="15.75" customHeight="1">
      <c r="A48" s="52">
        <v>15.0</v>
      </c>
      <c r="B48" s="52" t="s">
        <v>115</v>
      </c>
      <c r="C48" s="52" t="s">
        <v>305</v>
      </c>
      <c r="D48" s="52">
        <v>1.0</v>
      </c>
      <c r="E48" s="49">
        <v>1.0</v>
      </c>
      <c r="F48" s="52">
        <f>'90186_2024'!$D48-'90186_2024'!$E48</f>
        <v>0</v>
      </c>
      <c r="G48" s="54">
        <v>350800.0</v>
      </c>
      <c r="H48" s="54">
        <f t="shared" si="2"/>
        <v>350800</v>
      </c>
      <c r="I48" s="52" t="s">
        <v>304</v>
      </c>
      <c r="J48" s="59" t="s">
        <v>466</v>
      </c>
      <c r="K48" s="59" t="s">
        <v>467</v>
      </c>
      <c r="L48" s="59" t="s">
        <v>468</v>
      </c>
      <c r="M48" s="59"/>
      <c r="N48" s="59"/>
      <c r="O48" s="59"/>
      <c r="P48" s="120">
        <v>45975.0</v>
      </c>
      <c r="Q48" s="151" t="s">
        <v>367</v>
      </c>
      <c r="R48" s="59"/>
    </row>
    <row r="49" ht="15.75" customHeight="1">
      <c r="A49" s="35">
        <v>16.0</v>
      </c>
      <c r="B49" s="35" t="s">
        <v>119</v>
      </c>
      <c r="C49" s="35" t="s">
        <v>310</v>
      </c>
      <c r="D49" s="35">
        <v>1.0</v>
      </c>
      <c r="E49" s="35">
        <v>1.0</v>
      </c>
      <c r="F49" s="35">
        <f>'90186_2024'!$D49-'90186_2024'!$E49</f>
        <v>0</v>
      </c>
      <c r="G49" s="40">
        <v>186100.0</v>
      </c>
      <c r="H49" s="40">
        <f t="shared" si="2"/>
        <v>186100</v>
      </c>
      <c r="I49" s="35" t="s">
        <v>197</v>
      </c>
      <c r="J49" s="44" t="s">
        <v>470</v>
      </c>
      <c r="K49" s="44" t="s">
        <v>473</v>
      </c>
      <c r="L49" s="44" t="s">
        <v>474</v>
      </c>
      <c r="M49" s="43" t="s">
        <v>475</v>
      </c>
      <c r="N49" s="43" t="s">
        <v>476</v>
      </c>
      <c r="O49" s="44"/>
      <c r="P49" s="119">
        <v>45975.0</v>
      </c>
      <c r="Q49" s="44" t="s">
        <v>477</v>
      </c>
      <c r="R49" s="44"/>
    </row>
    <row r="50" ht="15.75" customHeight="1">
      <c r="A50" s="52">
        <v>16.0</v>
      </c>
      <c r="B50" s="52" t="s">
        <v>119</v>
      </c>
      <c r="C50" s="52" t="s">
        <v>310</v>
      </c>
      <c r="D50" s="52">
        <v>1.0</v>
      </c>
      <c r="E50" s="49">
        <v>1.0</v>
      </c>
      <c r="F50" s="52">
        <f>'90186_2024'!$D50-'90186_2024'!$E50</f>
        <v>0</v>
      </c>
      <c r="G50" s="54">
        <v>186100.0</v>
      </c>
      <c r="H50" s="54">
        <f t="shared" si="2"/>
        <v>186100</v>
      </c>
      <c r="I50" s="52" t="s">
        <v>85</v>
      </c>
      <c r="J50" s="59" t="s">
        <v>470</v>
      </c>
      <c r="K50" s="59" t="s">
        <v>473</v>
      </c>
      <c r="L50" s="59" t="s">
        <v>474</v>
      </c>
      <c r="M50" s="58" t="s">
        <v>475</v>
      </c>
      <c r="N50" s="58" t="s">
        <v>476</v>
      </c>
      <c r="O50" s="59"/>
      <c r="P50" s="120">
        <v>45975.0</v>
      </c>
      <c r="Q50" s="151" t="s">
        <v>367</v>
      </c>
      <c r="R50" s="59"/>
    </row>
    <row r="51" ht="15.75" customHeight="1">
      <c r="A51" s="35">
        <v>16.0</v>
      </c>
      <c r="B51" s="35" t="s">
        <v>119</v>
      </c>
      <c r="C51" s="35" t="s">
        <v>310</v>
      </c>
      <c r="D51" s="35">
        <v>1.0</v>
      </c>
      <c r="E51" s="33">
        <v>1.0</v>
      </c>
      <c r="F51" s="35">
        <f>'90186_2024'!$D51-'90186_2024'!$E51</f>
        <v>0</v>
      </c>
      <c r="G51" s="40">
        <v>186100.0</v>
      </c>
      <c r="H51" s="40">
        <f t="shared" si="2"/>
        <v>186100</v>
      </c>
      <c r="I51" s="35" t="s">
        <v>103</v>
      </c>
      <c r="J51" s="44" t="s">
        <v>470</v>
      </c>
      <c r="K51" s="44" t="s">
        <v>473</v>
      </c>
      <c r="L51" s="44" t="s">
        <v>474</v>
      </c>
      <c r="M51" s="43" t="s">
        <v>475</v>
      </c>
      <c r="N51" s="43" t="s">
        <v>476</v>
      </c>
      <c r="O51" s="44"/>
      <c r="P51" s="119">
        <v>45975.0</v>
      </c>
      <c r="Q51" s="149" t="s">
        <v>367</v>
      </c>
      <c r="R51" s="44"/>
    </row>
    <row r="52" ht="15.75" customHeight="1">
      <c r="A52" s="52">
        <v>16.0</v>
      </c>
      <c r="B52" s="52" t="s">
        <v>119</v>
      </c>
      <c r="C52" s="52" t="s">
        <v>310</v>
      </c>
      <c r="D52" s="52">
        <v>1.0</v>
      </c>
      <c r="E52" s="49">
        <v>1.0</v>
      </c>
      <c r="F52" s="52">
        <f>'90186_2024'!$D52-'90186_2024'!$E52</f>
        <v>0</v>
      </c>
      <c r="G52" s="54">
        <v>186100.0</v>
      </c>
      <c r="H52" s="54">
        <f t="shared" si="2"/>
        <v>186100</v>
      </c>
      <c r="I52" s="52" t="s">
        <v>286</v>
      </c>
      <c r="J52" s="59" t="s">
        <v>470</v>
      </c>
      <c r="K52" s="59" t="s">
        <v>473</v>
      </c>
      <c r="L52" s="59" t="s">
        <v>474</v>
      </c>
      <c r="M52" s="58" t="s">
        <v>475</v>
      </c>
      <c r="N52" s="58" t="s">
        <v>476</v>
      </c>
      <c r="O52" s="59"/>
      <c r="P52" s="120">
        <v>45975.0</v>
      </c>
      <c r="Q52" s="151" t="s">
        <v>367</v>
      </c>
      <c r="R52" s="59"/>
    </row>
    <row r="53" ht="15.75" customHeight="1">
      <c r="A53" s="35">
        <v>16.0</v>
      </c>
      <c r="B53" s="35" t="s">
        <v>119</v>
      </c>
      <c r="C53" s="35" t="s">
        <v>310</v>
      </c>
      <c r="D53" s="35">
        <v>1.0</v>
      </c>
      <c r="E53" s="33">
        <v>1.0</v>
      </c>
      <c r="F53" s="35">
        <f>'90186_2024'!$D53-'90186_2024'!$E53</f>
        <v>0</v>
      </c>
      <c r="G53" s="40">
        <v>186100.0</v>
      </c>
      <c r="H53" s="40">
        <f t="shared" si="2"/>
        <v>186100</v>
      </c>
      <c r="I53" s="35" t="s">
        <v>142</v>
      </c>
      <c r="J53" s="44" t="s">
        <v>470</v>
      </c>
      <c r="K53" s="44" t="s">
        <v>473</v>
      </c>
      <c r="L53" s="44" t="s">
        <v>474</v>
      </c>
      <c r="M53" s="43" t="s">
        <v>475</v>
      </c>
      <c r="N53" s="43" t="s">
        <v>476</v>
      </c>
      <c r="O53" s="44"/>
      <c r="P53" s="119">
        <v>45975.0</v>
      </c>
      <c r="Q53" s="149" t="s">
        <v>367</v>
      </c>
      <c r="R53" s="44"/>
    </row>
    <row r="54" ht="15.75" customHeight="1">
      <c r="A54" s="52">
        <v>16.0</v>
      </c>
      <c r="B54" s="52" t="s">
        <v>119</v>
      </c>
      <c r="C54" s="52" t="s">
        <v>310</v>
      </c>
      <c r="D54" s="52">
        <v>1.0</v>
      </c>
      <c r="E54" s="49">
        <v>1.0</v>
      </c>
      <c r="F54" s="52">
        <f>'90186_2024'!$D54-'90186_2024'!$E54</f>
        <v>0</v>
      </c>
      <c r="G54" s="54">
        <v>186100.0</v>
      </c>
      <c r="H54" s="54">
        <f t="shared" si="2"/>
        <v>186100</v>
      </c>
      <c r="I54" s="52" t="s">
        <v>179</v>
      </c>
      <c r="J54" s="59" t="s">
        <v>470</v>
      </c>
      <c r="K54" s="59" t="s">
        <v>473</v>
      </c>
      <c r="L54" s="59" t="s">
        <v>474</v>
      </c>
      <c r="M54" s="58" t="s">
        <v>475</v>
      </c>
      <c r="N54" s="58" t="s">
        <v>476</v>
      </c>
      <c r="O54" s="59"/>
      <c r="P54" s="120">
        <v>45975.0</v>
      </c>
      <c r="Q54" s="151" t="s">
        <v>367</v>
      </c>
      <c r="R54" s="59"/>
    </row>
    <row r="55" ht="15.75" customHeight="1">
      <c r="A55" s="35">
        <v>16.0</v>
      </c>
      <c r="B55" s="35" t="s">
        <v>119</v>
      </c>
      <c r="C55" s="35" t="s">
        <v>310</v>
      </c>
      <c r="D55" s="35">
        <v>2.0</v>
      </c>
      <c r="E55" s="33">
        <v>2.0</v>
      </c>
      <c r="F55" s="35">
        <f>'90186_2024'!$D55-'90186_2024'!$E55</f>
        <v>0</v>
      </c>
      <c r="G55" s="40">
        <v>186100.0</v>
      </c>
      <c r="H55" s="40">
        <f t="shared" si="2"/>
        <v>372200</v>
      </c>
      <c r="I55" s="35" t="s">
        <v>175</v>
      </c>
      <c r="J55" s="44" t="s">
        <v>470</v>
      </c>
      <c r="K55" s="44" t="s">
        <v>473</v>
      </c>
      <c r="L55" s="44" t="s">
        <v>474</v>
      </c>
      <c r="M55" s="43" t="s">
        <v>475</v>
      </c>
      <c r="N55" s="43" t="s">
        <v>476</v>
      </c>
      <c r="O55" s="44"/>
      <c r="P55" s="119">
        <v>45975.0</v>
      </c>
      <c r="Q55" s="149" t="s">
        <v>367</v>
      </c>
      <c r="R55" s="44"/>
    </row>
    <row r="56" ht="15.75" customHeight="1">
      <c r="A56" s="52">
        <v>16.0</v>
      </c>
      <c r="B56" s="52" t="s">
        <v>119</v>
      </c>
      <c r="C56" s="52" t="s">
        <v>310</v>
      </c>
      <c r="D56" s="52">
        <v>1.0</v>
      </c>
      <c r="E56" s="49">
        <v>1.0</v>
      </c>
      <c r="F56" s="52">
        <f>'90186_2024'!$D56-'90186_2024'!$E56</f>
        <v>0</v>
      </c>
      <c r="G56" s="54">
        <v>186100.0</v>
      </c>
      <c r="H56" s="54">
        <f t="shared" si="2"/>
        <v>186100</v>
      </c>
      <c r="I56" s="52" t="s">
        <v>160</v>
      </c>
      <c r="J56" s="59" t="s">
        <v>470</v>
      </c>
      <c r="K56" s="59" t="s">
        <v>473</v>
      </c>
      <c r="L56" s="59" t="s">
        <v>474</v>
      </c>
      <c r="M56" s="58" t="s">
        <v>475</v>
      </c>
      <c r="N56" s="58" t="s">
        <v>476</v>
      </c>
      <c r="O56" s="59"/>
      <c r="P56" s="120">
        <v>45975.0</v>
      </c>
      <c r="Q56" s="151" t="s">
        <v>367</v>
      </c>
      <c r="R56" s="59"/>
    </row>
    <row r="57" ht="15.75" customHeight="1">
      <c r="A57" s="35">
        <v>16.0</v>
      </c>
      <c r="B57" s="35" t="s">
        <v>119</v>
      </c>
      <c r="C57" s="35" t="s">
        <v>310</v>
      </c>
      <c r="D57" s="35">
        <v>1.0</v>
      </c>
      <c r="E57" s="33">
        <v>1.0</v>
      </c>
      <c r="F57" s="35">
        <f>'90186_2024'!$D57-'90186_2024'!$E57</f>
        <v>0</v>
      </c>
      <c r="G57" s="40">
        <v>186100.0</v>
      </c>
      <c r="H57" s="40">
        <f t="shared" si="2"/>
        <v>186100</v>
      </c>
      <c r="I57" s="35" t="s">
        <v>201</v>
      </c>
      <c r="J57" s="44" t="s">
        <v>470</v>
      </c>
      <c r="K57" s="44" t="s">
        <v>473</v>
      </c>
      <c r="L57" s="44" t="s">
        <v>474</v>
      </c>
      <c r="M57" s="43" t="s">
        <v>475</v>
      </c>
      <c r="N57" s="43" t="s">
        <v>476</v>
      </c>
      <c r="O57" s="44"/>
      <c r="P57" s="119">
        <v>45975.0</v>
      </c>
      <c r="Q57" s="149" t="s">
        <v>367</v>
      </c>
      <c r="R57" s="44"/>
    </row>
    <row r="58" ht="15.75" customHeight="1">
      <c r="A58" s="52">
        <v>16.0</v>
      </c>
      <c r="B58" s="52" t="s">
        <v>119</v>
      </c>
      <c r="C58" s="52" t="s">
        <v>310</v>
      </c>
      <c r="D58" s="52">
        <v>1.0</v>
      </c>
      <c r="E58" s="49">
        <v>1.0</v>
      </c>
      <c r="F58" s="52">
        <f>'90186_2024'!$D58-'90186_2024'!$E58</f>
        <v>0</v>
      </c>
      <c r="G58" s="54">
        <v>186100.0</v>
      </c>
      <c r="H58" s="54">
        <f t="shared" si="2"/>
        <v>186100</v>
      </c>
      <c r="I58" s="52" t="s">
        <v>178</v>
      </c>
      <c r="J58" s="59" t="s">
        <v>470</v>
      </c>
      <c r="K58" s="59" t="s">
        <v>473</v>
      </c>
      <c r="L58" s="59" t="s">
        <v>474</v>
      </c>
      <c r="M58" s="58" t="s">
        <v>475</v>
      </c>
      <c r="N58" s="58" t="s">
        <v>476</v>
      </c>
      <c r="O58" s="59"/>
      <c r="P58" s="120">
        <v>45975.0</v>
      </c>
      <c r="Q58" s="151" t="s">
        <v>367</v>
      </c>
      <c r="R58" s="59"/>
    </row>
    <row r="59" ht="15.75" customHeight="1">
      <c r="A59" s="35">
        <v>16.0</v>
      </c>
      <c r="B59" s="35" t="s">
        <v>119</v>
      </c>
      <c r="C59" s="35" t="s">
        <v>310</v>
      </c>
      <c r="D59" s="35">
        <v>1.0</v>
      </c>
      <c r="E59" s="33">
        <v>1.0</v>
      </c>
      <c r="F59" s="35">
        <f>'90186_2024'!$D59-'90186_2024'!$E59</f>
        <v>0</v>
      </c>
      <c r="G59" s="40">
        <v>186100.0</v>
      </c>
      <c r="H59" s="40">
        <f t="shared" si="2"/>
        <v>186100</v>
      </c>
      <c r="I59" s="35" t="s">
        <v>189</v>
      </c>
      <c r="J59" s="44" t="s">
        <v>470</v>
      </c>
      <c r="K59" s="44" t="s">
        <v>473</v>
      </c>
      <c r="L59" s="44" t="s">
        <v>474</v>
      </c>
      <c r="M59" s="43" t="s">
        <v>475</v>
      </c>
      <c r="N59" s="43" t="s">
        <v>476</v>
      </c>
      <c r="O59" s="44"/>
      <c r="P59" s="119">
        <v>45975.0</v>
      </c>
      <c r="Q59" s="149" t="s">
        <v>367</v>
      </c>
      <c r="R59" s="44"/>
    </row>
    <row r="60" ht="15.75" customHeight="1">
      <c r="A60" s="52">
        <v>16.0</v>
      </c>
      <c r="B60" s="52" t="s">
        <v>119</v>
      </c>
      <c r="C60" s="52" t="s">
        <v>310</v>
      </c>
      <c r="D60" s="52">
        <v>1.0</v>
      </c>
      <c r="E60" s="49">
        <v>1.0</v>
      </c>
      <c r="F60" s="52">
        <f>'90186_2024'!$D60-'90186_2024'!$E60</f>
        <v>0</v>
      </c>
      <c r="G60" s="54">
        <v>186100.0</v>
      </c>
      <c r="H60" s="54">
        <f t="shared" si="2"/>
        <v>186100</v>
      </c>
      <c r="I60" s="52" t="s">
        <v>304</v>
      </c>
      <c r="J60" s="59" t="s">
        <v>470</v>
      </c>
      <c r="K60" s="59" t="s">
        <v>473</v>
      </c>
      <c r="L60" s="59" t="s">
        <v>474</v>
      </c>
      <c r="M60" s="58" t="s">
        <v>475</v>
      </c>
      <c r="N60" s="58" t="s">
        <v>476</v>
      </c>
      <c r="O60" s="59"/>
      <c r="P60" s="120">
        <v>45975.0</v>
      </c>
      <c r="Q60" s="151" t="s">
        <v>367</v>
      </c>
      <c r="R60" s="59"/>
    </row>
    <row r="61" ht="15.75" customHeight="1">
      <c r="A61" s="35">
        <v>16.0</v>
      </c>
      <c r="B61" s="35" t="s">
        <v>119</v>
      </c>
      <c r="C61" s="35" t="s">
        <v>310</v>
      </c>
      <c r="D61" s="35">
        <v>1.0</v>
      </c>
      <c r="E61" s="33">
        <v>1.0</v>
      </c>
      <c r="F61" s="204">
        <f>'90186_2024'!$D61-'90186_2024'!$E61</f>
        <v>0</v>
      </c>
      <c r="G61" s="40">
        <v>186100.0</v>
      </c>
      <c r="H61" s="40">
        <f t="shared" si="2"/>
        <v>186100</v>
      </c>
      <c r="I61" s="35" t="s">
        <v>210</v>
      </c>
      <c r="J61" s="44" t="s">
        <v>470</v>
      </c>
      <c r="K61" s="44" t="s">
        <v>473</v>
      </c>
      <c r="L61" s="44" t="s">
        <v>474</v>
      </c>
      <c r="M61" s="43" t="s">
        <v>475</v>
      </c>
      <c r="N61" s="43" t="s">
        <v>476</v>
      </c>
      <c r="O61" s="121"/>
      <c r="P61" s="119">
        <v>45975.0</v>
      </c>
      <c r="Q61" s="149" t="s">
        <v>367</v>
      </c>
      <c r="R61" s="44"/>
    </row>
    <row r="62" ht="15.75" customHeight="1">
      <c r="A62" s="206">
        <v>17.0</v>
      </c>
      <c r="B62" s="206" t="s">
        <v>52</v>
      </c>
      <c r="C62" s="206" t="s">
        <v>121</v>
      </c>
      <c r="D62" s="206">
        <v>1.0</v>
      </c>
      <c r="E62" s="207">
        <v>1.0</v>
      </c>
      <c r="F62" s="206">
        <f>'90186_2024'!$D62-'90186_2024'!$E62</f>
        <v>0</v>
      </c>
      <c r="G62" s="208">
        <v>128690.0</v>
      </c>
      <c r="H62" s="208">
        <f t="shared" si="2"/>
        <v>128690</v>
      </c>
      <c r="I62" s="206" t="s">
        <v>179</v>
      </c>
      <c r="J62" s="123" t="s">
        <v>470</v>
      </c>
      <c r="K62" s="123" t="s">
        <v>486</v>
      </c>
      <c r="L62" s="112" t="s">
        <v>487</v>
      </c>
      <c r="M62" s="123"/>
      <c r="N62" s="123"/>
      <c r="O62" s="123"/>
      <c r="P62" s="123"/>
      <c r="Q62" s="210" t="s">
        <v>367</v>
      </c>
      <c r="R62" s="123"/>
      <c r="S62" s="211"/>
      <c r="T62" s="211"/>
      <c r="U62" s="211"/>
      <c r="V62" s="211"/>
      <c r="W62" s="211"/>
      <c r="X62" s="211"/>
      <c r="Y62" s="211"/>
      <c r="Z62" s="211"/>
    </row>
    <row r="63" ht="15.75" customHeight="1">
      <c r="A63" s="206">
        <v>17.0</v>
      </c>
      <c r="B63" s="206" t="s">
        <v>52</v>
      </c>
      <c r="C63" s="206" t="s">
        <v>121</v>
      </c>
      <c r="D63" s="206">
        <v>2.0</v>
      </c>
      <c r="E63" s="207">
        <v>2.0</v>
      </c>
      <c r="F63" s="206">
        <f>'90186_2024'!$D63-'90186_2024'!$E63</f>
        <v>0</v>
      </c>
      <c r="G63" s="208">
        <v>128690.0</v>
      </c>
      <c r="H63" s="208">
        <f t="shared" si="2"/>
        <v>257380</v>
      </c>
      <c r="I63" s="206" t="s">
        <v>167</v>
      </c>
      <c r="J63" s="123" t="s">
        <v>470</v>
      </c>
      <c r="K63" s="123" t="s">
        <v>486</v>
      </c>
      <c r="L63" s="112" t="s">
        <v>487</v>
      </c>
      <c r="M63" s="123"/>
      <c r="N63" s="123"/>
      <c r="O63" s="123"/>
      <c r="P63" s="123"/>
      <c r="Q63" s="210" t="s">
        <v>367</v>
      </c>
      <c r="R63" s="123"/>
      <c r="S63" s="211"/>
      <c r="T63" s="211"/>
      <c r="U63" s="211"/>
      <c r="V63" s="211"/>
      <c r="W63" s="211"/>
      <c r="X63" s="211"/>
      <c r="Y63" s="211"/>
      <c r="Z63" s="211"/>
    </row>
    <row r="64" ht="15.75" customHeight="1">
      <c r="A64" s="206">
        <v>17.0</v>
      </c>
      <c r="B64" s="206" t="s">
        <v>52</v>
      </c>
      <c r="C64" s="206" t="s">
        <v>121</v>
      </c>
      <c r="D64" s="206">
        <v>1.0</v>
      </c>
      <c r="E64" s="207">
        <v>1.0</v>
      </c>
      <c r="F64" s="212">
        <f>'90186_2024'!$D64-'90186_2024'!$E64</f>
        <v>0</v>
      </c>
      <c r="G64" s="208">
        <v>128690.0</v>
      </c>
      <c r="H64" s="208">
        <f t="shared" si="2"/>
        <v>128690</v>
      </c>
      <c r="I64" s="212" t="s">
        <v>221</v>
      </c>
      <c r="J64" s="123" t="s">
        <v>470</v>
      </c>
      <c r="K64" s="123" t="s">
        <v>486</v>
      </c>
      <c r="L64" s="112" t="s">
        <v>487</v>
      </c>
      <c r="M64" s="213"/>
      <c r="N64" s="213"/>
      <c r="O64" s="213"/>
      <c r="P64" s="213"/>
      <c r="Q64" s="210" t="s">
        <v>367</v>
      </c>
      <c r="R64" s="123"/>
      <c r="S64" s="211"/>
      <c r="T64" s="211"/>
      <c r="U64" s="211"/>
      <c r="V64" s="211"/>
      <c r="W64" s="211"/>
      <c r="X64" s="211"/>
      <c r="Y64" s="211"/>
      <c r="Z64" s="211"/>
    </row>
    <row r="65" ht="15.75" customHeight="1">
      <c r="A65" s="206">
        <v>18.0</v>
      </c>
      <c r="B65" s="206" t="s">
        <v>114</v>
      </c>
      <c r="C65" s="206" t="s">
        <v>495</v>
      </c>
      <c r="D65" s="206">
        <v>1.0</v>
      </c>
      <c r="E65" s="206" t="s">
        <v>496</v>
      </c>
      <c r="F65" s="206">
        <v>0.0</v>
      </c>
      <c r="G65" s="208">
        <v>450000.0</v>
      </c>
      <c r="H65" s="208">
        <f t="shared" si="2"/>
        <v>450000</v>
      </c>
      <c r="I65" s="206" t="s">
        <v>134</v>
      </c>
      <c r="J65" s="123" t="s">
        <v>497</v>
      </c>
      <c r="K65" s="123" t="s">
        <v>421</v>
      </c>
      <c r="L65" s="112" t="s">
        <v>498</v>
      </c>
      <c r="M65" s="123"/>
      <c r="N65" s="123"/>
      <c r="O65" s="123"/>
      <c r="P65" s="123"/>
      <c r="Q65" s="123" t="s">
        <v>499</v>
      </c>
      <c r="R65" s="123"/>
      <c r="S65" s="211"/>
      <c r="T65" s="211"/>
      <c r="U65" s="211"/>
      <c r="V65" s="211"/>
      <c r="W65" s="211"/>
      <c r="X65" s="211"/>
      <c r="Y65" s="211"/>
      <c r="Z65" s="211"/>
    </row>
    <row r="66" ht="15.75" customHeight="1">
      <c r="A66" s="206">
        <v>18.0</v>
      </c>
      <c r="B66" s="206" t="s">
        <v>114</v>
      </c>
      <c r="C66" s="206" t="s">
        <v>495</v>
      </c>
      <c r="D66" s="206">
        <v>1.0</v>
      </c>
      <c r="E66" s="206" t="s">
        <v>496</v>
      </c>
      <c r="F66" s="206">
        <v>0.0</v>
      </c>
      <c r="G66" s="208">
        <v>450000.0</v>
      </c>
      <c r="H66" s="208">
        <f t="shared" si="2"/>
        <v>450000</v>
      </c>
      <c r="I66" s="206" t="s">
        <v>160</v>
      </c>
      <c r="J66" s="123" t="s">
        <v>497</v>
      </c>
      <c r="K66" s="123" t="s">
        <v>421</v>
      </c>
      <c r="L66" s="112" t="s">
        <v>498</v>
      </c>
      <c r="M66" s="123"/>
      <c r="N66" s="123"/>
      <c r="O66" s="123"/>
      <c r="P66" s="123"/>
      <c r="Q66" s="123" t="s">
        <v>499</v>
      </c>
      <c r="R66" s="123"/>
      <c r="S66" s="214"/>
      <c r="T66" s="214"/>
      <c r="U66" s="214"/>
      <c r="V66" s="214"/>
      <c r="W66" s="214"/>
      <c r="X66" s="214"/>
      <c r="Y66" s="214"/>
      <c r="Z66" s="214"/>
    </row>
    <row r="67" ht="15.75" customHeight="1">
      <c r="A67" s="206">
        <v>18.0</v>
      </c>
      <c r="B67" s="206" t="s">
        <v>114</v>
      </c>
      <c r="C67" s="206" t="s">
        <v>495</v>
      </c>
      <c r="D67" s="206">
        <v>1.0</v>
      </c>
      <c r="E67" s="206" t="s">
        <v>496</v>
      </c>
      <c r="F67" s="206">
        <v>0.0</v>
      </c>
      <c r="G67" s="208">
        <v>450000.0</v>
      </c>
      <c r="H67" s="208">
        <f t="shared" si="2"/>
        <v>450000</v>
      </c>
      <c r="I67" s="206" t="s">
        <v>196</v>
      </c>
      <c r="J67" s="123" t="s">
        <v>497</v>
      </c>
      <c r="K67" s="123" t="s">
        <v>421</v>
      </c>
      <c r="L67" s="112" t="s">
        <v>498</v>
      </c>
      <c r="M67" s="123"/>
      <c r="N67" s="123"/>
      <c r="O67" s="123"/>
      <c r="P67" s="123"/>
      <c r="Q67" s="123" t="s">
        <v>499</v>
      </c>
      <c r="R67" s="123"/>
      <c r="S67" s="214"/>
      <c r="T67" s="214"/>
      <c r="U67" s="214"/>
      <c r="V67" s="214"/>
      <c r="W67" s="214"/>
      <c r="X67" s="214"/>
      <c r="Y67" s="214"/>
      <c r="Z67" s="214"/>
    </row>
    <row r="68" ht="15.75" customHeight="1">
      <c r="A68" s="206">
        <v>18.0</v>
      </c>
      <c r="B68" s="206" t="s">
        <v>114</v>
      </c>
      <c r="C68" s="206" t="s">
        <v>495</v>
      </c>
      <c r="D68" s="206">
        <v>1.0</v>
      </c>
      <c r="E68" s="206" t="s">
        <v>496</v>
      </c>
      <c r="F68" s="206">
        <v>0.0</v>
      </c>
      <c r="G68" s="208">
        <v>450000.0</v>
      </c>
      <c r="H68" s="208">
        <f t="shared" si="2"/>
        <v>450000</v>
      </c>
      <c r="I68" s="206" t="s">
        <v>189</v>
      </c>
      <c r="J68" s="123" t="s">
        <v>497</v>
      </c>
      <c r="K68" s="123" t="s">
        <v>421</v>
      </c>
      <c r="L68" s="112" t="s">
        <v>498</v>
      </c>
      <c r="M68" s="123"/>
      <c r="N68" s="123"/>
      <c r="O68" s="123"/>
      <c r="P68" s="123"/>
      <c r="Q68" s="123" t="s">
        <v>499</v>
      </c>
      <c r="R68" s="123"/>
      <c r="S68" s="214"/>
      <c r="T68" s="214"/>
      <c r="U68" s="214"/>
      <c r="V68" s="214"/>
      <c r="W68" s="214"/>
      <c r="X68" s="214"/>
      <c r="Y68" s="214"/>
      <c r="Z68" s="214"/>
    </row>
    <row r="69" ht="15.75" customHeight="1">
      <c r="A69" s="206">
        <v>18.0</v>
      </c>
      <c r="B69" s="206" t="s">
        <v>114</v>
      </c>
      <c r="C69" s="206" t="s">
        <v>495</v>
      </c>
      <c r="D69" s="206">
        <v>1.0</v>
      </c>
      <c r="E69" s="206" t="s">
        <v>496</v>
      </c>
      <c r="F69" s="206">
        <v>0.0</v>
      </c>
      <c r="G69" s="208">
        <v>450000.0</v>
      </c>
      <c r="H69" s="208">
        <f t="shared" si="2"/>
        <v>450000</v>
      </c>
      <c r="I69" s="206" t="s">
        <v>210</v>
      </c>
      <c r="J69" s="123" t="s">
        <v>497</v>
      </c>
      <c r="K69" s="123" t="s">
        <v>421</v>
      </c>
      <c r="L69" s="112" t="s">
        <v>498</v>
      </c>
      <c r="M69" s="123"/>
      <c r="N69" s="123"/>
      <c r="O69" s="123"/>
      <c r="P69" s="123"/>
      <c r="Q69" s="123" t="s">
        <v>499</v>
      </c>
      <c r="R69" s="123"/>
      <c r="S69" s="214"/>
      <c r="T69" s="214"/>
      <c r="U69" s="214"/>
      <c r="V69" s="214"/>
      <c r="W69" s="214"/>
      <c r="X69" s="214"/>
      <c r="Y69" s="214"/>
      <c r="Z69" s="214"/>
    </row>
    <row r="70" ht="15.75" customHeight="1">
      <c r="A70" s="206">
        <v>18.0</v>
      </c>
      <c r="B70" s="206" t="s">
        <v>114</v>
      </c>
      <c r="C70" s="206" t="s">
        <v>495</v>
      </c>
      <c r="D70" s="206">
        <v>2.0</v>
      </c>
      <c r="E70" s="206" t="s">
        <v>496</v>
      </c>
      <c r="F70" s="206">
        <v>0.0</v>
      </c>
      <c r="G70" s="208">
        <v>450000.0</v>
      </c>
      <c r="H70" s="208">
        <f t="shared" si="2"/>
        <v>900000</v>
      </c>
      <c r="I70" s="206" t="s">
        <v>214</v>
      </c>
      <c r="J70" s="123" t="s">
        <v>497</v>
      </c>
      <c r="K70" s="123" t="s">
        <v>421</v>
      </c>
      <c r="L70" s="112" t="s">
        <v>498</v>
      </c>
      <c r="M70" s="123"/>
      <c r="N70" s="123"/>
      <c r="O70" s="123"/>
      <c r="P70" s="123"/>
      <c r="Q70" s="123" t="s">
        <v>499</v>
      </c>
      <c r="R70" s="123"/>
      <c r="S70" s="214"/>
      <c r="T70" s="214"/>
      <c r="U70" s="214"/>
      <c r="V70" s="214"/>
      <c r="W70" s="214"/>
      <c r="X70" s="214"/>
      <c r="Y70" s="214"/>
      <c r="Z70" s="214"/>
    </row>
    <row r="71" ht="15.75" customHeight="1">
      <c r="A71" s="206">
        <v>18.0</v>
      </c>
      <c r="B71" s="206" t="s">
        <v>114</v>
      </c>
      <c r="C71" s="206" t="s">
        <v>495</v>
      </c>
      <c r="D71" s="206">
        <v>1.0</v>
      </c>
      <c r="E71" s="206" t="s">
        <v>496</v>
      </c>
      <c r="F71" s="206">
        <v>0.0</v>
      </c>
      <c r="G71" s="208">
        <v>450000.0</v>
      </c>
      <c r="H71" s="208">
        <f t="shared" si="2"/>
        <v>450000</v>
      </c>
      <c r="I71" s="206" t="s">
        <v>179</v>
      </c>
      <c r="J71" s="123" t="s">
        <v>497</v>
      </c>
      <c r="K71" s="123" t="s">
        <v>421</v>
      </c>
      <c r="L71" s="112" t="s">
        <v>498</v>
      </c>
      <c r="M71" s="123"/>
      <c r="N71" s="123"/>
      <c r="O71" s="123"/>
      <c r="P71" s="123"/>
      <c r="Q71" s="123" t="s">
        <v>499</v>
      </c>
      <c r="R71" s="123"/>
      <c r="S71" s="214"/>
      <c r="T71" s="214"/>
      <c r="U71" s="214"/>
      <c r="V71" s="214"/>
      <c r="W71" s="214"/>
      <c r="X71" s="214"/>
      <c r="Y71" s="214"/>
      <c r="Z71" s="214"/>
    </row>
    <row r="72" ht="15.75" customHeight="1">
      <c r="A72" s="215">
        <v>18.0</v>
      </c>
      <c r="B72" s="206" t="s">
        <v>114</v>
      </c>
      <c r="C72" s="215" t="s">
        <v>495</v>
      </c>
      <c r="D72" s="215">
        <v>2.0</v>
      </c>
      <c r="E72" s="206" t="s">
        <v>496</v>
      </c>
      <c r="F72" s="215">
        <v>0.0</v>
      </c>
      <c r="G72" s="208">
        <v>450000.0</v>
      </c>
      <c r="H72" s="208">
        <f t="shared" si="2"/>
        <v>900000</v>
      </c>
      <c r="I72" s="215" t="s">
        <v>221</v>
      </c>
      <c r="J72" s="123" t="s">
        <v>497</v>
      </c>
      <c r="K72" s="123" t="s">
        <v>421</v>
      </c>
      <c r="L72" s="112" t="s">
        <v>498</v>
      </c>
      <c r="M72" s="135"/>
      <c r="N72" s="135"/>
      <c r="O72" s="135"/>
      <c r="P72" s="135"/>
      <c r="Q72" s="123" t="s">
        <v>499</v>
      </c>
      <c r="R72" s="123"/>
      <c r="S72" s="214"/>
      <c r="T72" s="214"/>
      <c r="U72" s="214"/>
      <c r="V72" s="214"/>
      <c r="W72" s="214"/>
      <c r="X72" s="214"/>
      <c r="Y72" s="214"/>
      <c r="Z72" s="214"/>
    </row>
    <row r="73" ht="15.75" customHeight="1">
      <c r="A73" s="35">
        <v>19.0</v>
      </c>
      <c r="B73" s="35" t="s">
        <v>100</v>
      </c>
      <c r="C73" s="35" t="s">
        <v>278</v>
      </c>
      <c r="D73" s="35">
        <v>3.0</v>
      </c>
      <c r="E73" s="33">
        <v>3.0</v>
      </c>
      <c r="F73" s="35">
        <f>'90186_2024'!$D73-'90186_2024'!$E73</f>
        <v>0</v>
      </c>
      <c r="G73" s="37">
        <v>20720.0</v>
      </c>
      <c r="H73" s="40">
        <f t="shared" si="2"/>
        <v>62160</v>
      </c>
      <c r="I73" s="35" t="s">
        <v>103</v>
      </c>
      <c r="J73" s="43" t="s">
        <v>502</v>
      </c>
      <c r="K73" s="44" t="s">
        <v>503</v>
      </c>
      <c r="L73" s="43" t="s">
        <v>504</v>
      </c>
      <c r="M73" s="44"/>
      <c r="N73" s="44"/>
      <c r="O73" s="44"/>
      <c r="P73" s="44"/>
      <c r="Q73" s="170" t="s">
        <v>415</v>
      </c>
      <c r="R73" s="44"/>
    </row>
    <row r="74" ht="15.75" customHeight="1">
      <c r="A74" s="52">
        <v>19.0</v>
      </c>
      <c r="B74" s="52" t="s">
        <v>100</v>
      </c>
      <c r="C74" s="52" t="s">
        <v>506</v>
      </c>
      <c r="D74" s="52">
        <v>2.0</v>
      </c>
      <c r="E74" s="49">
        <v>0.0</v>
      </c>
      <c r="F74" s="52">
        <f>'90186_2024'!$D74-'90186_2024'!$E74</f>
        <v>2</v>
      </c>
      <c r="G74" s="53">
        <v>20720.0</v>
      </c>
      <c r="H74" s="54">
        <f t="shared" si="2"/>
        <v>41440</v>
      </c>
      <c r="I74" s="52" t="s">
        <v>199</v>
      </c>
      <c r="J74" s="58" t="s">
        <v>502</v>
      </c>
      <c r="K74" s="59" t="s">
        <v>503</v>
      </c>
      <c r="L74" s="58" t="s">
        <v>504</v>
      </c>
      <c r="M74" s="59"/>
      <c r="N74" s="59"/>
      <c r="O74" s="59"/>
      <c r="P74" s="59"/>
      <c r="Q74" s="174" t="s">
        <v>415</v>
      </c>
      <c r="R74" s="59"/>
    </row>
    <row r="75" ht="15.75" customHeight="1">
      <c r="A75" s="35">
        <v>19.0</v>
      </c>
      <c r="B75" s="35" t="s">
        <v>100</v>
      </c>
      <c r="C75" s="35" t="s">
        <v>278</v>
      </c>
      <c r="D75" s="35">
        <v>1.0</v>
      </c>
      <c r="E75" s="35">
        <v>0.0</v>
      </c>
      <c r="F75" s="35">
        <f>'90186_2024'!$D75-'90186_2024'!$E75</f>
        <v>1</v>
      </c>
      <c r="G75" s="37">
        <v>20720.0</v>
      </c>
      <c r="H75" s="40">
        <f t="shared" si="2"/>
        <v>20720</v>
      </c>
      <c r="I75" s="35" t="s">
        <v>96</v>
      </c>
      <c r="J75" s="43" t="s">
        <v>502</v>
      </c>
      <c r="K75" s="44" t="s">
        <v>503</v>
      </c>
      <c r="L75" s="43" t="s">
        <v>504</v>
      </c>
      <c r="M75" s="44"/>
      <c r="N75" s="44"/>
      <c r="O75" s="44"/>
      <c r="P75" s="44"/>
      <c r="Q75" s="170" t="s">
        <v>415</v>
      </c>
      <c r="R75" s="44"/>
    </row>
    <row r="76" ht="15.75" customHeight="1">
      <c r="A76" s="52">
        <v>19.0</v>
      </c>
      <c r="B76" s="52" t="s">
        <v>100</v>
      </c>
      <c r="C76" s="52" t="s">
        <v>278</v>
      </c>
      <c r="D76" s="52">
        <v>2.0</v>
      </c>
      <c r="E76" s="52">
        <v>0.0</v>
      </c>
      <c r="F76" s="52">
        <f>'90186_2024'!$D76-'90186_2024'!$E76</f>
        <v>2</v>
      </c>
      <c r="G76" s="53">
        <v>20720.0</v>
      </c>
      <c r="H76" s="54">
        <f t="shared" si="2"/>
        <v>41440</v>
      </c>
      <c r="I76" s="52" t="s">
        <v>113</v>
      </c>
      <c r="J76" s="58" t="s">
        <v>502</v>
      </c>
      <c r="K76" s="59" t="s">
        <v>503</v>
      </c>
      <c r="L76" s="58" t="s">
        <v>504</v>
      </c>
      <c r="M76" s="59"/>
      <c r="N76" s="59"/>
      <c r="O76" s="59"/>
      <c r="P76" s="59"/>
      <c r="Q76" s="174" t="s">
        <v>415</v>
      </c>
      <c r="R76" s="59"/>
    </row>
    <row r="77" ht="15.75" customHeight="1">
      <c r="A77" s="35">
        <v>19.0</v>
      </c>
      <c r="B77" s="35" t="s">
        <v>100</v>
      </c>
      <c r="C77" s="35" t="s">
        <v>278</v>
      </c>
      <c r="D77" s="35">
        <v>2.0</v>
      </c>
      <c r="E77" s="35">
        <v>0.0</v>
      </c>
      <c r="F77" s="35">
        <f>'90186_2024'!$D77-'90186_2024'!$E77</f>
        <v>2</v>
      </c>
      <c r="G77" s="37">
        <v>20720.0</v>
      </c>
      <c r="H77" s="40">
        <f t="shared" si="2"/>
        <v>41440</v>
      </c>
      <c r="I77" s="35" t="s">
        <v>134</v>
      </c>
      <c r="J77" s="43" t="s">
        <v>502</v>
      </c>
      <c r="K77" s="44" t="s">
        <v>503</v>
      </c>
      <c r="L77" s="43" t="s">
        <v>504</v>
      </c>
      <c r="M77" s="44"/>
      <c r="N77" s="44"/>
      <c r="O77" s="44"/>
      <c r="P77" s="44"/>
      <c r="Q77" s="170" t="s">
        <v>415</v>
      </c>
      <c r="R77" s="44"/>
    </row>
    <row r="78" ht="15.75" customHeight="1">
      <c r="A78" s="52">
        <v>19.0</v>
      </c>
      <c r="B78" s="52" t="s">
        <v>100</v>
      </c>
      <c r="C78" s="52" t="s">
        <v>278</v>
      </c>
      <c r="D78" s="52">
        <v>2.0</v>
      </c>
      <c r="E78" s="49">
        <v>2.0</v>
      </c>
      <c r="F78" s="52">
        <f>'90186_2024'!$D78-'90186_2024'!$E78</f>
        <v>0</v>
      </c>
      <c r="G78" s="53">
        <v>20720.0</v>
      </c>
      <c r="H78" s="54">
        <f t="shared" si="2"/>
        <v>41440</v>
      </c>
      <c r="I78" s="52" t="s">
        <v>286</v>
      </c>
      <c r="J78" s="58" t="s">
        <v>502</v>
      </c>
      <c r="K78" s="59" t="s">
        <v>503</v>
      </c>
      <c r="L78" s="58" t="s">
        <v>504</v>
      </c>
      <c r="M78" s="59"/>
      <c r="N78" s="59"/>
      <c r="O78" s="59"/>
      <c r="P78" s="59"/>
      <c r="Q78" s="174" t="s">
        <v>415</v>
      </c>
      <c r="R78" s="59"/>
    </row>
    <row r="79" ht="15.75" customHeight="1">
      <c r="A79" s="35">
        <v>19.0</v>
      </c>
      <c r="B79" s="35" t="s">
        <v>100</v>
      </c>
      <c r="C79" s="35" t="s">
        <v>278</v>
      </c>
      <c r="D79" s="35">
        <v>2.0</v>
      </c>
      <c r="E79" s="35">
        <v>0.0</v>
      </c>
      <c r="F79" s="35">
        <f>'90186_2024'!$D79-'90186_2024'!$E79</f>
        <v>2</v>
      </c>
      <c r="G79" s="37">
        <v>20720.0</v>
      </c>
      <c r="H79" s="40">
        <f t="shared" si="2"/>
        <v>41440</v>
      </c>
      <c r="I79" s="35" t="s">
        <v>142</v>
      </c>
      <c r="J79" s="43" t="s">
        <v>502</v>
      </c>
      <c r="K79" s="44" t="s">
        <v>503</v>
      </c>
      <c r="L79" s="43" t="s">
        <v>504</v>
      </c>
      <c r="M79" s="44"/>
      <c r="N79" s="44"/>
      <c r="O79" s="44"/>
      <c r="P79" s="44"/>
      <c r="Q79" s="170" t="s">
        <v>415</v>
      </c>
      <c r="R79" s="44"/>
    </row>
    <row r="80" ht="15.75" customHeight="1">
      <c r="A80" s="52">
        <v>19.0</v>
      </c>
      <c r="B80" s="52" t="s">
        <v>100</v>
      </c>
      <c r="C80" s="52" t="s">
        <v>278</v>
      </c>
      <c r="D80" s="52">
        <v>13.0</v>
      </c>
      <c r="E80" s="216">
        <v>13.0</v>
      </c>
      <c r="F80" s="52">
        <f>'90186_2024'!$D80-'90186_2024'!$E80</f>
        <v>0</v>
      </c>
      <c r="G80" s="53">
        <v>20720.0</v>
      </c>
      <c r="H80" s="54">
        <f t="shared" si="2"/>
        <v>269360</v>
      </c>
      <c r="I80" s="52" t="s">
        <v>167</v>
      </c>
      <c r="J80" s="58" t="s">
        <v>502</v>
      </c>
      <c r="K80" s="59" t="s">
        <v>503</v>
      </c>
      <c r="L80" s="58" t="s">
        <v>510</v>
      </c>
      <c r="M80" s="59"/>
      <c r="N80" s="59"/>
      <c r="O80" s="59"/>
      <c r="P80" s="59"/>
      <c r="Q80" s="174" t="s">
        <v>415</v>
      </c>
      <c r="R80" s="59"/>
    </row>
    <row r="81" ht="15.75" customHeight="1">
      <c r="A81" s="35">
        <v>19.0</v>
      </c>
      <c r="B81" s="35" t="s">
        <v>100</v>
      </c>
      <c r="C81" s="35" t="s">
        <v>278</v>
      </c>
      <c r="D81" s="35">
        <v>2.0</v>
      </c>
      <c r="E81" s="33">
        <v>2.0</v>
      </c>
      <c r="F81" s="35">
        <f>'90186_2024'!$D81-'90186_2024'!$E81</f>
        <v>0</v>
      </c>
      <c r="G81" s="37">
        <v>20720.0</v>
      </c>
      <c r="H81" s="40">
        <f t="shared" si="2"/>
        <v>41440</v>
      </c>
      <c r="I81" s="35" t="s">
        <v>276</v>
      </c>
      <c r="J81" s="43" t="s">
        <v>502</v>
      </c>
      <c r="K81" s="44" t="s">
        <v>503</v>
      </c>
      <c r="L81" s="43" t="s">
        <v>504</v>
      </c>
      <c r="M81" s="44"/>
      <c r="N81" s="44"/>
      <c r="O81" s="44"/>
      <c r="P81" s="44"/>
      <c r="Q81" s="170" t="s">
        <v>415</v>
      </c>
      <c r="R81" s="44"/>
    </row>
    <row r="82" ht="15.75" customHeight="1">
      <c r="A82" s="52">
        <v>19.0</v>
      </c>
      <c r="B82" s="52" t="s">
        <v>100</v>
      </c>
      <c r="C82" s="52" t="s">
        <v>278</v>
      </c>
      <c r="D82" s="52">
        <v>1.0</v>
      </c>
      <c r="E82" s="52">
        <v>0.0</v>
      </c>
      <c r="F82" s="52">
        <f>'90186_2024'!$D82-'90186_2024'!$E82</f>
        <v>1</v>
      </c>
      <c r="G82" s="53">
        <v>20720.0</v>
      </c>
      <c r="H82" s="54">
        <f t="shared" si="2"/>
        <v>20720</v>
      </c>
      <c r="I82" s="52" t="s">
        <v>175</v>
      </c>
      <c r="J82" s="58" t="s">
        <v>502</v>
      </c>
      <c r="K82" s="59" t="s">
        <v>503</v>
      </c>
      <c r="L82" s="58" t="s">
        <v>504</v>
      </c>
      <c r="M82" s="59"/>
      <c r="N82" s="59"/>
      <c r="O82" s="59"/>
      <c r="P82" s="59"/>
      <c r="Q82" s="174" t="s">
        <v>415</v>
      </c>
      <c r="R82" s="59"/>
    </row>
    <row r="83" ht="15.75" customHeight="1">
      <c r="A83" s="35">
        <v>19.0</v>
      </c>
      <c r="B83" s="35" t="s">
        <v>100</v>
      </c>
      <c r="C83" s="35" t="s">
        <v>278</v>
      </c>
      <c r="D83" s="35">
        <v>5.0</v>
      </c>
      <c r="E83" s="35">
        <v>0.0</v>
      </c>
      <c r="F83" s="35">
        <f>'90186_2024'!$D83-'90186_2024'!$E83</f>
        <v>5</v>
      </c>
      <c r="G83" s="37">
        <v>20720.0</v>
      </c>
      <c r="H83" s="40">
        <f t="shared" si="2"/>
        <v>103600</v>
      </c>
      <c r="I83" s="35" t="s">
        <v>160</v>
      </c>
      <c r="J83" s="43" t="s">
        <v>502</v>
      </c>
      <c r="K83" s="44" t="s">
        <v>503</v>
      </c>
      <c r="L83" s="43" t="s">
        <v>504</v>
      </c>
      <c r="M83" s="44"/>
      <c r="N83" s="44"/>
      <c r="O83" s="44"/>
      <c r="P83" s="44"/>
      <c r="Q83" s="170" t="s">
        <v>415</v>
      </c>
      <c r="R83" s="44"/>
    </row>
    <row r="84" ht="15.75" customHeight="1">
      <c r="A84" s="52">
        <v>19.0</v>
      </c>
      <c r="B84" s="52" t="s">
        <v>100</v>
      </c>
      <c r="C84" s="52" t="s">
        <v>278</v>
      </c>
      <c r="D84" s="52">
        <v>1.0</v>
      </c>
      <c r="E84" s="52">
        <v>0.0</v>
      </c>
      <c r="F84" s="52">
        <f>'90186_2024'!$D84-'90186_2024'!$E84</f>
        <v>1</v>
      </c>
      <c r="G84" s="54">
        <v>17979.0</v>
      </c>
      <c r="H84" s="54">
        <f t="shared" si="2"/>
        <v>17979</v>
      </c>
      <c r="I84" s="52" t="s">
        <v>196</v>
      </c>
      <c r="J84" s="58" t="s">
        <v>502</v>
      </c>
      <c r="K84" s="59" t="s">
        <v>503</v>
      </c>
      <c r="L84" s="58" t="s">
        <v>504</v>
      </c>
      <c r="M84" s="59"/>
      <c r="N84" s="59"/>
      <c r="O84" s="59"/>
      <c r="P84" s="59"/>
      <c r="Q84" s="174" t="s">
        <v>415</v>
      </c>
      <c r="R84" s="59"/>
    </row>
    <row r="85" ht="15.75" customHeight="1">
      <c r="A85" s="35">
        <v>19.0</v>
      </c>
      <c r="B85" s="35" t="s">
        <v>100</v>
      </c>
      <c r="C85" s="35" t="s">
        <v>278</v>
      </c>
      <c r="D85" s="35">
        <v>1.0</v>
      </c>
      <c r="E85" s="35">
        <v>0.0</v>
      </c>
      <c r="F85" s="35">
        <f>'90186_2024'!$D85-'90186_2024'!$E85</f>
        <v>1</v>
      </c>
      <c r="G85" s="37">
        <v>20720.0</v>
      </c>
      <c r="H85" s="40">
        <f t="shared" si="2"/>
        <v>20720</v>
      </c>
      <c r="I85" s="35" t="s">
        <v>161</v>
      </c>
      <c r="J85" s="43" t="s">
        <v>502</v>
      </c>
      <c r="K85" s="44" t="s">
        <v>503</v>
      </c>
      <c r="L85" s="43" t="s">
        <v>504</v>
      </c>
      <c r="M85" s="44"/>
      <c r="N85" s="44"/>
      <c r="O85" s="44"/>
      <c r="P85" s="44"/>
      <c r="Q85" s="170" t="s">
        <v>415</v>
      </c>
      <c r="R85" s="44"/>
    </row>
    <row r="86" ht="15.75" customHeight="1">
      <c r="A86" s="52">
        <v>19.0</v>
      </c>
      <c r="B86" s="52" t="s">
        <v>100</v>
      </c>
      <c r="C86" s="52" t="s">
        <v>278</v>
      </c>
      <c r="D86" s="49">
        <v>8.0</v>
      </c>
      <c r="E86" s="49">
        <v>1.0</v>
      </c>
      <c r="F86" s="52">
        <f>'90186_2024'!$D86-'90186_2024'!$E86</f>
        <v>7</v>
      </c>
      <c r="G86" s="53">
        <v>20720.0</v>
      </c>
      <c r="H86" s="54">
        <f t="shared" si="2"/>
        <v>165760</v>
      </c>
      <c r="I86" s="52" t="s">
        <v>189</v>
      </c>
      <c r="J86" s="58" t="s">
        <v>523</v>
      </c>
      <c r="K86" s="59" t="s">
        <v>503</v>
      </c>
      <c r="L86" s="58" t="s">
        <v>504</v>
      </c>
      <c r="M86" s="59"/>
      <c r="N86" s="59"/>
      <c r="O86" s="59"/>
      <c r="P86" s="59"/>
      <c r="Q86" s="174" t="s">
        <v>415</v>
      </c>
      <c r="R86" s="59"/>
    </row>
    <row r="87" ht="15.75" customHeight="1">
      <c r="A87" s="35">
        <v>19.0</v>
      </c>
      <c r="B87" s="35" t="s">
        <v>100</v>
      </c>
      <c r="C87" s="35" t="s">
        <v>278</v>
      </c>
      <c r="D87" s="35">
        <v>2.0</v>
      </c>
      <c r="E87" s="33">
        <v>2.0</v>
      </c>
      <c r="F87" s="35">
        <f>'90186_2024'!$D87-'90186_2024'!$E87</f>
        <v>0</v>
      </c>
      <c r="G87" s="37">
        <v>20720.0</v>
      </c>
      <c r="H87" s="40">
        <f t="shared" si="2"/>
        <v>41440</v>
      </c>
      <c r="I87" s="35" t="s">
        <v>192</v>
      </c>
      <c r="J87" s="43" t="s">
        <v>502</v>
      </c>
      <c r="K87" s="44" t="s">
        <v>503</v>
      </c>
      <c r="L87" s="43" t="s">
        <v>504</v>
      </c>
      <c r="M87" s="44"/>
      <c r="N87" s="44"/>
      <c r="O87" s="44"/>
      <c r="P87" s="44"/>
      <c r="Q87" s="170" t="s">
        <v>415</v>
      </c>
      <c r="R87" s="44"/>
    </row>
    <row r="88" ht="15.75" customHeight="1">
      <c r="A88" s="52">
        <v>19.0</v>
      </c>
      <c r="B88" s="52" t="s">
        <v>100</v>
      </c>
      <c r="C88" s="193" t="s">
        <v>278</v>
      </c>
      <c r="D88" s="193">
        <v>2.0</v>
      </c>
      <c r="E88" s="49">
        <v>1.0</v>
      </c>
      <c r="F88" s="193">
        <f>'90186_2024'!$D88-'90186_2024'!$E88</f>
        <v>1</v>
      </c>
      <c r="G88" s="53">
        <v>20720.0</v>
      </c>
      <c r="H88" s="54">
        <f t="shared" si="2"/>
        <v>41440</v>
      </c>
      <c r="I88" s="52" t="s">
        <v>210</v>
      </c>
      <c r="J88" s="58" t="s">
        <v>523</v>
      </c>
      <c r="K88" s="59" t="s">
        <v>503</v>
      </c>
      <c r="L88" s="58" t="s">
        <v>504</v>
      </c>
      <c r="M88" s="113"/>
      <c r="N88" s="113"/>
      <c r="O88" s="113"/>
      <c r="P88" s="113"/>
      <c r="Q88" s="174" t="s">
        <v>415</v>
      </c>
      <c r="R88" s="59"/>
    </row>
    <row r="89" ht="15.75" customHeight="1">
      <c r="A89" s="35">
        <v>20.0</v>
      </c>
      <c r="B89" s="35" t="s">
        <v>171</v>
      </c>
      <c r="C89" s="35" t="s">
        <v>368</v>
      </c>
      <c r="D89" s="35">
        <v>1.0</v>
      </c>
      <c r="E89" s="35">
        <v>0.0</v>
      </c>
      <c r="F89" s="35">
        <f>'90186_2024'!$D89-'90186_2024'!$E89</f>
        <v>1</v>
      </c>
      <c r="G89" s="40">
        <v>660000.0</v>
      </c>
      <c r="H89" s="40">
        <f t="shared" si="2"/>
        <v>660000</v>
      </c>
      <c r="I89" s="35" t="s">
        <v>58</v>
      </c>
      <c r="J89" s="44" t="s">
        <v>532</v>
      </c>
      <c r="K89" s="44" t="s">
        <v>370</v>
      </c>
      <c r="L89" s="44" t="s">
        <v>371</v>
      </c>
      <c r="M89" s="44"/>
      <c r="N89" s="44"/>
      <c r="O89" s="44"/>
      <c r="P89" s="44"/>
      <c r="Q89" s="149" t="s">
        <v>367</v>
      </c>
      <c r="R89" s="44"/>
      <c r="S89" s="155"/>
      <c r="T89" s="155"/>
      <c r="U89" s="155"/>
      <c r="V89" s="155"/>
      <c r="W89" s="155"/>
      <c r="X89" s="155"/>
      <c r="Y89" s="155"/>
      <c r="Z89" s="155"/>
    </row>
    <row r="90" ht="15.75" customHeight="1">
      <c r="A90" s="52">
        <v>20.0</v>
      </c>
      <c r="B90" s="52" t="s">
        <v>171</v>
      </c>
      <c r="C90" s="52" t="s">
        <v>368</v>
      </c>
      <c r="D90" s="52">
        <v>1.0</v>
      </c>
      <c r="E90" s="216">
        <v>1.0</v>
      </c>
      <c r="F90" s="52">
        <f>'90186_2024'!$D90-'90186_2024'!$E90</f>
        <v>0</v>
      </c>
      <c r="G90" s="54">
        <v>660000.0</v>
      </c>
      <c r="H90" s="54">
        <f t="shared" si="2"/>
        <v>660000</v>
      </c>
      <c r="I90" s="52" t="s">
        <v>89</v>
      </c>
      <c r="J90" s="59" t="s">
        <v>532</v>
      </c>
      <c r="K90" s="59" t="s">
        <v>370</v>
      </c>
      <c r="L90" s="59" t="s">
        <v>371</v>
      </c>
      <c r="M90" s="59"/>
      <c r="N90" s="59"/>
      <c r="O90" s="59"/>
      <c r="P90" s="59"/>
      <c r="Q90" s="151" t="s">
        <v>367</v>
      </c>
      <c r="R90" s="59"/>
      <c r="S90" s="155"/>
      <c r="T90" s="155"/>
      <c r="U90" s="155"/>
      <c r="V90" s="155"/>
      <c r="W90" s="155"/>
      <c r="X90" s="155"/>
      <c r="Y90" s="155"/>
      <c r="Z90" s="155"/>
    </row>
    <row r="91" ht="15.75" customHeight="1">
      <c r="A91" s="35">
        <v>20.0</v>
      </c>
      <c r="B91" s="35" t="s">
        <v>171</v>
      </c>
      <c r="C91" s="35" t="s">
        <v>368</v>
      </c>
      <c r="D91" s="35">
        <v>5.0</v>
      </c>
      <c r="E91" s="216">
        <v>3.0</v>
      </c>
      <c r="F91" s="35">
        <f>'90186_2024'!$D91-'90186_2024'!$E91</f>
        <v>2</v>
      </c>
      <c r="G91" s="40">
        <v>660000.0</v>
      </c>
      <c r="H91" s="40">
        <f t="shared" si="2"/>
        <v>3300000</v>
      </c>
      <c r="I91" s="35" t="s">
        <v>179</v>
      </c>
      <c r="J91" s="44" t="s">
        <v>532</v>
      </c>
      <c r="K91" s="44" t="s">
        <v>370</v>
      </c>
      <c r="L91" s="44" t="s">
        <v>371</v>
      </c>
      <c r="M91" s="44"/>
      <c r="N91" s="44"/>
      <c r="O91" s="44"/>
      <c r="P91" s="44"/>
      <c r="Q91" s="149" t="s">
        <v>367</v>
      </c>
      <c r="R91" s="44"/>
      <c r="S91" s="155"/>
      <c r="T91" s="155"/>
      <c r="U91" s="155"/>
      <c r="V91" s="155"/>
      <c r="W91" s="155"/>
      <c r="X91" s="155"/>
      <c r="Y91" s="155"/>
      <c r="Z91" s="155"/>
    </row>
    <row r="92" ht="15.75" customHeight="1">
      <c r="A92" s="52">
        <v>20.0</v>
      </c>
      <c r="B92" s="52" t="s">
        <v>171</v>
      </c>
      <c r="C92" s="52" t="s">
        <v>368</v>
      </c>
      <c r="D92" s="52">
        <v>1.0</v>
      </c>
      <c r="E92" s="52">
        <v>0.0</v>
      </c>
      <c r="F92" s="52">
        <f>'90186_2024'!$D92-'90186_2024'!$E92</f>
        <v>1</v>
      </c>
      <c r="G92" s="54">
        <v>660000.0</v>
      </c>
      <c r="H92" s="54">
        <f t="shared" si="2"/>
        <v>660000</v>
      </c>
      <c r="I92" s="52" t="s">
        <v>167</v>
      </c>
      <c r="J92" s="59" t="s">
        <v>532</v>
      </c>
      <c r="K92" s="59" t="s">
        <v>370</v>
      </c>
      <c r="L92" s="59" t="s">
        <v>371</v>
      </c>
      <c r="M92" s="59"/>
      <c r="N92" s="59"/>
      <c r="O92" s="59"/>
      <c r="P92" s="59"/>
      <c r="Q92" s="151" t="s">
        <v>367</v>
      </c>
      <c r="R92" s="59"/>
      <c r="S92" s="155"/>
      <c r="T92" s="155"/>
      <c r="U92" s="155"/>
      <c r="V92" s="155"/>
      <c r="W92" s="155"/>
      <c r="X92" s="155"/>
      <c r="Y92" s="155"/>
      <c r="Z92" s="155"/>
    </row>
    <row r="93" ht="15.75" customHeight="1">
      <c r="A93" s="35">
        <v>20.0</v>
      </c>
      <c r="B93" s="35" t="s">
        <v>171</v>
      </c>
      <c r="C93" s="35" t="s">
        <v>368</v>
      </c>
      <c r="D93" s="35">
        <v>3.0</v>
      </c>
      <c r="E93" s="33">
        <v>1.0</v>
      </c>
      <c r="F93" s="35">
        <f>'90186_2024'!$D93-'90186_2024'!$E93</f>
        <v>2</v>
      </c>
      <c r="G93" s="40">
        <v>660000.0</v>
      </c>
      <c r="H93" s="40">
        <f t="shared" si="2"/>
        <v>1980000</v>
      </c>
      <c r="I93" s="35" t="s">
        <v>221</v>
      </c>
      <c r="J93" s="44" t="s">
        <v>532</v>
      </c>
      <c r="K93" s="44" t="s">
        <v>370</v>
      </c>
      <c r="L93" s="44" t="s">
        <v>371</v>
      </c>
      <c r="M93" s="44"/>
      <c r="N93" s="44"/>
      <c r="O93" s="44"/>
      <c r="P93" s="44"/>
      <c r="Q93" s="149" t="s">
        <v>367</v>
      </c>
      <c r="R93" s="44"/>
      <c r="S93" s="155"/>
      <c r="T93" s="155"/>
      <c r="U93" s="155"/>
      <c r="V93" s="155"/>
      <c r="W93" s="155"/>
      <c r="X93" s="155"/>
      <c r="Y93" s="155"/>
      <c r="Z93" s="155"/>
    </row>
    <row r="94" ht="15.75" customHeight="1">
      <c r="A94" s="52">
        <v>20.0</v>
      </c>
      <c r="B94" s="52" t="s">
        <v>171</v>
      </c>
      <c r="C94" s="52" t="s">
        <v>368</v>
      </c>
      <c r="D94" s="52">
        <v>2.0</v>
      </c>
      <c r="E94" s="52">
        <v>0.0</v>
      </c>
      <c r="F94" s="52">
        <f>'90186_2024'!$D94-'90186_2024'!$E94</f>
        <v>2</v>
      </c>
      <c r="G94" s="54">
        <v>660000.0</v>
      </c>
      <c r="H94" s="54">
        <f t="shared" si="2"/>
        <v>1320000</v>
      </c>
      <c r="I94" s="52" t="s">
        <v>160</v>
      </c>
      <c r="J94" s="59" t="s">
        <v>532</v>
      </c>
      <c r="K94" s="59" t="s">
        <v>370</v>
      </c>
      <c r="L94" s="59" t="s">
        <v>371</v>
      </c>
      <c r="M94" s="59"/>
      <c r="N94" s="59"/>
      <c r="O94" s="59"/>
      <c r="P94" s="59"/>
      <c r="Q94" s="151" t="s">
        <v>367</v>
      </c>
      <c r="R94" s="59"/>
      <c r="S94" s="155"/>
      <c r="T94" s="155"/>
      <c r="U94" s="155"/>
      <c r="V94" s="155"/>
      <c r="W94" s="155"/>
      <c r="X94" s="155"/>
      <c r="Y94" s="155"/>
      <c r="Z94" s="155"/>
    </row>
    <row r="95" ht="15.75" customHeight="1">
      <c r="A95" s="35">
        <v>20.0</v>
      </c>
      <c r="B95" s="35" t="s">
        <v>171</v>
      </c>
      <c r="C95" s="35" t="s">
        <v>368</v>
      </c>
      <c r="D95" s="35">
        <v>2.0</v>
      </c>
      <c r="E95" s="228">
        <v>1.0</v>
      </c>
      <c r="F95" s="35">
        <f>'90186_2024'!$D95-'90186_2024'!$E95</f>
        <v>1</v>
      </c>
      <c r="G95" s="40">
        <v>660000.0</v>
      </c>
      <c r="H95" s="40">
        <f t="shared" si="2"/>
        <v>1320000</v>
      </c>
      <c r="I95" s="35" t="s">
        <v>272</v>
      </c>
      <c r="J95" s="44" t="s">
        <v>532</v>
      </c>
      <c r="K95" s="44" t="s">
        <v>370</v>
      </c>
      <c r="L95" s="44" t="s">
        <v>371</v>
      </c>
      <c r="M95" s="44"/>
      <c r="N95" s="44"/>
      <c r="O95" s="44"/>
      <c r="P95" s="44"/>
      <c r="Q95" s="149" t="s">
        <v>367</v>
      </c>
      <c r="R95" s="44"/>
      <c r="S95" s="155"/>
      <c r="T95" s="155"/>
      <c r="U95" s="155"/>
      <c r="V95" s="155"/>
      <c r="W95" s="155"/>
      <c r="X95" s="155"/>
      <c r="Y95" s="155"/>
      <c r="Z95" s="155"/>
    </row>
    <row r="96" ht="15.75" customHeight="1">
      <c r="A96" s="52">
        <v>20.0</v>
      </c>
      <c r="B96" s="52" t="s">
        <v>171</v>
      </c>
      <c r="C96" s="52" t="s">
        <v>368</v>
      </c>
      <c r="D96" s="52">
        <v>2.0</v>
      </c>
      <c r="E96" s="228">
        <v>1.0</v>
      </c>
      <c r="F96" s="52">
        <f>'90186_2024'!$D96-'90186_2024'!$E96</f>
        <v>1</v>
      </c>
      <c r="G96" s="54">
        <v>660000.0</v>
      </c>
      <c r="H96" s="54">
        <f t="shared" si="2"/>
        <v>1320000</v>
      </c>
      <c r="I96" s="52" t="s">
        <v>210</v>
      </c>
      <c r="J96" s="59" t="s">
        <v>532</v>
      </c>
      <c r="K96" s="59" t="s">
        <v>370</v>
      </c>
      <c r="L96" s="59" t="s">
        <v>371</v>
      </c>
      <c r="M96" s="59"/>
      <c r="N96" s="59"/>
      <c r="O96" s="59"/>
      <c r="P96" s="59"/>
      <c r="Q96" s="151" t="s">
        <v>367</v>
      </c>
      <c r="R96" s="59"/>
      <c r="S96" s="155"/>
      <c r="T96" s="155"/>
      <c r="U96" s="155"/>
      <c r="V96" s="155"/>
      <c r="W96" s="155"/>
      <c r="X96" s="155"/>
      <c r="Y96" s="155"/>
      <c r="Z96" s="155"/>
    </row>
    <row r="97" ht="15.75" customHeight="1">
      <c r="A97" s="35">
        <v>21.0</v>
      </c>
      <c r="B97" s="35" t="s">
        <v>148</v>
      </c>
      <c r="C97" s="35" t="s">
        <v>482</v>
      </c>
      <c r="D97" s="35">
        <v>40.0</v>
      </c>
      <c r="E97" s="35">
        <v>0.0</v>
      </c>
      <c r="F97" s="35">
        <f>'90186_2024'!$D97-'90186_2024'!$E97</f>
        <v>40</v>
      </c>
      <c r="G97" s="40">
        <v>30980.0</v>
      </c>
      <c r="H97" s="40">
        <f t="shared" si="2"/>
        <v>1239200</v>
      </c>
      <c r="I97" s="35" t="s">
        <v>189</v>
      </c>
      <c r="J97" s="44" t="s">
        <v>550</v>
      </c>
      <c r="K97" s="44" t="s">
        <v>551</v>
      </c>
      <c r="L97" s="44" t="s">
        <v>552</v>
      </c>
      <c r="M97" s="44"/>
      <c r="N97" s="44"/>
      <c r="O97" s="44"/>
      <c r="P97" s="44"/>
      <c r="Q97" s="149" t="s">
        <v>367</v>
      </c>
      <c r="R97" s="44"/>
      <c r="S97" s="155"/>
      <c r="T97" s="155"/>
      <c r="U97" s="155"/>
      <c r="V97" s="155"/>
      <c r="W97" s="155"/>
      <c r="X97" s="155"/>
      <c r="Y97" s="155"/>
      <c r="Z97" s="155"/>
    </row>
    <row r="98" ht="15.75" customHeight="1">
      <c r="A98" s="52">
        <v>22.0</v>
      </c>
      <c r="B98" s="52" t="s">
        <v>176</v>
      </c>
      <c r="C98" s="52" t="s">
        <v>399</v>
      </c>
      <c r="D98" s="52">
        <v>1.0</v>
      </c>
      <c r="E98" s="52">
        <v>0.0</v>
      </c>
      <c r="F98" s="52">
        <f>'90186_2024'!$D98-'90186_2024'!$E98</f>
        <v>1</v>
      </c>
      <c r="G98" s="54">
        <v>935000.0</v>
      </c>
      <c r="H98" s="54">
        <f t="shared" si="2"/>
        <v>935000</v>
      </c>
      <c r="I98" s="52" t="s">
        <v>286</v>
      </c>
      <c r="J98" s="59" t="s">
        <v>555</v>
      </c>
      <c r="K98" s="59" t="s">
        <v>556</v>
      </c>
      <c r="L98" s="59" t="s">
        <v>300</v>
      </c>
      <c r="M98" s="59"/>
      <c r="N98" s="59"/>
      <c r="O98" s="59"/>
      <c r="P98" s="59"/>
      <c r="Q98" s="151" t="s">
        <v>367</v>
      </c>
      <c r="R98" s="59"/>
      <c r="S98" s="155"/>
      <c r="T98" s="155"/>
      <c r="U98" s="155"/>
      <c r="V98" s="155"/>
      <c r="W98" s="155"/>
      <c r="X98" s="155"/>
      <c r="Y98" s="155"/>
      <c r="Z98" s="155"/>
    </row>
    <row r="99" ht="15.75" customHeight="1">
      <c r="A99" s="35">
        <v>22.0</v>
      </c>
      <c r="B99" s="35" t="s">
        <v>176</v>
      </c>
      <c r="C99" s="35" t="s">
        <v>399</v>
      </c>
      <c r="D99" s="35">
        <v>1.0</v>
      </c>
      <c r="E99" s="228">
        <v>1.0</v>
      </c>
      <c r="F99" s="35">
        <f>'90186_2024'!$D99-'90186_2024'!$E99</f>
        <v>0</v>
      </c>
      <c r="G99" s="40">
        <v>935000.0</v>
      </c>
      <c r="H99" s="40">
        <f t="shared" si="2"/>
        <v>935000</v>
      </c>
      <c r="I99" s="35" t="s">
        <v>142</v>
      </c>
      <c r="J99" s="44" t="s">
        <v>555</v>
      </c>
      <c r="K99" s="44" t="s">
        <v>556</v>
      </c>
      <c r="L99" s="44" t="s">
        <v>300</v>
      </c>
      <c r="M99" s="44"/>
      <c r="N99" s="44"/>
      <c r="O99" s="44"/>
      <c r="P99" s="44"/>
      <c r="Q99" s="149" t="s">
        <v>367</v>
      </c>
      <c r="R99" s="44"/>
      <c r="S99" s="155"/>
      <c r="T99" s="155"/>
      <c r="U99" s="155"/>
      <c r="V99" s="155"/>
      <c r="W99" s="155"/>
      <c r="X99" s="155"/>
      <c r="Y99" s="155"/>
      <c r="Z99" s="155"/>
    </row>
    <row r="100" ht="15.75" customHeight="1">
      <c r="A100" s="52">
        <v>22.0</v>
      </c>
      <c r="B100" s="52" t="s">
        <v>176</v>
      </c>
      <c r="C100" s="52" t="s">
        <v>399</v>
      </c>
      <c r="D100" s="52">
        <v>2.0</v>
      </c>
      <c r="E100" s="228">
        <v>2.0</v>
      </c>
      <c r="F100" s="52">
        <f>'90186_2024'!$D100-'90186_2024'!$E100</f>
        <v>0</v>
      </c>
      <c r="G100" s="54">
        <v>935000.0</v>
      </c>
      <c r="H100" s="54">
        <f t="shared" si="2"/>
        <v>1870000</v>
      </c>
      <c r="I100" s="52" t="s">
        <v>179</v>
      </c>
      <c r="J100" s="59" t="s">
        <v>555</v>
      </c>
      <c r="K100" s="59" t="s">
        <v>556</v>
      </c>
      <c r="L100" s="59" t="s">
        <v>300</v>
      </c>
      <c r="M100" s="59"/>
      <c r="N100" s="59"/>
      <c r="O100" s="59"/>
      <c r="P100" s="59"/>
      <c r="Q100" s="151" t="s">
        <v>367</v>
      </c>
      <c r="R100" s="59"/>
      <c r="S100" s="155"/>
      <c r="T100" s="155"/>
      <c r="U100" s="155"/>
      <c r="V100" s="155"/>
      <c r="W100" s="155"/>
      <c r="X100" s="155"/>
      <c r="Y100" s="155"/>
      <c r="Z100" s="155"/>
    </row>
    <row r="101" ht="15.75" customHeight="1">
      <c r="A101" s="35">
        <v>22.0</v>
      </c>
      <c r="B101" s="35" t="s">
        <v>176</v>
      </c>
      <c r="C101" s="35" t="s">
        <v>399</v>
      </c>
      <c r="D101" s="35">
        <v>1.0</v>
      </c>
      <c r="E101" s="216">
        <v>1.0</v>
      </c>
      <c r="F101" s="35">
        <f>'90186_2024'!$D101-'90186_2024'!$E101</f>
        <v>0</v>
      </c>
      <c r="G101" s="40">
        <v>935000.0</v>
      </c>
      <c r="H101" s="40">
        <f t="shared" si="2"/>
        <v>935000</v>
      </c>
      <c r="I101" s="35" t="s">
        <v>111</v>
      </c>
      <c r="J101" s="44" t="s">
        <v>555</v>
      </c>
      <c r="K101" s="44" t="s">
        <v>556</v>
      </c>
      <c r="L101" s="44" t="s">
        <v>300</v>
      </c>
      <c r="M101" s="44"/>
      <c r="N101" s="44"/>
      <c r="O101" s="44"/>
      <c r="P101" s="44"/>
      <c r="Q101" s="149" t="s">
        <v>367</v>
      </c>
      <c r="R101" s="44"/>
      <c r="S101" s="155"/>
      <c r="T101" s="155"/>
      <c r="U101" s="155"/>
      <c r="V101" s="155"/>
      <c r="W101" s="155"/>
      <c r="X101" s="155"/>
      <c r="Y101" s="155"/>
      <c r="Z101" s="155"/>
    </row>
    <row r="102" ht="15.75" customHeight="1">
      <c r="A102" s="52">
        <v>22.0</v>
      </c>
      <c r="B102" s="52" t="s">
        <v>176</v>
      </c>
      <c r="C102" s="52" t="s">
        <v>399</v>
      </c>
      <c r="D102" s="52">
        <v>4.0</v>
      </c>
      <c r="E102" s="216">
        <v>4.0</v>
      </c>
      <c r="F102" s="52">
        <f>'90186_2024'!$D102-'90186_2024'!$E102</f>
        <v>0</v>
      </c>
      <c r="G102" s="54">
        <v>935000.0</v>
      </c>
      <c r="H102" s="54">
        <f t="shared" si="2"/>
        <v>3740000</v>
      </c>
      <c r="I102" s="52" t="s">
        <v>221</v>
      </c>
      <c r="J102" s="59" t="s">
        <v>555</v>
      </c>
      <c r="K102" s="59" t="s">
        <v>556</v>
      </c>
      <c r="L102" s="59" t="s">
        <v>300</v>
      </c>
      <c r="M102" s="59"/>
      <c r="N102" s="59"/>
      <c r="O102" s="59"/>
      <c r="P102" s="59"/>
      <c r="Q102" s="151" t="s">
        <v>367</v>
      </c>
      <c r="R102" s="59"/>
      <c r="S102" s="155"/>
      <c r="T102" s="155"/>
      <c r="U102" s="155"/>
      <c r="V102" s="155"/>
      <c r="W102" s="155"/>
      <c r="X102" s="155"/>
      <c r="Y102" s="155"/>
      <c r="Z102" s="155"/>
    </row>
    <row r="103" ht="15.75" customHeight="1">
      <c r="A103" s="35">
        <v>22.0</v>
      </c>
      <c r="B103" s="35" t="s">
        <v>176</v>
      </c>
      <c r="C103" s="35" t="s">
        <v>399</v>
      </c>
      <c r="D103" s="35">
        <v>1.0</v>
      </c>
      <c r="E103" s="35">
        <v>0.0</v>
      </c>
      <c r="F103" s="35">
        <f>'90186_2024'!$D103-'90186_2024'!$E103</f>
        <v>1</v>
      </c>
      <c r="G103" s="40">
        <v>935000.0</v>
      </c>
      <c r="H103" s="40">
        <f t="shared" si="2"/>
        <v>935000</v>
      </c>
      <c r="I103" s="35" t="s">
        <v>175</v>
      </c>
      <c r="J103" s="44" t="s">
        <v>555</v>
      </c>
      <c r="K103" s="44" t="s">
        <v>556</v>
      </c>
      <c r="L103" s="44" t="s">
        <v>300</v>
      </c>
      <c r="M103" s="44"/>
      <c r="N103" s="44"/>
      <c r="O103" s="44"/>
      <c r="P103" s="44"/>
      <c r="Q103" s="149" t="s">
        <v>367</v>
      </c>
      <c r="R103" s="44"/>
      <c r="S103" s="155"/>
      <c r="T103" s="155"/>
      <c r="U103" s="155"/>
      <c r="V103" s="155"/>
      <c r="W103" s="155"/>
      <c r="X103" s="155"/>
      <c r="Y103" s="155"/>
      <c r="Z103" s="155"/>
    </row>
    <row r="104" ht="15.75" customHeight="1">
      <c r="A104" s="52">
        <v>22.0</v>
      </c>
      <c r="B104" s="52" t="s">
        <v>176</v>
      </c>
      <c r="C104" s="52" t="s">
        <v>399</v>
      </c>
      <c r="D104" s="52">
        <v>1.0</v>
      </c>
      <c r="E104" s="52">
        <v>0.0</v>
      </c>
      <c r="F104" s="52">
        <f>'90186_2024'!$D104-'90186_2024'!$E104</f>
        <v>1</v>
      </c>
      <c r="G104" s="54">
        <v>935000.0</v>
      </c>
      <c r="H104" s="54">
        <f t="shared" si="2"/>
        <v>935000</v>
      </c>
      <c r="I104" s="52" t="s">
        <v>201</v>
      </c>
      <c r="J104" s="59" t="s">
        <v>555</v>
      </c>
      <c r="K104" s="59" t="s">
        <v>556</v>
      </c>
      <c r="L104" s="59" t="s">
        <v>300</v>
      </c>
      <c r="M104" s="59"/>
      <c r="N104" s="59"/>
      <c r="O104" s="59"/>
      <c r="P104" s="59"/>
      <c r="Q104" s="151" t="s">
        <v>367</v>
      </c>
      <c r="R104" s="59"/>
      <c r="S104" s="155"/>
      <c r="T104" s="155"/>
      <c r="U104" s="155"/>
      <c r="V104" s="155"/>
      <c r="W104" s="155"/>
      <c r="X104" s="155"/>
      <c r="Y104" s="155"/>
      <c r="Z104" s="155"/>
    </row>
    <row r="105" ht="15.75" customHeight="1">
      <c r="A105" s="35">
        <v>22.0</v>
      </c>
      <c r="B105" s="35" t="s">
        <v>176</v>
      </c>
      <c r="C105" s="35" t="s">
        <v>399</v>
      </c>
      <c r="D105" s="35">
        <v>2.0</v>
      </c>
      <c r="E105" s="35">
        <v>0.0</v>
      </c>
      <c r="F105" s="35">
        <f>'90186_2024'!$D105-'90186_2024'!$E105</f>
        <v>2</v>
      </c>
      <c r="G105" s="40">
        <v>935000.0</v>
      </c>
      <c r="H105" s="40">
        <f t="shared" si="2"/>
        <v>1870000</v>
      </c>
      <c r="I105" s="35" t="s">
        <v>192</v>
      </c>
      <c r="J105" s="44" t="s">
        <v>555</v>
      </c>
      <c r="K105" s="44" t="s">
        <v>556</v>
      </c>
      <c r="L105" s="44" t="s">
        <v>300</v>
      </c>
      <c r="M105" s="44"/>
      <c r="N105" s="44"/>
      <c r="O105" s="44"/>
      <c r="P105" s="44"/>
      <c r="Q105" s="149" t="s">
        <v>367</v>
      </c>
      <c r="R105" s="44"/>
      <c r="S105" s="155"/>
      <c r="T105" s="155"/>
      <c r="U105" s="155"/>
      <c r="V105" s="155"/>
      <c r="W105" s="155"/>
      <c r="X105" s="155"/>
      <c r="Y105" s="155"/>
      <c r="Z105" s="155"/>
    </row>
    <row r="106" ht="15.75" customHeight="1">
      <c r="A106" s="52">
        <v>22.0</v>
      </c>
      <c r="B106" s="52" t="s">
        <v>176</v>
      </c>
      <c r="C106" s="52" t="s">
        <v>399</v>
      </c>
      <c r="D106" s="52">
        <v>2.0</v>
      </c>
      <c r="E106" s="52">
        <v>0.0</v>
      </c>
      <c r="F106" s="52">
        <f>'90186_2024'!$D106-'90186_2024'!$E106</f>
        <v>2</v>
      </c>
      <c r="G106" s="54">
        <v>935000.0</v>
      </c>
      <c r="H106" s="54">
        <f t="shared" si="2"/>
        <v>1870000</v>
      </c>
      <c r="I106" s="52" t="s">
        <v>582</v>
      </c>
      <c r="J106" s="59" t="s">
        <v>555</v>
      </c>
      <c r="K106" s="59" t="s">
        <v>556</v>
      </c>
      <c r="L106" s="59" t="s">
        <v>300</v>
      </c>
      <c r="M106" s="59"/>
      <c r="N106" s="59"/>
      <c r="O106" s="59"/>
      <c r="P106" s="59"/>
      <c r="Q106" s="151" t="s">
        <v>367</v>
      </c>
      <c r="R106" s="59"/>
      <c r="S106" s="155"/>
      <c r="T106" s="155"/>
      <c r="U106" s="155"/>
      <c r="V106" s="155"/>
      <c r="W106" s="155"/>
      <c r="X106" s="155"/>
      <c r="Y106" s="155"/>
      <c r="Z106" s="155"/>
    </row>
    <row r="107" ht="15.75" customHeight="1">
      <c r="A107" s="215">
        <v>23.0</v>
      </c>
      <c r="B107" s="206" t="s">
        <v>162</v>
      </c>
      <c r="C107" s="212" t="s">
        <v>583</v>
      </c>
      <c r="D107" s="212">
        <v>1.0</v>
      </c>
      <c r="E107" s="206">
        <v>0.0</v>
      </c>
      <c r="F107" s="212">
        <f>'90186_2024'!$D107-'90186_2024'!$E107</f>
        <v>1</v>
      </c>
      <c r="G107" s="229">
        <v>1664000.0</v>
      </c>
      <c r="H107" s="208">
        <f t="shared" si="2"/>
        <v>1664000</v>
      </c>
      <c r="I107" s="206" t="s">
        <v>189</v>
      </c>
      <c r="J107" s="213" t="s">
        <v>584</v>
      </c>
      <c r="K107" s="213" t="s">
        <v>585</v>
      </c>
      <c r="L107" s="122" t="s">
        <v>586</v>
      </c>
      <c r="M107" s="213"/>
      <c r="N107" s="213"/>
      <c r="O107" s="213"/>
      <c r="P107" s="230">
        <v>45975.0</v>
      </c>
      <c r="Q107" s="210" t="s">
        <v>367</v>
      </c>
      <c r="R107" s="123"/>
      <c r="S107" s="211"/>
      <c r="T107" s="211"/>
      <c r="U107" s="211"/>
      <c r="V107" s="211"/>
      <c r="W107" s="211"/>
      <c r="X107" s="211"/>
      <c r="Y107" s="211"/>
      <c r="Z107" s="211"/>
    </row>
    <row r="108" ht="15.75" customHeight="1">
      <c r="A108" s="52">
        <v>24.0</v>
      </c>
      <c r="B108" s="52" t="s">
        <v>151</v>
      </c>
      <c r="C108" s="52" t="s">
        <v>419</v>
      </c>
      <c r="D108" s="52">
        <v>2.0</v>
      </c>
      <c r="E108" s="228">
        <v>2.0</v>
      </c>
      <c r="F108" s="52">
        <f>'90186_2024'!$D108-'90186_2024'!$E108</f>
        <v>0</v>
      </c>
      <c r="G108" s="54">
        <v>208646.0</v>
      </c>
      <c r="H108" s="54">
        <f t="shared" si="2"/>
        <v>417292</v>
      </c>
      <c r="I108" s="52" t="s">
        <v>134</v>
      </c>
      <c r="J108" s="59" t="s">
        <v>588</v>
      </c>
      <c r="K108" s="59" t="s">
        <v>589</v>
      </c>
      <c r="L108" s="59" t="s">
        <v>184</v>
      </c>
      <c r="M108" s="59"/>
      <c r="N108" s="59"/>
      <c r="O108" s="59"/>
      <c r="P108" s="59"/>
      <c r="Q108" s="151" t="s">
        <v>367</v>
      </c>
      <c r="R108" s="59"/>
      <c r="S108" s="155"/>
      <c r="T108" s="155"/>
      <c r="U108" s="155"/>
      <c r="V108" s="155"/>
      <c r="W108" s="155"/>
      <c r="X108" s="155"/>
      <c r="Y108" s="155"/>
      <c r="Z108" s="155"/>
    </row>
    <row r="109" ht="15.75" customHeight="1">
      <c r="A109" s="35">
        <v>24.0</v>
      </c>
      <c r="B109" s="35" t="s">
        <v>151</v>
      </c>
      <c r="C109" s="35" t="s">
        <v>419</v>
      </c>
      <c r="D109" s="35">
        <v>2.0</v>
      </c>
      <c r="E109" s="228">
        <v>2.0</v>
      </c>
      <c r="F109" s="35">
        <f>'90186_2024'!$D109-'90186_2024'!$E109</f>
        <v>0</v>
      </c>
      <c r="G109" s="40">
        <v>208646.0</v>
      </c>
      <c r="H109" s="40">
        <f t="shared" si="2"/>
        <v>417292</v>
      </c>
      <c r="I109" s="35" t="s">
        <v>179</v>
      </c>
      <c r="J109" s="44" t="s">
        <v>588</v>
      </c>
      <c r="K109" s="44" t="s">
        <v>589</v>
      </c>
      <c r="L109" s="44" t="s">
        <v>184</v>
      </c>
      <c r="M109" s="44"/>
      <c r="N109" s="44"/>
      <c r="O109" s="44"/>
      <c r="P109" s="44"/>
      <c r="Q109" s="149" t="s">
        <v>367</v>
      </c>
      <c r="R109" s="44"/>
      <c r="S109" s="155"/>
      <c r="T109" s="155"/>
      <c r="U109" s="155"/>
      <c r="V109" s="155"/>
      <c r="W109" s="155"/>
      <c r="X109" s="155"/>
      <c r="Y109" s="155"/>
      <c r="Z109" s="155"/>
    </row>
    <row r="110" ht="15.75" customHeight="1">
      <c r="A110" s="52">
        <v>24.0</v>
      </c>
      <c r="B110" s="52" t="s">
        <v>151</v>
      </c>
      <c r="C110" s="52" t="s">
        <v>419</v>
      </c>
      <c r="D110" s="52">
        <v>10.0</v>
      </c>
      <c r="E110" s="216">
        <v>10.0</v>
      </c>
      <c r="F110" s="52">
        <f>'90186_2024'!$D110-'90186_2024'!$E110</f>
        <v>0</v>
      </c>
      <c r="G110" s="54">
        <v>208646.0</v>
      </c>
      <c r="H110" s="54">
        <f t="shared" si="2"/>
        <v>2086460</v>
      </c>
      <c r="I110" s="52" t="s">
        <v>167</v>
      </c>
      <c r="J110" s="59" t="s">
        <v>588</v>
      </c>
      <c r="K110" s="59" t="s">
        <v>589</v>
      </c>
      <c r="L110" s="59" t="s">
        <v>184</v>
      </c>
      <c r="M110" s="59"/>
      <c r="N110" s="59"/>
      <c r="O110" s="59"/>
      <c r="P110" s="59"/>
      <c r="Q110" s="151" t="s">
        <v>367</v>
      </c>
      <c r="R110" s="59"/>
      <c r="S110" s="155"/>
      <c r="T110" s="155"/>
      <c r="U110" s="155"/>
      <c r="V110" s="155"/>
      <c r="W110" s="155"/>
      <c r="X110" s="155"/>
      <c r="Y110" s="155"/>
      <c r="Z110" s="155"/>
    </row>
    <row r="111" ht="15.75" customHeight="1">
      <c r="A111" s="35">
        <v>24.0</v>
      </c>
      <c r="B111" s="35" t="s">
        <v>151</v>
      </c>
      <c r="C111" s="35" t="s">
        <v>419</v>
      </c>
      <c r="D111" s="35">
        <v>5.0</v>
      </c>
      <c r="E111" s="216">
        <v>5.0</v>
      </c>
      <c r="F111" s="35">
        <f>'90186_2024'!$D111-'90186_2024'!$E111</f>
        <v>0</v>
      </c>
      <c r="G111" s="40">
        <v>208646.0</v>
      </c>
      <c r="H111" s="40">
        <f t="shared" si="2"/>
        <v>1043230</v>
      </c>
      <c r="I111" s="35" t="s">
        <v>202</v>
      </c>
      <c r="J111" s="44" t="s">
        <v>588</v>
      </c>
      <c r="K111" s="44" t="s">
        <v>589</v>
      </c>
      <c r="L111" s="44" t="s">
        <v>184</v>
      </c>
      <c r="M111" s="44"/>
      <c r="N111" s="44"/>
      <c r="O111" s="44"/>
      <c r="P111" s="44"/>
      <c r="Q111" s="149" t="s">
        <v>367</v>
      </c>
      <c r="R111" s="44"/>
      <c r="S111" s="155"/>
      <c r="T111" s="155"/>
      <c r="U111" s="155"/>
      <c r="V111" s="155"/>
      <c r="W111" s="155"/>
      <c r="X111" s="155"/>
      <c r="Y111" s="155"/>
      <c r="Z111" s="155"/>
    </row>
    <row r="112" ht="15.75" customHeight="1">
      <c r="A112" s="52">
        <v>24.0</v>
      </c>
      <c r="B112" s="52" t="s">
        <v>151</v>
      </c>
      <c r="C112" s="52" t="s">
        <v>419</v>
      </c>
      <c r="D112" s="52">
        <v>6.0</v>
      </c>
      <c r="E112" s="216">
        <v>6.0</v>
      </c>
      <c r="F112" s="52">
        <f>'90186_2024'!$D112-'90186_2024'!$E112</f>
        <v>0</v>
      </c>
      <c r="G112" s="54">
        <v>208646.0</v>
      </c>
      <c r="H112" s="54">
        <f t="shared" si="2"/>
        <v>1251876</v>
      </c>
      <c r="I112" s="52" t="s">
        <v>111</v>
      </c>
      <c r="J112" s="59" t="s">
        <v>588</v>
      </c>
      <c r="K112" s="59" t="s">
        <v>589</v>
      </c>
      <c r="L112" s="59" t="s">
        <v>184</v>
      </c>
      <c r="M112" s="59"/>
      <c r="N112" s="59"/>
      <c r="O112" s="59"/>
      <c r="P112" s="59"/>
      <c r="Q112" s="151" t="s">
        <v>367</v>
      </c>
      <c r="R112" s="59"/>
      <c r="S112" s="155"/>
      <c r="T112" s="155"/>
      <c r="U112" s="155"/>
      <c r="V112" s="155"/>
      <c r="W112" s="155"/>
      <c r="X112" s="155"/>
      <c r="Y112" s="155"/>
      <c r="Z112" s="155"/>
    </row>
    <row r="113" ht="15.75" customHeight="1">
      <c r="A113" s="35">
        <v>24.0</v>
      </c>
      <c r="B113" s="35" t="s">
        <v>151</v>
      </c>
      <c r="C113" s="35" t="s">
        <v>419</v>
      </c>
      <c r="D113" s="35">
        <v>6.0</v>
      </c>
      <c r="E113" s="216">
        <v>6.0</v>
      </c>
      <c r="F113" s="35">
        <f>'90186_2024'!$D113-'90186_2024'!$E113</f>
        <v>0</v>
      </c>
      <c r="G113" s="40">
        <v>208646.0</v>
      </c>
      <c r="H113" s="40">
        <f t="shared" si="2"/>
        <v>1251876</v>
      </c>
      <c r="I113" s="35" t="s">
        <v>221</v>
      </c>
      <c r="J113" s="44" t="s">
        <v>588</v>
      </c>
      <c r="K113" s="44" t="s">
        <v>589</v>
      </c>
      <c r="L113" s="44" t="s">
        <v>184</v>
      </c>
      <c r="M113" s="44"/>
      <c r="N113" s="44"/>
      <c r="O113" s="44"/>
      <c r="P113" s="44"/>
      <c r="Q113" s="149" t="s">
        <v>367</v>
      </c>
      <c r="R113" s="44"/>
      <c r="S113" s="155"/>
      <c r="T113" s="155"/>
      <c r="U113" s="155"/>
      <c r="V113" s="155"/>
      <c r="W113" s="155"/>
      <c r="X113" s="155"/>
      <c r="Y113" s="155"/>
      <c r="Z113" s="155"/>
    </row>
    <row r="114" ht="15.75" customHeight="1">
      <c r="A114" s="52">
        <v>24.0</v>
      </c>
      <c r="B114" s="52" t="s">
        <v>151</v>
      </c>
      <c r="C114" s="52" t="s">
        <v>419</v>
      </c>
      <c r="D114" s="52">
        <v>2.0</v>
      </c>
      <c r="E114" s="216">
        <v>2.0</v>
      </c>
      <c r="F114" s="52">
        <f>'90186_2024'!$D114-'90186_2024'!$E114</f>
        <v>0</v>
      </c>
      <c r="G114" s="54">
        <v>208646.0</v>
      </c>
      <c r="H114" s="54">
        <f t="shared" si="2"/>
        <v>417292</v>
      </c>
      <c r="I114" s="52" t="s">
        <v>191</v>
      </c>
      <c r="J114" s="59" t="s">
        <v>588</v>
      </c>
      <c r="K114" s="59" t="s">
        <v>589</v>
      </c>
      <c r="L114" s="59" t="s">
        <v>184</v>
      </c>
      <c r="M114" s="59"/>
      <c r="N114" s="59"/>
      <c r="O114" s="59"/>
      <c r="P114" s="59"/>
      <c r="Q114" s="151" t="s">
        <v>367</v>
      </c>
      <c r="R114" s="59"/>
      <c r="S114" s="155"/>
      <c r="T114" s="155"/>
      <c r="U114" s="155"/>
      <c r="V114" s="155"/>
      <c r="W114" s="155"/>
      <c r="X114" s="155"/>
      <c r="Y114" s="155"/>
      <c r="Z114" s="155"/>
    </row>
    <row r="115" ht="15.75" customHeight="1">
      <c r="A115" s="35">
        <v>24.0</v>
      </c>
      <c r="B115" s="35" t="s">
        <v>151</v>
      </c>
      <c r="C115" s="35" t="s">
        <v>419</v>
      </c>
      <c r="D115" s="35">
        <v>1.0</v>
      </c>
      <c r="E115" s="33">
        <v>1.0</v>
      </c>
      <c r="F115" s="35">
        <f>'90186_2024'!$D115-'90186_2024'!$E115</f>
        <v>0</v>
      </c>
      <c r="G115" s="40">
        <v>208646.0</v>
      </c>
      <c r="H115" s="40">
        <f t="shared" si="2"/>
        <v>208646</v>
      </c>
      <c r="I115" s="35" t="s">
        <v>582</v>
      </c>
      <c r="J115" s="44" t="s">
        <v>588</v>
      </c>
      <c r="K115" s="44" t="s">
        <v>589</v>
      </c>
      <c r="L115" s="44" t="s">
        <v>184</v>
      </c>
      <c r="M115" s="44"/>
      <c r="N115" s="44"/>
      <c r="O115" s="44"/>
      <c r="P115" s="44"/>
      <c r="Q115" s="149" t="s">
        <v>367</v>
      </c>
      <c r="R115" s="44"/>
      <c r="S115" s="155"/>
      <c r="T115" s="155"/>
      <c r="U115" s="155"/>
      <c r="V115" s="155"/>
      <c r="W115" s="155"/>
      <c r="X115" s="155"/>
      <c r="Y115" s="155"/>
      <c r="Z115" s="155"/>
    </row>
    <row r="116" ht="15.75" customHeight="1">
      <c r="A116" s="206">
        <v>25.0</v>
      </c>
      <c r="B116" s="206" t="s">
        <v>63</v>
      </c>
      <c r="C116" s="206" t="s">
        <v>224</v>
      </c>
      <c r="D116" s="206">
        <v>3.0</v>
      </c>
      <c r="E116" s="207">
        <v>3.0</v>
      </c>
      <c r="F116" s="206">
        <f>'90186_2024'!$D116-'90186_2024'!$E116</f>
        <v>0</v>
      </c>
      <c r="G116" s="208">
        <v>126880.0</v>
      </c>
      <c r="H116" s="208">
        <f t="shared" si="2"/>
        <v>380640</v>
      </c>
      <c r="I116" s="206" t="s">
        <v>402</v>
      </c>
      <c r="J116" s="123" t="s">
        <v>596</v>
      </c>
      <c r="K116" s="123" t="s">
        <v>597</v>
      </c>
      <c r="L116" s="112" t="s">
        <v>487</v>
      </c>
      <c r="M116" s="123"/>
      <c r="N116" s="123"/>
      <c r="O116" s="123"/>
      <c r="P116" s="123"/>
      <c r="Q116" s="210" t="s">
        <v>367</v>
      </c>
      <c r="R116" s="123"/>
      <c r="S116" s="214"/>
      <c r="T116" s="214"/>
      <c r="U116" s="214"/>
      <c r="V116" s="214"/>
      <c r="W116" s="214"/>
      <c r="X116" s="214"/>
      <c r="Y116" s="214"/>
      <c r="Z116" s="214"/>
    </row>
    <row r="117" ht="15.75" customHeight="1">
      <c r="A117" s="35">
        <v>26.0</v>
      </c>
      <c r="B117" s="35" t="s">
        <v>78</v>
      </c>
      <c r="C117" s="35" t="s">
        <v>239</v>
      </c>
      <c r="D117" s="35">
        <v>2.0</v>
      </c>
      <c r="E117" s="33">
        <v>1.0</v>
      </c>
      <c r="F117" s="35">
        <f>'90186_2024'!$D117-'90186_2024'!$E117</f>
        <v>1</v>
      </c>
      <c r="G117" s="234">
        <v>15250.0</v>
      </c>
      <c r="H117" s="234">
        <f t="shared" si="2"/>
        <v>30500</v>
      </c>
      <c r="I117" s="35" t="s">
        <v>286</v>
      </c>
      <c r="J117" s="44" t="s">
        <v>598</v>
      </c>
      <c r="K117" s="44" t="s">
        <v>599</v>
      </c>
      <c r="L117" s="44" t="s">
        <v>600</v>
      </c>
      <c r="M117" s="44"/>
      <c r="N117" s="44"/>
      <c r="O117" s="44"/>
      <c r="P117" s="44"/>
      <c r="Q117" s="149" t="s">
        <v>367</v>
      </c>
      <c r="R117" s="44"/>
      <c r="S117" s="155"/>
      <c r="T117" s="155"/>
      <c r="U117" s="155"/>
      <c r="V117" s="155"/>
      <c r="W117" s="155"/>
      <c r="X117" s="155"/>
      <c r="Y117" s="155"/>
      <c r="Z117" s="155"/>
    </row>
    <row r="118" ht="15.75" customHeight="1">
      <c r="A118" s="52">
        <v>26.0</v>
      </c>
      <c r="B118" s="52" t="s">
        <v>78</v>
      </c>
      <c r="C118" s="52" t="s">
        <v>239</v>
      </c>
      <c r="D118" s="52">
        <v>4.0</v>
      </c>
      <c r="E118" s="216">
        <v>1.0</v>
      </c>
      <c r="F118" s="52">
        <f>'90186_2024'!$D118-'90186_2024'!$E118</f>
        <v>3</v>
      </c>
      <c r="G118" s="235">
        <v>15250.0</v>
      </c>
      <c r="H118" s="235">
        <f t="shared" si="2"/>
        <v>61000</v>
      </c>
      <c r="I118" s="52" t="s">
        <v>167</v>
      </c>
      <c r="J118" s="59" t="s">
        <v>598</v>
      </c>
      <c r="K118" s="59" t="s">
        <v>599</v>
      </c>
      <c r="L118" s="59" t="s">
        <v>600</v>
      </c>
      <c r="M118" s="59"/>
      <c r="N118" s="59"/>
      <c r="O118" s="59"/>
      <c r="P118" s="59"/>
      <c r="Q118" s="151" t="s">
        <v>367</v>
      </c>
      <c r="R118" s="59"/>
      <c r="S118" s="155"/>
      <c r="T118" s="155"/>
      <c r="U118" s="155"/>
      <c r="V118" s="155"/>
      <c r="W118" s="155"/>
      <c r="X118" s="155"/>
      <c r="Y118" s="155"/>
      <c r="Z118" s="155"/>
    </row>
    <row r="119" ht="15.75" customHeight="1">
      <c r="A119" s="206">
        <v>27.0</v>
      </c>
      <c r="B119" s="206" t="s">
        <v>112</v>
      </c>
      <c r="C119" s="206" t="s">
        <v>427</v>
      </c>
      <c r="D119" s="206">
        <v>1.0</v>
      </c>
      <c r="E119" s="206" t="s">
        <v>496</v>
      </c>
      <c r="F119" s="206">
        <v>0.0</v>
      </c>
      <c r="G119" s="208">
        <v>13000.0</v>
      </c>
      <c r="H119" s="208">
        <f t="shared" si="2"/>
        <v>13000</v>
      </c>
      <c r="I119" s="206" t="s">
        <v>134</v>
      </c>
      <c r="J119" s="123" t="s">
        <v>601</v>
      </c>
      <c r="K119" s="123" t="s">
        <v>602</v>
      </c>
      <c r="L119" s="112" t="s">
        <v>603</v>
      </c>
      <c r="M119" s="123"/>
      <c r="N119" s="123"/>
      <c r="O119" s="123"/>
      <c r="P119" s="123"/>
      <c r="Q119" s="123" t="s">
        <v>499</v>
      </c>
      <c r="R119" s="123"/>
      <c r="S119" s="214"/>
      <c r="T119" s="214"/>
      <c r="U119" s="214"/>
      <c r="V119" s="214"/>
      <c r="W119" s="214"/>
      <c r="X119" s="214"/>
      <c r="Y119" s="214"/>
      <c r="Z119" s="214"/>
    </row>
    <row r="120" ht="15.75" customHeight="1">
      <c r="A120" s="206">
        <v>27.0</v>
      </c>
      <c r="B120" s="206" t="s">
        <v>112</v>
      </c>
      <c r="C120" s="206" t="s">
        <v>427</v>
      </c>
      <c r="D120" s="206">
        <v>1.0</v>
      </c>
      <c r="E120" s="206" t="s">
        <v>496</v>
      </c>
      <c r="F120" s="206">
        <v>0.0</v>
      </c>
      <c r="G120" s="208">
        <v>13000.0</v>
      </c>
      <c r="H120" s="208">
        <f t="shared" si="2"/>
        <v>13000</v>
      </c>
      <c r="I120" s="206" t="s">
        <v>196</v>
      </c>
      <c r="J120" s="123" t="s">
        <v>601</v>
      </c>
      <c r="K120" s="123" t="s">
        <v>602</v>
      </c>
      <c r="L120" s="112" t="s">
        <v>603</v>
      </c>
      <c r="M120" s="123"/>
      <c r="N120" s="123"/>
      <c r="O120" s="123"/>
      <c r="P120" s="123"/>
      <c r="Q120" s="123" t="s">
        <v>499</v>
      </c>
      <c r="R120" s="123"/>
      <c r="S120" s="214"/>
      <c r="T120" s="214"/>
      <c r="U120" s="214"/>
      <c r="V120" s="214"/>
      <c r="W120" s="214"/>
      <c r="X120" s="214"/>
      <c r="Y120" s="214"/>
      <c r="Z120" s="214"/>
    </row>
    <row r="121" ht="15.75" customHeight="1">
      <c r="A121" s="206">
        <v>27.0</v>
      </c>
      <c r="B121" s="206" t="s">
        <v>112</v>
      </c>
      <c r="C121" s="206" t="s">
        <v>427</v>
      </c>
      <c r="D121" s="206">
        <v>1.0</v>
      </c>
      <c r="E121" s="206" t="s">
        <v>496</v>
      </c>
      <c r="F121" s="206">
        <v>0.0</v>
      </c>
      <c r="G121" s="208">
        <v>13000.0</v>
      </c>
      <c r="H121" s="208">
        <f t="shared" si="2"/>
        <v>13000</v>
      </c>
      <c r="I121" s="206" t="s">
        <v>178</v>
      </c>
      <c r="J121" s="123" t="s">
        <v>601</v>
      </c>
      <c r="K121" s="123" t="s">
        <v>602</v>
      </c>
      <c r="L121" s="112" t="s">
        <v>603</v>
      </c>
      <c r="M121" s="123"/>
      <c r="N121" s="123"/>
      <c r="O121" s="123"/>
      <c r="P121" s="123"/>
      <c r="Q121" s="123" t="s">
        <v>499</v>
      </c>
      <c r="R121" s="123"/>
      <c r="S121" s="214"/>
      <c r="T121" s="214"/>
      <c r="U121" s="214"/>
      <c r="V121" s="214"/>
      <c r="W121" s="214"/>
      <c r="X121" s="214"/>
      <c r="Y121" s="214"/>
      <c r="Z121" s="214"/>
    </row>
    <row r="122" ht="15.75" customHeight="1">
      <c r="A122" s="206">
        <v>27.0</v>
      </c>
      <c r="B122" s="206" t="s">
        <v>112</v>
      </c>
      <c r="C122" s="206" t="s">
        <v>427</v>
      </c>
      <c r="D122" s="206">
        <v>1.0</v>
      </c>
      <c r="E122" s="206" t="s">
        <v>496</v>
      </c>
      <c r="F122" s="206">
        <v>0.0</v>
      </c>
      <c r="G122" s="208">
        <v>13000.0</v>
      </c>
      <c r="H122" s="208">
        <f t="shared" si="2"/>
        <v>13000</v>
      </c>
      <c r="I122" s="206" t="s">
        <v>189</v>
      </c>
      <c r="J122" s="123" t="s">
        <v>601</v>
      </c>
      <c r="K122" s="123" t="s">
        <v>602</v>
      </c>
      <c r="L122" s="112" t="s">
        <v>603</v>
      </c>
      <c r="M122" s="123"/>
      <c r="N122" s="123"/>
      <c r="O122" s="123"/>
      <c r="P122" s="123"/>
      <c r="Q122" s="123" t="s">
        <v>499</v>
      </c>
      <c r="R122" s="123"/>
      <c r="S122" s="214"/>
      <c r="T122" s="214"/>
      <c r="U122" s="214"/>
      <c r="V122" s="214"/>
      <c r="W122" s="214"/>
      <c r="X122" s="214"/>
      <c r="Y122" s="214"/>
      <c r="Z122" s="214"/>
    </row>
    <row r="123" ht="15.75" customHeight="1">
      <c r="A123" s="206">
        <v>27.0</v>
      </c>
      <c r="B123" s="206" t="s">
        <v>112</v>
      </c>
      <c r="C123" s="206" t="s">
        <v>427</v>
      </c>
      <c r="D123" s="206">
        <v>1.0</v>
      </c>
      <c r="E123" s="206" t="s">
        <v>496</v>
      </c>
      <c r="F123" s="206">
        <v>0.0</v>
      </c>
      <c r="G123" s="208">
        <v>13000.0</v>
      </c>
      <c r="H123" s="208">
        <f t="shared" si="2"/>
        <v>13000</v>
      </c>
      <c r="I123" s="206" t="s">
        <v>192</v>
      </c>
      <c r="J123" s="123" t="s">
        <v>601</v>
      </c>
      <c r="K123" s="123" t="s">
        <v>602</v>
      </c>
      <c r="L123" s="112" t="s">
        <v>603</v>
      </c>
      <c r="M123" s="123"/>
      <c r="N123" s="123"/>
      <c r="O123" s="123"/>
      <c r="P123" s="123"/>
      <c r="Q123" s="123" t="s">
        <v>499</v>
      </c>
      <c r="R123" s="123"/>
      <c r="S123" s="214"/>
      <c r="T123" s="214"/>
      <c r="U123" s="214"/>
      <c r="V123" s="214"/>
      <c r="W123" s="214"/>
      <c r="X123" s="214"/>
      <c r="Y123" s="214"/>
      <c r="Z123" s="214"/>
    </row>
    <row r="124" ht="15.75" customHeight="1">
      <c r="A124" s="206">
        <v>27.0</v>
      </c>
      <c r="B124" s="206" t="s">
        <v>112</v>
      </c>
      <c r="C124" s="206" t="s">
        <v>427</v>
      </c>
      <c r="D124" s="206">
        <v>1.0</v>
      </c>
      <c r="E124" s="206" t="s">
        <v>496</v>
      </c>
      <c r="F124" s="206">
        <v>0.0</v>
      </c>
      <c r="G124" s="208">
        <v>13000.0</v>
      </c>
      <c r="H124" s="208">
        <f t="shared" si="2"/>
        <v>13000</v>
      </c>
      <c r="I124" s="206" t="s">
        <v>272</v>
      </c>
      <c r="J124" s="123" t="s">
        <v>601</v>
      </c>
      <c r="K124" s="123" t="s">
        <v>602</v>
      </c>
      <c r="L124" s="112" t="s">
        <v>603</v>
      </c>
      <c r="M124" s="123"/>
      <c r="N124" s="123"/>
      <c r="O124" s="123"/>
      <c r="P124" s="123"/>
      <c r="Q124" s="123" t="s">
        <v>499</v>
      </c>
      <c r="R124" s="123"/>
      <c r="S124" s="214"/>
      <c r="T124" s="214"/>
      <c r="U124" s="214"/>
      <c r="V124" s="214"/>
      <c r="W124" s="214"/>
      <c r="X124" s="214"/>
      <c r="Y124" s="214"/>
      <c r="Z124" s="214"/>
    </row>
    <row r="125" ht="15.75" customHeight="1">
      <c r="A125" s="206">
        <v>27.0</v>
      </c>
      <c r="B125" s="206" t="s">
        <v>112</v>
      </c>
      <c r="C125" s="206" t="s">
        <v>427</v>
      </c>
      <c r="D125" s="206">
        <v>1.0</v>
      </c>
      <c r="E125" s="206" t="s">
        <v>496</v>
      </c>
      <c r="F125" s="206">
        <v>0.0</v>
      </c>
      <c r="G125" s="208">
        <v>13000.0</v>
      </c>
      <c r="H125" s="208">
        <f t="shared" si="2"/>
        <v>13000</v>
      </c>
      <c r="I125" s="206" t="s">
        <v>194</v>
      </c>
      <c r="J125" s="123" t="s">
        <v>601</v>
      </c>
      <c r="K125" s="123" t="s">
        <v>602</v>
      </c>
      <c r="L125" s="112" t="s">
        <v>603</v>
      </c>
      <c r="M125" s="123"/>
      <c r="N125" s="123"/>
      <c r="O125" s="123"/>
      <c r="P125" s="123"/>
      <c r="Q125" s="123" t="s">
        <v>499</v>
      </c>
      <c r="R125" s="123"/>
      <c r="S125" s="214"/>
      <c r="T125" s="214"/>
      <c r="U125" s="214"/>
      <c r="V125" s="214"/>
      <c r="W125" s="214"/>
      <c r="X125" s="214"/>
      <c r="Y125" s="214"/>
      <c r="Z125" s="214"/>
    </row>
    <row r="126" ht="15.75" customHeight="1">
      <c r="A126" s="206">
        <v>27.0</v>
      </c>
      <c r="B126" s="206" t="s">
        <v>112</v>
      </c>
      <c r="C126" s="206" t="s">
        <v>427</v>
      </c>
      <c r="D126" s="206">
        <v>1.0</v>
      </c>
      <c r="E126" s="206" t="s">
        <v>496</v>
      </c>
      <c r="F126" s="206">
        <v>0.0</v>
      </c>
      <c r="G126" s="208">
        <v>13000.0</v>
      </c>
      <c r="H126" s="208">
        <f t="shared" si="2"/>
        <v>13000</v>
      </c>
      <c r="I126" s="206" t="s">
        <v>199</v>
      </c>
      <c r="J126" s="123" t="s">
        <v>601</v>
      </c>
      <c r="K126" s="123" t="s">
        <v>602</v>
      </c>
      <c r="L126" s="112" t="s">
        <v>603</v>
      </c>
      <c r="M126" s="123"/>
      <c r="N126" s="123"/>
      <c r="O126" s="123"/>
      <c r="P126" s="123"/>
      <c r="Q126" s="123" t="s">
        <v>499</v>
      </c>
      <c r="R126" s="123"/>
      <c r="S126" s="214"/>
      <c r="T126" s="214"/>
      <c r="U126" s="214"/>
      <c r="V126" s="214"/>
      <c r="W126" s="214"/>
      <c r="X126" s="214"/>
      <c r="Y126" s="214"/>
      <c r="Z126" s="214"/>
    </row>
    <row r="127" ht="15.75" customHeight="1">
      <c r="A127" s="206">
        <v>27.0</v>
      </c>
      <c r="B127" s="206" t="s">
        <v>112</v>
      </c>
      <c r="C127" s="206" t="s">
        <v>427</v>
      </c>
      <c r="D127" s="206">
        <v>1.0</v>
      </c>
      <c r="E127" s="206" t="s">
        <v>496</v>
      </c>
      <c r="F127" s="206">
        <v>0.0</v>
      </c>
      <c r="G127" s="208">
        <v>13000.0</v>
      </c>
      <c r="H127" s="208">
        <f t="shared" si="2"/>
        <v>13000</v>
      </c>
      <c r="I127" s="206" t="s">
        <v>210</v>
      </c>
      <c r="J127" s="123" t="s">
        <v>601</v>
      </c>
      <c r="K127" s="123" t="s">
        <v>602</v>
      </c>
      <c r="L127" s="112" t="s">
        <v>603</v>
      </c>
      <c r="M127" s="123"/>
      <c r="N127" s="123"/>
      <c r="O127" s="123"/>
      <c r="P127" s="123"/>
      <c r="Q127" s="123" t="s">
        <v>499</v>
      </c>
      <c r="R127" s="123"/>
      <c r="S127" s="214"/>
      <c r="T127" s="214"/>
      <c r="U127" s="214"/>
      <c r="V127" s="214"/>
      <c r="W127" s="214"/>
      <c r="X127" s="214"/>
      <c r="Y127" s="214"/>
      <c r="Z127" s="214"/>
    </row>
    <row r="128" ht="15.75" customHeight="1">
      <c r="A128" s="206">
        <v>27.0</v>
      </c>
      <c r="B128" s="206" t="s">
        <v>112</v>
      </c>
      <c r="C128" s="206" t="s">
        <v>427</v>
      </c>
      <c r="D128" s="206">
        <v>1.0</v>
      </c>
      <c r="E128" s="206" t="s">
        <v>496</v>
      </c>
      <c r="F128" s="206">
        <v>0.0</v>
      </c>
      <c r="G128" s="208">
        <v>13000.0</v>
      </c>
      <c r="H128" s="208">
        <f t="shared" si="2"/>
        <v>13000</v>
      </c>
      <c r="I128" s="206" t="s">
        <v>214</v>
      </c>
      <c r="J128" s="123" t="s">
        <v>601</v>
      </c>
      <c r="K128" s="123" t="s">
        <v>602</v>
      </c>
      <c r="L128" s="112" t="s">
        <v>603</v>
      </c>
      <c r="M128" s="123"/>
      <c r="N128" s="123"/>
      <c r="O128" s="123"/>
      <c r="P128" s="123"/>
      <c r="Q128" s="123" t="s">
        <v>499</v>
      </c>
      <c r="R128" s="123"/>
      <c r="S128" s="214"/>
      <c r="T128" s="214"/>
      <c r="U128" s="214"/>
      <c r="V128" s="214"/>
      <c r="W128" s="214"/>
      <c r="X128" s="214"/>
      <c r="Y128" s="214"/>
      <c r="Z128" s="214"/>
    </row>
    <row r="129" ht="15.75" customHeight="1">
      <c r="A129" s="35">
        <v>28.0</v>
      </c>
      <c r="B129" s="35" t="s">
        <v>108</v>
      </c>
      <c r="C129" s="35" t="s">
        <v>293</v>
      </c>
      <c r="D129" s="35">
        <v>1.0</v>
      </c>
      <c r="E129" s="35">
        <v>1.0</v>
      </c>
      <c r="F129" s="35">
        <f>'90186_2024'!$D129-'90186_2024'!$E129</f>
        <v>0</v>
      </c>
      <c r="G129" s="40">
        <v>350000.0</v>
      </c>
      <c r="H129" s="40">
        <f t="shared" si="2"/>
        <v>350000</v>
      </c>
      <c r="I129" s="35" t="s">
        <v>103</v>
      </c>
      <c r="J129" s="44" t="s">
        <v>613</v>
      </c>
      <c r="K129" s="44" t="s">
        <v>614</v>
      </c>
      <c r="L129" s="44" t="s">
        <v>474</v>
      </c>
      <c r="M129" s="43" t="s">
        <v>475</v>
      </c>
      <c r="N129" s="43" t="s">
        <v>476</v>
      </c>
      <c r="O129" s="44"/>
      <c r="P129" s="44"/>
      <c r="Q129" s="159" t="s">
        <v>367</v>
      </c>
      <c r="R129" s="44" t="s">
        <v>615</v>
      </c>
      <c r="S129" s="155"/>
      <c r="T129" s="155"/>
      <c r="U129" s="155"/>
      <c r="V129" s="155"/>
      <c r="W129" s="155"/>
      <c r="X129" s="155"/>
      <c r="Y129" s="155"/>
      <c r="Z129" s="155"/>
    </row>
    <row r="130" ht="15.75" customHeight="1">
      <c r="A130" s="52">
        <v>29.0</v>
      </c>
      <c r="B130" s="52" t="s">
        <v>50</v>
      </c>
      <c r="C130" s="52" t="s">
        <v>247</v>
      </c>
      <c r="D130" s="52">
        <v>2.0</v>
      </c>
      <c r="E130" s="216">
        <v>1.0</v>
      </c>
      <c r="F130" s="52">
        <f>'90186_2024'!$D130-'90186_2024'!$E130</f>
        <v>1</v>
      </c>
      <c r="G130" s="54">
        <v>290900.0</v>
      </c>
      <c r="H130" s="54">
        <f t="shared" si="2"/>
        <v>581800</v>
      </c>
      <c r="I130" s="52" t="s">
        <v>221</v>
      </c>
      <c r="J130" s="59" t="s">
        <v>616</v>
      </c>
      <c r="K130" s="59" t="s">
        <v>437</v>
      </c>
      <c r="L130" s="59" t="s">
        <v>438</v>
      </c>
      <c r="M130" s="59"/>
      <c r="N130" s="59"/>
      <c r="O130" s="59"/>
      <c r="P130" s="59"/>
      <c r="Q130" s="151" t="s">
        <v>367</v>
      </c>
      <c r="R130" s="59"/>
      <c r="S130" s="155"/>
      <c r="T130" s="155"/>
      <c r="U130" s="155"/>
      <c r="V130" s="155"/>
      <c r="W130" s="155"/>
      <c r="X130" s="155"/>
      <c r="Y130" s="155"/>
      <c r="Z130" s="155"/>
    </row>
    <row r="131" ht="15.75" customHeight="1">
      <c r="A131" s="236">
        <v>30.0</v>
      </c>
      <c r="B131" s="236" t="s">
        <v>97</v>
      </c>
      <c r="C131" s="236" t="s">
        <v>275</v>
      </c>
      <c r="D131" s="236">
        <v>1.0</v>
      </c>
      <c r="E131" s="35">
        <v>1.0</v>
      </c>
      <c r="F131" s="236">
        <f>'90186_2024'!$D131-'90186_2024'!$E131</f>
        <v>0</v>
      </c>
      <c r="G131" s="237">
        <v>1150000.0</v>
      </c>
      <c r="H131" s="40">
        <f t="shared" si="2"/>
        <v>1150000</v>
      </c>
      <c r="I131" s="236" t="s">
        <v>276</v>
      </c>
      <c r="J131" s="117" t="s">
        <v>617</v>
      </c>
      <c r="K131" s="238" t="s">
        <v>618</v>
      </c>
      <c r="L131" s="117" t="s">
        <v>619</v>
      </c>
      <c r="M131" s="109"/>
      <c r="N131" s="109"/>
      <c r="O131" s="109"/>
      <c r="P131" s="109"/>
      <c r="Q131" s="149" t="s">
        <v>367</v>
      </c>
      <c r="R131" s="44"/>
      <c r="S131" s="155"/>
      <c r="T131" s="155"/>
      <c r="U131" s="155"/>
      <c r="V131" s="155"/>
      <c r="W131" s="155"/>
      <c r="X131" s="155"/>
      <c r="Y131" s="155"/>
      <c r="Z131" s="155"/>
    </row>
    <row r="132" ht="30.0" customHeight="1">
      <c r="A132" s="52">
        <v>31.0</v>
      </c>
      <c r="B132" s="52" t="s">
        <v>88</v>
      </c>
      <c r="C132" s="52" t="s">
        <v>620</v>
      </c>
      <c r="D132" s="52">
        <v>1.0</v>
      </c>
      <c r="E132" s="52">
        <v>0.0</v>
      </c>
      <c r="F132" s="52">
        <f>'90186_2024'!$D132-'90186_2024'!$E132</f>
        <v>1</v>
      </c>
      <c r="G132" s="53">
        <v>243520.0</v>
      </c>
      <c r="H132" s="54">
        <f t="shared" si="2"/>
        <v>243520</v>
      </c>
      <c r="I132" s="193" t="s">
        <v>58</v>
      </c>
      <c r="J132" s="58" t="s">
        <v>621</v>
      </c>
      <c r="K132" s="58" t="s">
        <v>622</v>
      </c>
      <c r="L132" s="58" t="s">
        <v>623</v>
      </c>
      <c r="M132" s="59"/>
      <c r="N132" s="59"/>
      <c r="O132" s="59"/>
      <c r="P132" s="59"/>
      <c r="Q132" s="239" t="s">
        <v>367</v>
      </c>
      <c r="R132" s="59"/>
    </row>
    <row r="133" ht="15.75" customHeight="1">
      <c r="A133" s="35">
        <v>31.0</v>
      </c>
      <c r="B133" s="35" t="s">
        <v>88</v>
      </c>
      <c r="C133" s="35" t="s">
        <v>620</v>
      </c>
      <c r="D133" s="35">
        <v>1.0</v>
      </c>
      <c r="E133" s="33">
        <v>1.0</v>
      </c>
      <c r="F133" s="35">
        <f>'90186_2024'!$D133-'90186_2024'!$E133</f>
        <v>0</v>
      </c>
      <c r="G133" s="37">
        <v>243520.0</v>
      </c>
      <c r="H133" s="40">
        <f t="shared" si="2"/>
        <v>243520</v>
      </c>
      <c r="I133" s="204" t="s">
        <v>85</v>
      </c>
      <c r="J133" s="43" t="s">
        <v>621</v>
      </c>
      <c r="K133" s="43" t="s">
        <v>624</v>
      </c>
      <c r="L133" s="43" t="s">
        <v>625</v>
      </c>
      <c r="M133" s="44"/>
      <c r="N133" s="44"/>
      <c r="O133" s="44"/>
      <c r="P133" s="44"/>
      <c r="Q133" s="240" t="s">
        <v>367</v>
      </c>
      <c r="R133" s="44"/>
    </row>
    <row r="134" ht="15.75" customHeight="1">
      <c r="A134" s="52">
        <v>31.0</v>
      </c>
      <c r="B134" s="52" t="s">
        <v>88</v>
      </c>
      <c r="C134" s="52" t="s">
        <v>620</v>
      </c>
      <c r="D134" s="52">
        <v>2.0</v>
      </c>
      <c r="E134" s="49">
        <v>1.0</v>
      </c>
      <c r="F134" s="52">
        <f>'90186_2024'!$D134-'90186_2024'!$E134</f>
        <v>1</v>
      </c>
      <c r="G134" s="53">
        <v>243520.0</v>
      </c>
      <c r="H134" s="54">
        <f t="shared" si="2"/>
        <v>487040</v>
      </c>
      <c r="I134" s="193" t="s">
        <v>232</v>
      </c>
      <c r="J134" s="58" t="s">
        <v>621</v>
      </c>
      <c r="K134" s="58" t="s">
        <v>624</v>
      </c>
      <c r="L134" s="58" t="s">
        <v>623</v>
      </c>
      <c r="M134" s="59"/>
      <c r="N134" s="59"/>
      <c r="O134" s="59"/>
      <c r="P134" s="59"/>
      <c r="Q134" s="239" t="s">
        <v>367</v>
      </c>
      <c r="R134" s="59"/>
    </row>
    <row r="135" ht="15.75" customHeight="1">
      <c r="A135" s="35">
        <v>31.0</v>
      </c>
      <c r="B135" s="35" t="s">
        <v>88</v>
      </c>
      <c r="C135" s="35" t="s">
        <v>620</v>
      </c>
      <c r="D135" s="35">
        <v>1.0</v>
      </c>
      <c r="E135" s="33">
        <v>1.0</v>
      </c>
      <c r="F135" s="35">
        <f>'90186_2024'!$D135-'90186_2024'!$E135</f>
        <v>0</v>
      </c>
      <c r="G135" s="37">
        <v>243520.0</v>
      </c>
      <c r="H135" s="40">
        <f t="shared" si="2"/>
        <v>243520</v>
      </c>
      <c r="I135" s="204" t="s">
        <v>96</v>
      </c>
      <c r="J135" s="43" t="s">
        <v>621</v>
      </c>
      <c r="K135" s="43" t="s">
        <v>624</v>
      </c>
      <c r="L135" s="43" t="s">
        <v>625</v>
      </c>
      <c r="M135" s="44"/>
      <c r="N135" s="44"/>
      <c r="O135" s="44"/>
      <c r="P135" s="44"/>
      <c r="Q135" s="240" t="s">
        <v>367</v>
      </c>
      <c r="R135" s="44"/>
    </row>
    <row r="136" ht="15.75" customHeight="1">
      <c r="A136" s="52">
        <v>31.0</v>
      </c>
      <c r="B136" s="52" t="s">
        <v>88</v>
      </c>
      <c r="C136" s="52" t="s">
        <v>620</v>
      </c>
      <c r="D136" s="52">
        <v>2.0</v>
      </c>
      <c r="E136" s="52">
        <v>0.0</v>
      </c>
      <c r="F136" s="52">
        <f>'90186_2024'!$D136-'90186_2024'!$E136</f>
        <v>2</v>
      </c>
      <c r="G136" s="53">
        <v>243520.0</v>
      </c>
      <c r="H136" s="54">
        <f t="shared" si="2"/>
        <v>487040</v>
      </c>
      <c r="I136" s="193" t="s">
        <v>113</v>
      </c>
      <c r="J136" s="58" t="s">
        <v>621</v>
      </c>
      <c r="K136" s="58" t="s">
        <v>624</v>
      </c>
      <c r="L136" s="58" t="s">
        <v>625</v>
      </c>
      <c r="M136" s="59"/>
      <c r="N136" s="59"/>
      <c r="O136" s="59"/>
      <c r="P136" s="59"/>
      <c r="Q136" s="239" t="s">
        <v>367</v>
      </c>
      <c r="R136" s="59"/>
    </row>
    <row r="137" ht="15.75" customHeight="1">
      <c r="A137" s="35">
        <v>31.0</v>
      </c>
      <c r="B137" s="35" t="s">
        <v>88</v>
      </c>
      <c r="C137" s="35" t="s">
        <v>620</v>
      </c>
      <c r="D137" s="35">
        <v>6.0</v>
      </c>
      <c r="E137" s="33">
        <v>1.0</v>
      </c>
      <c r="F137" s="35">
        <f>'90186_2024'!$D137-'90186_2024'!$E137</f>
        <v>5</v>
      </c>
      <c r="G137" s="37">
        <v>243520.0</v>
      </c>
      <c r="H137" s="40">
        <f t="shared" si="2"/>
        <v>1461120</v>
      </c>
      <c r="I137" s="204" t="s">
        <v>134</v>
      </c>
      <c r="J137" s="43" t="s">
        <v>621</v>
      </c>
      <c r="K137" s="43" t="s">
        <v>624</v>
      </c>
      <c r="L137" s="43" t="s">
        <v>625</v>
      </c>
      <c r="M137" s="44"/>
      <c r="N137" s="44"/>
      <c r="O137" s="44"/>
      <c r="P137" s="44"/>
      <c r="Q137" s="240" t="s">
        <v>367</v>
      </c>
      <c r="R137" s="44"/>
    </row>
    <row r="138" ht="15.75" customHeight="1">
      <c r="A138" s="52">
        <v>31.0</v>
      </c>
      <c r="B138" s="52" t="s">
        <v>88</v>
      </c>
      <c r="C138" s="52" t="s">
        <v>620</v>
      </c>
      <c r="D138" s="52">
        <v>2.0</v>
      </c>
      <c r="E138" s="52">
        <v>0.0</v>
      </c>
      <c r="F138" s="52">
        <f>'90186_2024'!$D138-'90186_2024'!$E138</f>
        <v>2</v>
      </c>
      <c r="G138" s="53">
        <v>243520.0</v>
      </c>
      <c r="H138" s="54">
        <f t="shared" si="2"/>
        <v>487040</v>
      </c>
      <c r="I138" s="193" t="s">
        <v>142</v>
      </c>
      <c r="J138" s="58" t="s">
        <v>621</v>
      </c>
      <c r="K138" s="58" t="s">
        <v>624</v>
      </c>
      <c r="L138" s="58" t="s">
        <v>625</v>
      </c>
      <c r="M138" s="59"/>
      <c r="N138" s="59"/>
      <c r="O138" s="59"/>
      <c r="P138" s="59"/>
      <c r="Q138" s="239" t="s">
        <v>367</v>
      </c>
      <c r="R138" s="59"/>
    </row>
    <row r="139" ht="15.75" customHeight="1">
      <c r="A139" s="35">
        <v>31.0</v>
      </c>
      <c r="B139" s="35" t="s">
        <v>88</v>
      </c>
      <c r="C139" s="35" t="s">
        <v>620</v>
      </c>
      <c r="D139" s="35">
        <v>1.0</v>
      </c>
      <c r="E139" s="35">
        <v>0.0</v>
      </c>
      <c r="F139" s="35">
        <f>'90186_2024'!$D139-'90186_2024'!$E139</f>
        <v>1</v>
      </c>
      <c r="G139" s="37">
        <v>243520.0</v>
      </c>
      <c r="H139" s="40">
        <f t="shared" si="2"/>
        <v>243520</v>
      </c>
      <c r="I139" s="204" t="s">
        <v>161</v>
      </c>
      <c r="J139" s="43" t="s">
        <v>621</v>
      </c>
      <c r="K139" s="43" t="s">
        <v>624</v>
      </c>
      <c r="L139" s="43" t="s">
        <v>625</v>
      </c>
      <c r="M139" s="44"/>
      <c r="N139" s="44"/>
      <c r="O139" s="44"/>
      <c r="P139" s="44"/>
      <c r="Q139" s="240" t="s">
        <v>367</v>
      </c>
      <c r="R139" s="44"/>
    </row>
    <row r="140" ht="15.75" customHeight="1">
      <c r="A140" s="52">
        <v>31.0</v>
      </c>
      <c r="B140" s="52" t="s">
        <v>88</v>
      </c>
      <c r="C140" s="52" t="s">
        <v>620</v>
      </c>
      <c r="D140" s="52">
        <v>2.0</v>
      </c>
      <c r="E140" s="52">
        <v>0.0</v>
      </c>
      <c r="F140" s="52">
        <f>'90186_2024'!$D140-'90186_2024'!$E140</f>
        <v>2</v>
      </c>
      <c r="G140" s="53">
        <v>243520.0</v>
      </c>
      <c r="H140" s="54">
        <f t="shared" si="2"/>
        <v>487040</v>
      </c>
      <c r="I140" s="193" t="s">
        <v>276</v>
      </c>
      <c r="J140" s="58" t="s">
        <v>621</v>
      </c>
      <c r="K140" s="58" t="s">
        <v>624</v>
      </c>
      <c r="L140" s="58" t="s">
        <v>625</v>
      </c>
      <c r="M140" s="59"/>
      <c r="N140" s="59"/>
      <c r="O140" s="59"/>
      <c r="P140" s="59"/>
      <c r="Q140" s="239" t="s">
        <v>367</v>
      </c>
      <c r="R140" s="59"/>
    </row>
    <row r="141" ht="15.75" customHeight="1">
      <c r="A141" s="35">
        <v>31.0</v>
      </c>
      <c r="B141" s="35" t="s">
        <v>88</v>
      </c>
      <c r="C141" s="35" t="s">
        <v>620</v>
      </c>
      <c r="D141" s="35">
        <v>2.0</v>
      </c>
      <c r="E141" s="33">
        <v>2.0</v>
      </c>
      <c r="F141" s="35">
        <f>'90186_2024'!$D141-'90186_2024'!$E141</f>
        <v>0</v>
      </c>
      <c r="G141" s="37">
        <v>243520.0</v>
      </c>
      <c r="H141" s="40">
        <f t="shared" si="2"/>
        <v>487040</v>
      </c>
      <c r="I141" s="204" t="s">
        <v>221</v>
      </c>
      <c r="J141" s="43" t="s">
        <v>621</v>
      </c>
      <c r="K141" s="43" t="s">
        <v>624</v>
      </c>
      <c r="L141" s="43" t="s">
        <v>625</v>
      </c>
      <c r="M141" s="44"/>
      <c r="N141" s="44"/>
      <c r="O141" s="44"/>
      <c r="P141" s="44"/>
      <c r="Q141" s="240" t="s">
        <v>367</v>
      </c>
      <c r="R141" s="44"/>
    </row>
    <row r="142" ht="15.75" customHeight="1">
      <c r="A142" s="52">
        <v>31.0</v>
      </c>
      <c r="B142" s="52" t="s">
        <v>88</v>
      </c>
      <c r="C142" s="52" t="s">
        <v>620</v>
      </c>
      <c r="D142" s="52">
        <v>1.0</v>
      </c>
      <c r="E142" s="49">
        <v>1.0</v>
      </c>
      <c r="F142" s="52">
        <f>'90186_2024'!$D142-'90186_2024'!$E142</f>
        <v>0</v>
      </c>
      <c r="G142" s="53">
        <v>243520.0</v>
      </c>
      <c r="H142" s="54">
        <f t="shared" si="2"/>
        <v>243520</v>
      </c>
      <c r="I142" s="193" t="s">
        <v>175</v>
      </c>
      <c r="J142" s="58" t="s">
        <v>621</v>
      </c>
      <c r="K142" s="58" t="s">
        <v>624</v>
      </c>
      <c r="L142" s="58" t="s">
        <v>625</v>
      </c>
      <c r="M142" s="59"/>
      <c r="N142" s="59"/>
      <c r="O142" s="59"/>
      <c r="P142" s="59"/>
      <c r="Q142" s="243" t="s">
        <v>367</v>
      </c>
      <c r="R142" s="59"/>
    </row>
    <row r="143" ht="15.75" customHeight="1">
      <c r="A143" s="35">
        <v>31.0</v>
      </c>
      <c r="B143" s="35" t="s">
        <v>88</v>
      </c>
      <c r="C143" s="35" t="s">
        <v>620</v>
      </c>
      <c r="D143" s="35">
        <v>6.0</v>
      </c>
      <c r="E143" s="216">
        <v>3.0</v>
      </c>
      <c r="F143" s="35">
        <f>'90186_2024'!$D143-'90186_2024'!$E143</f>
        <v>3</v>
      </c>
      <c r="G143" s="37">
        <v>243520.0</v>
      </c>
      <c r="H143" s="40">
        <f t="shared" si="2"/>
        <v>1461120</v>
      </c>
      <c r="I143" s="204" t="s">
        <v>160</v>
      </c>
      <c r="J143" s="43" t="s">
        <v>621</v>
      </c>
      <c r="K143" s="43" t="s">
        <v>624</v>
      </c>
      <c r="L143" s="43" t="s">
        <v>623</v>
      </c>
      <c r="M143" s="44"/>
      <c r="N143" s="44"/>
      <c r="O143" s="44"/>
      <c r="P143" s="44"/>
      <c r="Q143" s="240" t="s">
        <v>367</v>
      </c>
      <c r="R143" s="44"/>
    </row>
    <row r="144" ht="15.75" customHeight="1">
      <c r="A144" s="52">
        <v>31.0</v>
      </c>
      <c r="B144" s="52" t="s">
        <v>88</v>
      </c>
      <c r="C144" s="52" t="s">
        <v>620</v>
      </c>
      <c r="D144" s="52">
        <v>5.0</v>
      </c>
      <c r="E144" s="52">
        <v>0.0</v>
      </c>
      <c r="F144" s="52">
        <f>'90186_2024'!$D144-'90186_2024'!$E144</f>
        <v>5</v>
      </c>
      <c r="G144" s="53">
        <v>243520.0</v>
      </c>
      <c r="H144" s="54">
        <f t="shared" si="2"/>
        <v>1217600</v>
      </c>
      <c r="I144" s="193" t="s">
        <v>178</v>
      </c>
      <c r="J144" s="58" t="s">
        <v>621</v>
      </c>
      <c r="K144" s="58" t="s">
        <v>624</v>
      </c>
      <c r="L144" s="58" t="s">
        <v>625</v>
      </c>
      <c r="M144" s="59"/>
      <c r="N144" s="59"/>
      <c r="O144" s="59"/>
      <c r="P144" s="59"/>
      <c r="Q144" s="243" t="s">
        <v>367</v>
      </c>
      <c r="R144" s="59"/>
    </row>
    <row r="145" ht="15.75" customHeight="1">
      <c r="A145" s="35">
        <v>31.0</v>
      </c>
      <c r="B145" s="35" t="s">
        <v>88</v>
      </c>
      <c r="C145" s="35" t="s">
        <v>620</v>
      </c>
      <c r="D145" s="35">
        <v>2.0</v>
      </c>
      <c r="E145" s="35">
        <v>0.0</v>
      </c>
      <c r="F145" s="35">
        <f>'90186_2024'!$D145-'90186_2024'!$E145</f>
        <v>2</v>
      </c>
      <c r="G145" s="37">
        <v>243520.0</v>
      </c>
      <c r="H145" s="40">
        <f t="shared" si="2"/>
        <v>487040</v>
      </c>
      <c r="I145" s="204" t="s">
        <v>189</v>
      </c>
      <c r="J145" s="43" t="s">
        <v>621</v>
      </c>
      <c r="K145" s="43" t="s">
        <v>624</v>
      </c>
      <c r="L145" s="43" t="s">
        <v>625</v>
      </c>
      <c r="M145" s="44"/>
      <c r="N145" s="44"/>
      <c r="O145" s="44"/>
      <c r="P145" s="44"/>
      <c r="Q145" s="240" t="s">
        <v>367</v>
      </c>
      <c r="R145" s="44"/>
    </row>
    <row r="146" ht="15.75" customHeight="1">
      <c r="A146" s="52">
        <v>31.0</v>
      </c>
      <c r="B146" s="52" t="s">
        <v>88</v>
      </c>
      <c r="C146" s="52" t="s">
        <v>620</v>
      </c>
      <c r="D146" s="52">
        <v>1.0</v>
      </c>
      <c r="E146" s="49">
        <v>1.0</v>
      </c>
      <c r="F146" s="52">
        <f>'90186_2024'!$D146-'90186_2024'!$E146</f>
        <v>0</v>
      </c>
      <c r="G146" s="53">
        <v>243520.0</v>
      </c>
      <c r="H146" s="54">
        <f t="shared" si="2"/>
        <v>243520</v>
      </c>
      <c r="I146" s="193" t="s">
        <v>192</v>
      </c>
      <c r="J146" s="58" t="s">
        <v>621</v>
      </c>
      <c r="K146" s="58" t="s">
        <v>624</v>
      </c>
      <c r="L146" s="58" t="s">
        <v>625</v>
      </c>
      <c r="M146" s="59"/>
      <c r="N146" s="59"/>
      <c r="O146" s="59"/>
      <c r="P146" s="59"/>
      <c r="Q146" s="243" t="s">
        <v>367</v>
      </c>
      <c r="R146" s="59"/>
    </row>
    <row r="147" ht="15.75" customHeight="1">
      <c r="A147" s="35">
        <v>31.0</v>
      </c>
      <c r="B147" s="35" t="s">
        <v>88</v>
      </c>
      <c r="C147" s="35" t="s">
        <v>620</v>
      </c>
      <c r="D147" s="35">
        <v>1.0</v>
      </c>
      <c r="E147" s="35">
        <v>0.0</v>
      </c>
      <c r="F147" s="35">
        <f>'90186_2024'!$D147-'90186_2024'!$E147</f>
        <v>1</v>
      </c>
      <c r="G147" s="37">
        <v>243520.0</v>
      </c>
      <c r="H147" s="40">
        <f t="shared" si="2"/>
        <v>243520</v>
      </c>
      <c r="I147" s="204" t="s">
        <v>304</v>
      </c>
      <c r="J147" s="43" t="s">
        <v>621</v>
      </c>
      <c r="K147" s="43" t="s">
        <v>624</v>
      </c>
      <c r="L147" s="43" t="s">
        <v>625</v>
      </c>
      <c r="M147" s="44"/>
      <c r="N147" s="44"/>
      <c r="O147" s="44"/>
      <c r="P147" s="44"/>
      <c r="Q147" s="240" t="s">
        <v>367</v>
      </c>
      <c r="R147" s="44"/>
    </row>
    <row r="148" ht="15.75" customHeight="1">
      <c r="A148" s="52">
        <v>31.0</v>
      </c>
      <c r="B148" s="52" t="s">
        <v>88</v>
      </c>
      <c r="C148" s="52" t="s">
        <v>620</v>
      </c>
      <c r="D148" s="52">
        <v>1.0</v>
      </c>
      <c r="E148" s="52">
        <v>0.0</v>
      </c>
      <c r="F148" s="52">
        <f>'90186_2024'!$D148-'90186_2024'!$E148</f>
        <v>1</v>
      </c>
      <c r="G148" s="53">
        <v>243520.0</v>
      </c>
      <c r="H148" s="54">
        <f t="shared" si="2"/>
        <v>243520</v>
      </c>
      <c r="I148" s="193" t="s">
        <v>272</v>
      </c>
      <c r="J148" s="58" t="s">
        <v>621</v>
      </c>
      <c r="K148" s="58" t="s">
        <v>624</v>
      </c>
      <c r="L148" s="58" t="s">
        <v>625</v>
      </c>
      <c r="M148" s="59"/>
      <c r="N148" s="59"/>
      <c r="O148" s="59"/>
      <c r="P148" s="59"/>
      <c r="Q148" s="243" t="s">
        <v>367</v>
      </c>
      <c r="R148" s="59"/>
    </row>
    <row r="149" ht="15.75" customHeight="1">
      <c r="A149" s="35">
        <v>31.0</v>
      </c>
      <c r="B149" s="35" t="s">
        <v>88</v>
      </c>
      <c r="C149" s="35" t="s">
        <v>620</v>
      </c>
      <c r="D149" s="35">
        <v>1.0</v>
      </c>
      <c r="E149" s="35">
        <v>0.0</v>
      </c>
      <c r="F149" s="35">
        <f>'90186_2024'!$D149-'90186_2024'!$E149</f>
        <v>1</v>
      </c>
      <c r="G149" s="37">
        <v>243520.0</v>
      </c>
      <c r="H149" s="40">
        <f t="shared" si="2"/>
        <v>243520</v>
      </c>
      <c r="I149" s="204" t="s">
        <v>194</v>
      </c>
      <c r="J149" s="43" t="s">
        <v>621</v>
      </c>
      <c r="K149" s="43" t="s">
        <v>624</v>
      </c>
      <c r="L149" s="43" t="s">
        <v>625</v>
      </c>
      <c r="M149" s="44"/>
      <c r="N149" s="44"/>
      <c r="O149" s="44"/>
      <c r="P149" s="44"/>
      <c r="Q149" s="240" t="s">
        <v>367</v>
      </c>
      <c r="R149" s="44"/>
    </row>
    <row r="150" ht="15.75" customHeight="1">
      <c r="A150" s="52">
        <v>31.0</v>
      </c>
      <c r="B150" s="52" t="s">
        <v>88</v>
      </c>
      <c r="C150" s="52" t="s">
        <v>620</v>
      </c>
      <c r="D150" s="52">
        <v>6.0</v>
      </c>
      <c r="E150" s="49">
        <v>1.0</v>
      </c>
      <c r="F150" s="52">
        <f>'90186_2024'!$D150-'90186_2024'!$E150</f>
        <v>5</v>
      </c>
      <c r="G150" s="53">
        <v>243520.0</v>
      </c>
      <c r="H150" s="54">
        <f t="shared" si="2"/>
        <v>1461120</v>
      </c>
      <c r="I150" s="193" t="s">
        <v>210</v>
      </c>
      <c r="J150" s="58" t="s">
        <v>621</v>
      </c>
      <c r="K150" s="58" t="s">
        <v>624</v>
      </c>
      <c r="L150" s="58" t="s">
        <v>625</v>
      </c>
      <c r="M150" s="59"/>
      <c r="N150" s="59"/>
      <c r="O150" s="59"/>
      <c r="P150" s="59"/>
      <c r="Q150" s="239" t="s">
        <v>367</v>
      </c>
      <c r="R150" s="59"/>
    </row>
    <row r="151" ht="15.75" customHeight="1">
      <c r="A151" s="35">
        <v>31.0</v>
      </c>
      <c r="B151" s="35" t="s">
        <v>88</v>
      </c>
      <c r="C151" s="204" t="s">
        <v>620</v>
      </c>
      <c r="D151" s="204">
        <v>1.0</v>
      </c>
      <c r="E151" s="35">
        <v>0.0</v>
      </c>
      <c r="F151" s="204">
        <f>'90186_2024'!$D151-'90186_2024'!$E151</f>
        <v>1</v>
      </c>
      <c r="G151" s="37">
        <v>243520.0</v>
      </c>
      <c r="H151" s="40">
        <f t="shared" si="2"/>
        <v>243520</v>
      </c>
      <c r="I151" s="204" t="s">
        <v>214</v>
      </c>
      <c r="J151" s="43" t="s">
        <v>621</v>
      </c>
      <c r="K151" s="43" t="s">
        <v>624</v>
      </c>
      <c r="L151" s="43" t="s">
        <v>625</v>
      </c>
      <c r="M151" s="121"/>
      <c r="N151" s="121"/>
      <c r="O151" s="121"/>
      <c r="P151" s="121"/>
      <c r="Q151" s="240" t="s">
        <v>367</v>
      </c>
      <c r="R151" s="44"/>
    </row>
    <row r="152" ht="15.75" customHeight="1">
      <c r="A152" s="52">
        <v>32.0</v>
      </c>
      <c r="B152" s="52" t="s">
        <v>168</v>
      </c>
      <c r="C152" s="52" t="s">
        <v>347</v>
      </c>
      <c r="D152" s="52">
        <v>5.0</v>
      </c>
      <c r="E152" s="52">
        <v>5.0</v>
      </c>
      <c r="F152" s="52">
        <f>'90186_2024'!$D152-'90186_2024'!$E152</f>
        <v>0</v>
      </c>
      <c r="G152" s="54">
        <v>125197.29</v>
      </c>
      <c r="H152" s="54">
        <f t="shared" si="2"/>
        <v>625986.45</v>
      </c>
      <c r="I152" s="193" t="s">
        <v>644</v>
      </c>
      <c r="J152" s="59" t="s">
        <v>645</v>
      </c>
      <c r="K152" s="59" t="s">
        <v>646</v>
      </c>
      <c r="L152" s="59" t="s">
        <v>647</v>
      </c>
      <c r="M152" s="59"/>
      <c r="N152" s="59"/>
      <c r="O152" s="59"/>
      <c r="P152" s="120">
        <v>45975.0</v>
      </c>
      <c r="Q152" s="59" t="s">
        <v>648</v>
      </c>
      <c r="R152" s="59"/>
    </row>
    <row r="153" ht="15.75" customHeight="1">
      <c r="A153" s="35">
        <v>32.0</v>
      </c>
      <c r="B153" s="35" t="s">
        <v>168</v>
      </c>
      <c r="C153" s="35" t="s">
        <v>347</v>
      </c>
      <c r="D153" s="35">
        <v>5.0</v>
      </c>
      <c r="E153" s="216">
        <v>5.0</v>
      </c>
      <c r="F153" s="35">
        <f>'90186_2024'!$D153-'90186_2024'!$E153</f>
        <v>0</v>
      </c>
      <c r="G153" s="40">
        <v>125197.29</v>
      </c>
      <c r="H153" s="40">
        <f t="shared" si="2"/>
        <v>625986.45</v>
      </c>
      <c r="I153" s="204" t="s">
        <v>89</v>
      </c>
      <c r="J153" s="44" t="s">
        <v>645</v>
      </c>
      <c r="K153" s="44" t="s">
        <v>646</v>
      </c>
      <c r="L153" s="44" t="s">
        <v>647</v>
      </c>
      <c r="M153" s="44"/>
      <c r="N153" s="44"/>
      <c r="O153" s="44"/>
      <c r="P153" s="119">
        <v>45975.0</v>
      </c>
      <c r="Q153" s="149" t="s">
        <v>367</v>
      </c>
      <c r="R153" s="44"/>
    </row>
    <row r="154" ht="15.75" customHeight="1">
      <c r="A154" s="52">
        <v>32.0</v>
      </c>
      <c r="B154" s="52" t="s">
        <v>168</v>
      </c>
      <c r="C154" s="52" t="s">
        <v>347</v>
      </c>
      <c r="D154" s="52">
        <v>4.0</v>
      </c>
      <c r="E154" s="216">
        <v>4.0</v>
      </c>
      <c r="F154" s="52">
        <f>'90186_2024'!$D154-'90186_2024'!$E154</f>
        <v>0</v>
      </c>
      <c r="G154" s="54">
        <v>125197.29</v>
      </c>
      <c r="H154" s="54">
        <f t="shared" si="2"/>
        <v>500789.16</v>
      </c>
      <c r="I154" s="193" t="s">
        <v>179</v>
      </c>
      <c r="J154" s="59" t="s">
        <v>645</v>
      </c>
      <c r="K154" s="59" t="s">
        <v>646</v>
      </c>
      <c r="L154" s="59" t="s">
        <v>647</v>
      </c>
      <c r="M154" s="59"/>
      <c r="N154" s="59"/>
      <c r="O154" s="59"/>
      <c r="P154" s="120">
        <v>45975.0</v>
      </c>
      <c r="Q154" s="151" t="s">
        <v>367</v>
      </c>
      <c r="R154" s="59"/>
    </row>
    <row r="155" ht="15.75" customHeight="1">
      <c r="A155" s="35">
        <v>32.0</v>
      </c>
      <c r="B155" s="35" t="s">
        <v>168</v>
      </c>
      <c r="C155" s="35" t="s">
        <v>347</v>
      </c>
      <c r="D155" s="35">
        <v>5.0</v>
      </c>
      <c r="E155" s="216">
        <v>5.0</v>
      </c>
      <c r="F155" s="35">
        <f>'90186_2024'!$D155-'90186_2024'!$E155</f>
        <v>0</v>
      </c>
      <c r="G155" s="40">
        <v>125197.29</v>
      </c>
      <c r="H155" s="40">
        <f t="shared" si="2"/>
        <v>625986.45</v>
      </c>
      <c r="I155" s="204" t="s">
        <v>402</v>
      </c>
      <c r="J155" s="44" t="s">
        <v>645</v>
      </c>
      <c r="K155" s="44" t="s">
        <v>646</v>
      </c>
      <c r="L155" s="44" t="s">
        <v>647</v>
      </c>
      <c r="M155" s="44"/>
      <c r="N155" s="44"/>
      <c r="O155" s="44"/>
      <c r="P155" s="119">
        <v>45975.0</v>
      </c>
      <c r="Q155" s="149" t="s">
        <v>367</v>
      </c>
      <c r="R155" s="44"/>
    </row>
    <row r="156" ht="15.75" customHeight="1">
      <c r="A156" s="52">
        <v>32.0</v>
      </c>
      <c r="B156" s="52" t="s">
        <v>168</v>
      </c>
      <c r="C156" s="52" t="s">
        <v>347</v>
      </c>
      <c r="D156" s="52">
        <v>4.0</v>
      </c>
      <c r="E156" s="216">
        <v>4.0</v>
      </c>
      <c r="F156" s="52">
        <f>'90186_2024'!$D156-'90186_2024'!$E156</f>
        <v>0</v>
      </c>
      <c r="G156" s="54">
        <v>125197.29</v>
      </c>
      <c r="H156" s="54">
        <f t="shared" si="2"/>
        <v>500789.16</v>
      </c>
      <c r="I156" s="193" t="s">
        <v>202</v>
      </c>
      <c r="J156" s="59" t="s">
        <v>645</v>
      </c>
      <c r="K156" s="59" t="s">
        <v>646</v>
      </c>
      <c r="L156" s="59" t="s">
        <v>647</v>
      </c>
      <c r="M156" s="59"/>
      <c r="N156" s="59"/>
      <c r="O156" s="59"/>
      <c r="P156" s="120">
        <v>45975.0</v>
      </c>
      <c r="Q156" s="151" t="s">
        <v>367</v>
      </c>
      <c r="R156" s="59"/>
    </row>
    <row r="157" ht="15.75" customHeight="1">
      <c r="A157" s="35">
        <v>32.0</v>
      </c>
      <c r="B157" s="35" t="s">
        <v>168</v>
      </c>
      <c r="C157" s="35" t="s">
        <v>347</v>
      </c>
      <c r="D157" s="35">
        <v>5.0</v>
      </c>
      <c r="E157" s="35">
        <v>0.0</v>
      </c>
      <c r="F157" s="35">
        <f>'90186_2024'!$D157-'90186_2024'!$E157</f>
        <v>5</v>
      </c>
      <c r="G157" s="40">
        <v>125197.29</v>
      </c>
      <c r="H157" s="40">
        <f t="shared" si="2"/>
        <v>625986.45</v>
      </c>
      <c r="I157" s="204" t="s">
        <v>111</v>
      </c>
      <c r="J157" s="44" t="s">
        <v>645</v>
      </c>
      <c r="K157" s="44" t="s">
        <v>646</v>
      </c>
      <c r="L157" s="44" t="s">
        <v>647</v>
      </c>
      <c r="M157" s="44"/>
      <c r="N157" s="44"/>
      <c r="O157" s="44"/>
      <c r="P157" s="119">
        <v>45975.0</v>
      </c>
      <c r="Q157" s="149" t="s">
        <v>367</v>
      </c>
      <c r="R157" s="44"/>
    </row>
    <row r="158" ht="15.75" customHeight="1">
      <c r="A158" s="52">
        <v>32.0</v>
      </c>
      <c r="B158" s="52" t="s">
        <v>168</v>
      </c>
      <c r="C158" s="52" t="s">
        <v>347</v>
      </c>
      <c r="D158" s="52">
        <v>2.0</v>
      </c>
      <c r="E158" s="216">
        <v>2.0</v>
      </c>
      <c r="F158" s="52">
        <f>'90186_2024'!$D158-'90186_2024'!$E158</f>
        <v>0</v>
      </c>
      <c r="G158" s="54">
        <v>125197.29</v>
      </c>
      <c r="H158" s="54">
        <f t="shared" si="2"/>
        <v>250394.58</v>
      </c>
      <c r="I158" s="193" t="s">
        <v>221</v>
      </c>
      <c r="J158" s="59" t="s">
        <v>645</v>
      </c>
      <c r="K158" s="59" t="s">
        <v>646</v>
      </c>
      <c r="L158" s="59" t="s">
        <v>647</v>
      </c>
      <c r="M158" s="59"/>
      <c r="N158" s="59"/>
      <c r="O158" s="59"/>
      <c r="P158" s="120">
        <v>45975.0</v>
      </c>
      <c r="Q158" s="151" t="s">
        <v>367</v>
      </c>
      <c r="R158" s="59"/>
    </row>
    <row r="159" ht="15.75" customHeight="1">
      <c r="A159" s="35">
        <v>32.0</v>
      </c>
      <c r="B159" s="35" t="s">
        <v>168</v>
      </c>
      <c r="C159" s="35" t="s">
        <v>347</v>
      </c>
      <c r="D159" s="35">
        <v>1.0</v>
      </c>
      <c r="E159" s="33">
        <v>1.0</v>
      </c>
      <c r="F159" s="35">
        <f>'90186_2024'!$D159-'90186_2024'!$E159</f>
        <v>0</v>
      </c>
      <c r="G159" s="40">
        <v>125197.29</v>
      </c>
      <c r="H159" s="40">
        <f t="shared" si="2"/>
        <v>125197.29</v>
      </c>
      <c r="I159" s="204" t="s">
        <v>196</v>
      </c>
      <c r="J159" s="44" t="s">
        <v>645</v>
      </c>
      <c r="K159" s="44" t="s">
        <v>646</v>
      </c>
      <c r="L159" s="44" t="s">
        <v>647</v>
      </c>
      <c r="M159" s="44"/>
      <c r="N159" s="44"/>
      <c r="O159" s="44"/>
      <c r="P159" s="119">
        <v>45975.0</v>
      </c>
      <c r="Q159" s="149" t="s">
        <v>367</v>
      </c>
      <c r="R159" s="44"/>
    </row>
    <row r="160" ht="15.75" customHeight="1">
      <c r="A160" s="52">
        <v>32.0</v>
      </c>
      <c r="B160" s="52" t="s">
        <v>168</v>
      </c>
      <c r="C160" s="52" t="s">
        <v>347</v>
      </c>
      <c r="D160" s="52">
        <v>2.0</v>
      </c>
      <c r="E160" s="49">
        <v>2.0</v>
      </c>
      <c r="F160" s="52">
        <f>'90186_2024'!$D160-'90186_2024'!$E160</f>
        <v>0</v>
      </c>
      <c r="G160" s="54">
        <v>125197.29</v>
      </c>
      <c r="H160" s="54">
        <f t="shared" si="2"/>
        <v>250394.58</v>
      </c>
      <c r="I160" s="193" t="s">
        <v>189</v>
      </c>
      <c r="J160" s="59" t="s">
        <v>645</v>
      </c>
      <c r="K160" s="59" t="s">
        <v>646</v>
      </c>
      <c r="L160" s="59" t="s">
        <v>647</v>
      </c>
      <c r="M160" s="59"/>
      <c r="N160" s="59"/>
      <c r="O160" s="59"/>
      <c r="P160" s="120">
        <v>45975.0</v>
      </c>
      <c r="Q160" s="151" t="s">
        <v>367</v>
      </c>
      <c r="R160" s="59"/>
    </row>
    <row r="161" ht="15.75" customHeight="1">
      <c r="A161" s="35">
        <v>32.0</v>
      </c>
      <c r="B161" s="35" t="s">
        <v>168</v>
      </c>
      <c r="C161" s="35" t="s">
        <v>347</v>
      </c>
      <c r="D161" s="35">
        <v>2.0</v>
      </c>
      <c r="E161" s="33">
        <v>2.0</v>
      </c>
      <c r="F161" s="35">
        <f>'90186_2024'!$D161-'90186_2024'!$E161</f>
        <v>0</v>
      </c>
      <c r="G161" s="40">
        <v>125197.29</v>
      </c>
      <c r="H161" s="40">
        <f t="shared" si="2"/>
        <v>250394.58</v>
      </c>
      <c r="I161" s="204" t="s">
        <v>192</v>
      </c>
      <c r="J161" s="44" t="s">
        <v>645</v>
      </c>
      <c r="K161" s="44" t="s">
        <v>646</v>
      </c>
      <c r="L161" s="44" t="s">
        <v>647</v>
      </c>
      <c r="M161" s="44"/>
      <c r="N161" s="44"/>
      <c r="O161" s="44"/>
      <c r="P161" s="119">
        <v>45975.0</v>
      </c>
      <c r="Q161" s="149" t="s">
        <v>367</v>
      </c>
      <c r="R161" s="44"/>
    </row>
    <row r="162" ht="15.75" customHeight="1">
      <c r="A162" s="52">
        <v>32.0</v>
      </c>
      <c r="B162" s="52" t="s">
        <v>168</v>
      </c>
      <c r="C162" s="52" t="s">
        <v>347</v>
      </c>
      <c r="D162" s="52">
        <v>1.0</v>
      </c>
      <c r="E162" s="49">
        <v>1.0</v>
      </c>
      <c r="F162" s="52">
        <f>'90186_2024'!$D162-'90186_2024'!$E162</f>
        <v>0</v>
      </c>
      <c r="G162" s="54">
        <v>125197.29</v>
      </c>
      <c r="H162" s="54">
        <f t="shared" si="2"/>
        <v>125197.29</v>
      </c>
      <c r="I162" s="193" t="s">
        <v>272</v>
      </c>
      <c r="J162" s="59" t="s">
        <v>645</v>
      </c>
      <c r="K162" s="59" t="s">
        <v>646</v>
      </c>
      <c r="L162" s="59" t="s">
        <v>647</v>
      </c>
      <c r="M162" s="59"/>
      <c r="N162" s="59"/>
      <c r="O162" s="59"/>
      <c r="P162" s="120">
        <v>45975.0</v>
      </c>
      <c r="Q162" s="151" t="s">
        <v>367</v>
      </c>
      <c r="R162" s="59"/>
    </row>
    <row r="163" ht="15.75" customHeight="1">
      <c r="A163" s="35">
        <v>32.0</v>
      </c>
      <c r="B163" s="35" t="s">
        <v>168</v>
      </c>
      <c r="C163" s="35" t="s">
        <v>347</v>
      </c>
      <c r="D163" s="35">
        <v>1.0</v>
      </c>
      <c r="E163" s="33">
        <v>1.0</v>
      </c>
      <c r="F163" s="35">
        <f>'90186_2024'!$D163-'90186_2024'!$E163</f>
        <v>0</v>
      </c>
      <c r="G163" s="40">
        <v>125197.29</v>
      </c>
      <c r="H163" s="40">
        <f t="shared" si="2"/>
        <v>125197.29</v>
      </c>
      <c r="I163" s="204" t="s">
        <v>210</v>
      </c>
      <c r="J163" s="44" t="s">
        <v>645</v>
      </c>
      <c r="K163" s="44" t="s">
        <v>646</v>
      </c>
      <c r="L163" s="44" t="s">
        <v>647</v>
      </c>
      <c r="M163" s="44"/>
      <c r="N163" s="44"/>
      <c r="O163" s="44"/>
      <c r="P163" s="119">
        <v>45975.0</v>
      </c>
      <c r="Q163" s="149" t="s">
        <v>367</v>
      </c>
      <c r="R163" s="44"/>
    </row>
    <row r="164" ht="15.75" customHeight="1">
      <c r="A164" s="52">
        <v>32.0</v>
      </c>
      <c r="B164" s="52" t="s">
        <v>168</v>
      </c>
      <c r="C164" s="52" t="s">
        <v>347</v>
      </c>
      <c r="D164" s="52">
        <v>2.0</v>
      </c>
      <c r="E164" s="52">
        <v>0.0</v>
      </c>
      <c r="F164" s="52">
        <f>'90186_2024'!$D164-'90186_2024'!$E164</f>
        <v>2</v>
      </c>
      <c r="G164" s="54">
        <v>125197.29</v>
      </c>
      <c r="H164" s="54">
        <f t="shared" si="2"/>
        <v>250394.58</v>
      </c>
      <c r="I164" s="193" t="s">
        <v>214</v>
      </c>
      <c r="J164" s="59" t="s">
        <v>645</v>
      </c>
      <c r="K164" s="59" t="s">
        <v>646</v>
      </c>
      <c r="L164" s="59" t="s">
        <v>647</v>
      </c>
      <c r="M164" s="59"/>
      <c r="N164" s="59"/>
      <c r="O164" s="59"/>
      <c r="P164" s="120">
        <v>45975.0</v>
      </c>
      <c r="Q164" s="151" t="s">
        <v>367</v>
      </c>
      <c r="R164" s="59"/>
    </row>
    <row r="165" ht="15.75" customHeight="1">
      <c r="A165" s="35">
        <v>33.0</v>
      </c>
      <c r="B165" s="35" t="s">
        <v>655</v>
      </c>
      <c r="C165" s="35" t="s">
        <v>488</v>
      </c>
      <c r="D165" s="35">
        <v>2.0</v>
      </c>
      <c r="E165" s="228">
        <v>2.0</v>
      </c>
      <c r="F165" s="35">
        <f>'90186_2024'!$D165-'90186_2024'!$E165</f>
        <v>0</v>
      </c>
      <c r="G165" s="40">
        <v>328900.0</v>
      </c>
      <c r="H165" s="40">
        <f t="shared" si="2"/>
        <v>657800</v>
      </c>
      <c r="I165" s="236" t="s">
        <v>89</v>
      </c>
      <c r="J165" s="44" t="s">
        <v>656</v>
      </c>
      <c r="K165" s="44" t="s">
        <v>657</v>
      </c>
      <c r="L165" s="44" t="s">
        <v>658</v>
      </c>
      <c r="M165" s="44"/>
      <c r="N165" s="44"/>
      <c r="O165" s="44"/>
      <c r="P165" s="44"/>
      <c r="Q165" s="149" t="s">
        <v>367</v>
      </c>
      <c r="R165" s="44"/>
      <c r="S165" s="155"/>
      <c r="T165" s="155"/>
      <c r="U165" s="155"/>
      <c r="V165" s="155"/>
      <c r="W165" s="155"/>
      <c r="X165" s="155"/>
      <c r="Y165" s="155"/>
      <c r="Z165" s="155"/>
    </row>
    <row r="166" ht="15.75" customHeight="1">
      <c r="A166" s="52">
        <v>33.0</v>
      </c>
      <c r="B166" s="52" t="s">
        <v>655</v>
      </c>
      <c r="C166" s="52" t="s">
        <v>488</v>
      </c>
      <c r="D166" s="52">
        <v>2.0</v>
      </c>
      <c r="E166" s="228">
        <v>2.0</v>
      </c>
      <c r="F166" s="52">
        <f>'90186_2024'!$D166-'90186_2024'!$E166</f>
        <v>0</v>
      </c>
      <c r="G166" s="54">
        <v>328900.0</v>
      </c>
      <c r="H166" s="54">
        <f t="shared" si="2"/>
        <v>657800</v>
      </c>
      <c r="I166" s="246" t="s">
        <v>179</v>
      </c>
      <c r="J166" s="59" t="s">
        <v>656</v>
      </c>
      <c r="K166" s="59" t="s">
        <v>657</v>
      </c>
      <c r="L166" s="59" t="s">
        <v>658</v>
      </c>
      <c r="M166" s="59"/>
      <c r="N166" s="59"/>
      <c r="O166" s="59"/>
      <c r="P166" s="59"/>
      <c r="Q166" s="151" t="s">
        <v>367</v>
      </c>
      <c r="R166" s="59"/>
      <c r="S166" s="155"/>
      <c r="T166" s="155"/>
      <c r="U166" s="155"/>
      <c r="V166" s="155"/>
      <c r="W166" s="155"/>
      <c r="X166" s="155"/>
      <c r="Y166" s="155"/>
      <c r="Z166" s="155"/>
    </row>
    <row r="167" ht="15.75" customHeight="1">
      <c r="A167" s="35">
        <v>33.0</v>
      </c>
      <c r="B167" s="35" t="s">
        <v>655</v>
      </c>
      <c r="C167" s="35" t="s">
        <v>488</v>
      </c>
      <c r="D167" s="35">
        <v>3.0</v>
      </c>
      <c r="E167" s="228">
        <v>3.0</v>
      </c>
      <c r="F167" s="35">
        <f>'90186_2024'!$D167-'90186_2024'!$E167</f>
        <v>0</v>
      </c>
      <c r="G167" s="40">
        <v>328900.0</v>
      </c>
      <c r="H167" s="40">
        <f t="shared" si="2"/>
        <v>986700</v>
      </c>
      <c r="I167" s="236" t="s">
        <v>202</v>
      </c>
      <c r="J167" s="44" t="s">
        <v>656</v>
      </c>
      <c r="K167" s="44" t="s">
        <v>657</v>
      </c>
      <c r="L167" s="44" t="s">
        <v>658</v>
      </c>
      <c r="M167" s="44"/>
      <c r="N167" s="44"/>
      <c r="O167" s="44"/>
      <c r="P167" s="44"/>
      <c r="Q167" s="149" t="s">
        <v>367</v>
      </c>
      <c r="R167" s="44"/>
      <c r="S167" s="155"/>
      <c r="T167" s="155"/>
      <c r="U167" s="155"/>
      <c r="V167" s="155"/>
      <c r="W167" s="155"/>
      <c r="X167" s="155"/>
      <c r="Y167" s="155"/>
      <c r="Z167" s="155"/>
    </row>
    <row r="168" ht="15.75" customHeight="1">
      <c r="A168" s="52">
        <v>33.0</v>
      </c>
      <c r="B168" s="52" t="s">
        <v>655</v>
      </c>
      <c r="C168" s="52" t="s">
        <v>488</v>
      </c>
      <c r="D168" s="52">
        <v>2.0</v>
      </c>
      <c r="E168" s="228">
        <v>2.0</v>
      </c>
      <c r="F168" s="52">
        <f>'90186_2024'!$D168-'90186_2024'!$E168</f>
        <v>0</v>
      </c>
      <c r="G168" s="54">
        <v>328900.0</v>
      </c>
      <c r="H168" s="54">
        <f t="shared" si="2"/>
        <v>657800</v>
      </c>
      <c r="I168" s="246" t="s">
        <v>111</v>
      </c>
      <c r="J168" s="59" t="s">
        <v>656</v>
      </c>
      <c r="K168" s="59" t="s">
        <v>657</v>
      </c>
      <c r="L168" s="59" t="s">
        <v>658</v>
      </c>
      <c r="M168" s="59"/>
      <c r="N168" s="59"/>
      <c r="O168" s="59"/>
      <c r="P168" s="59"/>
      <c r="Q168" s="151" t="s">
        <v>367</v>
      </c>
      <c r="R168" s="59"/>
      <c r="S168" s="155"/>
      <c r="T168" s="155"/>
      <c r="U168" s="155"/>
      <c r="V168" s="155"/>
      <c r="W168" s="155"/>
      <c r="X168" s="155"/>
      <c r="Y168" s="155"/>
      <c r="Z168" s="155"/>
    </row>
    <row r="169" ht="15.75" customHeight="1">
      <c r="A169" s="35">
        <v>33.0</v>
      </c>
      <c r="B169" s="35" t="s">
        <v>655</v>
      </c>
      <c r="C169" s="35" t="s">
        <v>488</v>
      </c>
      <c r="D169" s="35">
        <v>9.0</v>
      </c>
      <c r="E169" s="216">
        <v>9.0</v>
      </c>
      <c r="F169" s="35">
        <f>'90186_2024'!$D169-'90186_2024'!$E169</f>
        <v>0</v>
      </c>
      <c r="G169" s="40">
        <v>328900.0</v>
      </c>
      <c r="H169" s="40">
        <f t="shared" si="2"/>
        <v>2960100</v>
      </c>
      <c r="I169" s="236" t="s">
        <v>221</v>
      </c>
      <c r="J169" s="44" t="s">
        <v>656</v>
      </c>
      <c r="K169" s="44" t="s">
        <v>657</v>
      </c>
      <c r="L169" s="44" t="s">
        <v>658</v>
      </c>
      <c r="M169" s="44"/>
      <c r="N169" s="44"/>
      <c r="O169" s="44"/>
      <c r="P169" s="44"/>
      <c r="Q169" s="149" t="s">
        <v>367</v>
      </c>
      <c r="R169" s="44"/>
      <c r="S169" s="155"/>
      <c r="T169" s="155"/>
      <c r="U169" s="155"/>
      <c r="V169" s="155"/>
      <c r="W169" s="155"/>
      <c r="X169" s="155"/>
      <c r="Y169" s="155"/>
      <c r="Z169" s="155"/>
    </row>
    <row r="170" ht="15.75" customHeight="1">
      <c r="A170" s="52">
        <v>34.0</v>
      </c>
      <c r="B170" s="52" t="s">
        <v>661</v>
      </c>
      <c r="C170" s="52" t="s">
        <v>662</v>
      </c>
      <c r="D170" s="52">
        <v>2.0</v>
      </c>
      <c r="E170" s="52">
        <v>0.0</v>
      </c>
      <c r="F170" s="52">
        <f>'90186_2024'!$D170-'90186_2024'!$E170</f>
        <v>2</v>
      </c>
      <c r="G170" s="54">
        <v>535295.0</v>
      </c>
      <c r="H170" s="54">
        <f t="shared" si="2"/>
        <v>1070590</v>
      </c>
      <c r="I170" s="246" t="s">
        <v>197</v>
      </c>
      <c r="J170" s="59" t="s">
        <v>663</v>
      </c>
      <c r="K170" s="59" t="s">
        <v>664</v>
      </c>
      <c r="L170" s="59" t="s">
        <v>665</v>
      </c>
      <c r="M170" s="59"/>
      <c r="N170" s="59"/>
      <c r="O170" s="59"/>
      <c r="P170" s="59"/>
      <c r="Q170" s="151" t="s">
        <v>367</v>
      </c>
      <c r="R170" s="59"/>
      <c r="S170" s="155"/>
      <c r="T170" s="155"/>
      <c r="U170" s="155"/>
      <c r="V170" s="155"/>
      <c r="W170" s="155"/>
      <c r="X170" s="155"/>
      <c r="Y170" s="155"/>
      <c r="Z170" s="155"/>
    </row>
    <row r="171" ht="15.75" customHeight="1">
      <c r="A171" s="35">
        <v>35.0</v>
      </c>
      <c r="B171" s="35" t="s">
        <v>666</v>
      </c>
      <c r="C171" s="35" t="s">
        <v>327</v>
      </c>
      <c r="D171" s="35">
        <v>1.0</v>
      </c>
      <c r="E171" s="33">
        <v>0.0</v>
      </c>
      <c r="F171" s="35">
        <f>'90186_2024'!$D171-'90186_2024'!$E171</f>
        <v>1</v>
      </c>
      <c r="G171" s="40">
        <v>81500.0</v>
      </c>
      <c r="H171" s="40">
        <f t="shared" si="2"/>
        <v>81500</v>
      </c>
      <c r="I171" s="236" t="s">
        <v>85</v>
      </c>
      <c r="J171" s="44" t="s">
        <v>667</v>
      </c>
      <c r="K171" s="44" t="s">
        <v>668</v>
      </c>
      <c r="L171" s="44" t="s">
        <v>669</v>
      </c>
      <c r="M171" s="44"/>
      <c r="N171" s="44"/>
      <c r="O171" s="44"/>
      <c r="P171" s="44"/>
      <c r="Q171" s="149" t="s">
        <v>367</v>
      </c>
      <c r="R171" s="44"/>
      <c r="S171" s="155"/>
      <c r="T171" s="155"/>
      <c r="U171" s="155"/>
      <c r="V171" s="155"/>
      <c r="W171" s="155"/>
      <c r="X171" s="155"/>
      <c r="Y171" s="155"/>
      <c r="Z171" s="155"/>
    </row>
    <row r="172" ht="15.75" customHeight="1">
      <c r="A172" s="52">
        <v>35.0</v>
      </c>
      <c r="B172" s="52" t="s">
        <v>666</v>
      </c>
      <c r="C172" s="52" t="s">
        <v>327</v>
      </c>
      <c r="D172" s="52">
        <v>1.0</v>
      </c>
      <c r="E172" s="49">
        <v>0.0</v>
      </c>
      <c r="F172" s="52">
        <f>'90186_2024'!$D172-'90186_2024'!$E172</f>
        <v>1</v>
      </c>
      <c r="G172" s="54">
        <v>81500.0</v>
      </c>
      <c r="H172" s="54">
        <f t="shared" si="2"/>
        <v>81500</v>
      </c>
      <c r="I172" s="246" t="s">
        <v>161</v>
      </c>
      <c r="J172" s="59" t="s">
        <v>667</v>
      </c>
      <c r="K172" s="59" t="s">
        <v>668</v>
      </c>
      <c r="L172" s="59" t="s">
        <v>669</v>
      </c>
      <c r="M172" s="59"/>
      <c r="N172" s="59"/>
      <c r="O172" s="59"/>
      <c r="P172" s="59"/>
      <c r="Q172" s="151" t="s">
        <v>367</v>
      </c>
      <c r="R172" s="59"/>
      <c r="S172" s="155"/>
      <c r="T172" s="155"/>
      <c r="U172" s="155"/>
      <c r="V172" s="155"/>
      <c r="W172" s="155"/>
      <c r="X172" s="155"/>
      <c r="Y172" s="155"/>
      <c r="Z172" s="155"/>
    </row>
    <row r="173" ht="15.75" customHeight="1">
      <c r="A173" s="35">
        <v>35.0</v>
      </c>
      <c r="B173" s="35" t="s">
        <v>666</v>
      </c>
      <c r="C173" s="35" t="s">
        <v>327</v>
      </c>
      <c r="D173" s="35">
        <v>1.0</v>
      </c>
      <c r="E173" s="216">
        <v>1.0</v>
      </c>
      <c r="F173" s="35">
        <f>'90186_2024'!$D173-'90186_2024'!$E173</f>
        <v>0</v>
      </c>
      <c r="G173" s="40">
        <v>81500.0</v>
      </c>
      <c r="H173" s="40">
        <f t="shared" si="2"/>
        <v>81500</v>
      </c>
      <c r="I173" s="236" t="s">
        <v>89</v>
      </c>
      <c r="J173" s="44" t="s">
        <v>667</v>
      </c>
      <c r="K173" s="44" t="s">
        <v>668</v>
      </c>
      <c r="L173" s="44" t="s">
        <v>669</v>
      </c>
      <c r="M173" s="44"/>
      <c r="N173" s="44"/>
      <c r="O173" s="44"/>
      <c r="P173" s="44"/>
      <c r="Q173" s="149" t="s">
        <v>367</v>
      </c>
      <c r="R173" s="44"/>
      <c r="S173" s="155"/>
      <c r="T173" s="155"/>
      <c r="U173" s="155"/>
      <c r="V173" s="155"/>
      <c r="W173" s="155"/>
      <c r="X173" s="155"/>
      <c r="Y173" s="155"/>
      <c r="Z173" s="155"/>
    </row>
    <row r="174" ht="15.75" customHeight="1">
      <c r="A174" s="52">
        <v>35.0</v>
      </c>
      <c r="B174" s="52" t="s">
        <v>666</v>
      </c>
      <c r="C174" s="52" t="s">
        <v>327</v>
      </c>
      <c r="D174" s="52">
        <v>1.0</v>
      </c>
      <c r="E174" s="216">
        <v>1.0</v>
      </c>
      <c r="F174" s="52">
        <f>'90186_2024'!$D174-'90186_2024'!$E174</f>
        <v>0</v>
      </c>
      <c r="G174" s="54">
        <v>81500.0</v>
      </c>
      <c r="H174" s="54">
        <f t="shared" si="2"/>
        <v>81500</v>
      </c>
      <c r="I174" s="246" t="s">
        <v>179</v>
      </c>
      <c r="J174" s="59" t="s">
        <v>667</v>
      </c>
      <c r="K174" s="59" t="s">
        <v>668</v>
      </c>
      <c r="L174" s="59" t="s">
        <v>669</v>
      </c>
      <c r="M174" s="59"/>
      <c r="N174" s="59"/>
      <c r="O174" s="59"/>
      <c r="P174" s="59"/>
      <c r="Q174" s="151" t="s">
        <v>367</v>
      </c>
      <c r="R174" s="59"/>
      <c r="S174" s="155"/>
      <c r="T174" s="155"/>
      <c r="U174" s="155"/>
      <c r="V174" s="155"/>
      <c r="W174" s="155"/>
      <c r="X174" s="155"/>
      <c r="Y174" s="155"/>
      <c r="Z174" s="155"/>
    </row>
    <row r="175" ht="15.75" customHeight="1">
      <c r="A175" s="35">
        <v>35.0</v>
      </c>
      <c r="B175" s="35" t="s">
        <v>666</v>
      </c>
      <c r="C175" s="35" t="s">
        <v>327</v>
      </c>
      <c r="D175" s="35">
        <v>1.0</v>
      </c>
      <c r="E175" s="216">
        <v>1.0</v>
      </c>
      <c r="F175" s="35">
        <f>'90186_2024'!$D175-'90186_2024'!$E175</f>
        <v>0</v>
      </c>
      <c r="G175" s="40">
        <v>81500.0</v>
      </c>
      <c r="H175" s="40">
        <f t="shared" si="2"/>
        <v>81500</v>
      </c>
      <c r="I175" s="236" t="s">
        <v>191</v>
      </c>
      <c r="J175" s="44" t="s">
        <v>667</v>
      </c>
      <c r="K175" s="44" t="s">
        <v>668</v>
      </c>
      <c r="L175" s="44" t="s">
        <v>669</v>
      </c>
      <c r="M175" s="44"/>
      <c r="N175" s="44"/>
      <c r="O175" s="44"/>
      <c r="P175" s="44"/>
      <c r="Q175" s="149" t="s">
        <v>367</v>
      </c>
      <c r="R175" s="44"/>
      <c r="S175" s="155"/>
      <c r="T175" s="155"/>
      <c r="U175" s="155"/>
      <c r="V175" s="155"/>
      <c r="W175" s="155"/>
      <c r="X175" s="155"/>
      <c r="Y175" s="155"/>
      <c r="Z175" s="155"/>
    </row>
    <row r="176" ht="15.75" customHeight="1">
      <c r="A176" s="52">
        <v>35.0</v>
      </c>
      <c r="B176" s="52" t="s">
        <v>666</v>
      </c>
      <c r="C176" s="52" t="s">
        <v>327</v>
      </c>
      <c r="D176" s="52">
        <v>1.0</v>
      </c>
      <c r="E176" s="249">
        <v>1.0</v>
      </c>
      <c r="F176" s="52">
        <f>'90186_2024'!$D176-'90186_2024'!$E176</f>
        <v>0</v>
      </c>
      <c r="G176" s="54">
        <v>81500.0</v>
      </c>
      <c r="H176" s="54">
        <f t="shared" si="2"/>
        <v>81500</v>
      </c>
      <c r="I176" s="246" t="s">
        <v>111</v>
      </c>
      <c r="J176" s="59" t="s">
        <v>667</v>
      </c>
      <c r="K176" s="59" t="s">
        <v>668</v>
      </c>
      <c r="L176" s="59" t="s">
        <v>669</v>
      </c>
      <c r="M176" s="59"/>
      <c r="N176" s="59"/>
      <c r="O176" s="59"/>
      <c r="P176" s="59"/>
      <c r="Q176" s="151" t="s">
        <v>367</v>
      </c>
      <c r="R176" s="59"/>
      <c r="S176" s="155"/>
      <c r="T176" s="155"/>
      <c r="U176" s="155"/>
      <c r="V176" s="155"/>
      <c r="W176" s="155"/>
      <c r="X176" s="155"/>
      <c r="Y176" s="155"/>
      <c r="Z176" s="155"/>
    </row>
    <row r="177" ht="15.75" customHeight="1">
      <c r="A177" s="35">
        <v>35.0</v>
      </c>
      <c r="B177" s="35" t="s">
        <v>666</v>
      </c>
      <c r="C177" s="35" t="s">
        <v>327</v>
      </c>
      <c r="D177" s="35">
        <v>1.0</v>
      </c>
      <c r="E177" s="216">
        <v>1.0</v>
      </c>
      <c r="F177" s="35">
        <f>'90186_2024'!$D177-'90186_2024'!$E177</f>
        <v>0</v>
      </c>
      <c r="G177" s="40">
        <v>81500.0</v>
      </c>
      <c r="H177" s="40">
        <f t="shared" si="2"/>
        <v>81500</v>
      </c>
      <c r="I177" s="236" t="s">
        <v>221</v>
      </c>
      <c r="J177" s="44" t="s">
        <v>667</v>
      </c>
      <c r="K177" s="44" t="s">
        <v>668</v>
      </c>
      <c r="L177" s="44" t="s">
        <v>669</v>
      </c>
      <c r="M177" s="44"/>
      <c r="N177" s="44"/>
      <c r="O177" s="44"/>
      <c r="P177" s="44"/>
      <c r="Q177" s="149" t="s">
        <v>367</v>
      </c>
      <c r="R177" s="44"/>
      <c r="S177" s="155"/>
      <c r="T177" s="155"/>
      <c r="U177" s="155"/>
      <c r="V177" s="155"/>
      <c r="W177" s="155"/>
      <c r="X177" s="155"/>
      <c r="Y177" s="155"/>
      <c r="Z177" s="155"/>
    </row>
    <row r="178" ht="15.75" customHeight="1">
      <c r="A178" s="52">
        <v>35.0</v>
      </c>
      <c r="B178" s="52" t="s">
        <v>666</v>
      </c>
      <c r="C178" s="52" t="s">
        <v>327</v>
      </c>
      <c r="D178" s="52">
        <v>1.0</v>
      </c>
      <c r="E178" s="49">
        <v>0.0</v>
      </c>
      <c r="F178" s="52">
        <f>'90186_2024'!$D178-'90186_2024'!$E178</f>
        <v>1</v>
      </c>
      <c r="G178" s="54">
        <v>81500.0</v>
      </c>
      <c r="H178" s="54">
        <f t="shared" si="2"/>
        <v>81500</v>
      </c>
      <c r="I178" s="246" t="s">
        <v>175</v>
      </c>
      <c r="J178" s="59" t="s">
        <v>667</v>
      </c>
      <c r="K178" s="59" t="s">
        <v>668</v>
      </c>
      <c r="L178" s="59" t="s">
        <v>669</v>
      </c>
      <c r="M178" s="59"/>
      <c r="N178" s="59"/>
      <c r="O178" s="59"/>
      <c r="P178" s="59"/>
      <c r="Q178" s="151" t="s">
        <v>367</v>
      </c>
      <c r="R178" s="59"/>
      <c r="S178" s="155"/>
      <c r="T178" s="155"/>
      <c r="U178" s="155"/>
      <c r="V178" s="155"/>
      <c r="W178" s="155"/>
      <c r="X178" s="155"/>
      <c r="Y178" s="155"/>
      <c r="Z178" s="155"/>
    </row>
    <row r="179" ht="15.75" customHeight="1">
      <c r="A179" s="35">
        <v>35.0</v>
      </c>
      <c r="B179" s="35" t="s">
        <v>666</v>
      </c>
      <c r="C179" s="35" t="s">
        <v>327</v>
      </c>
      <c r="D179" s="35">
        <v>1.0</v>
      </c>
      <c r="E179" s="33">
        <v>0.0</v>
      </c>
      <c r="F179" s="35">
        <f>'90186_2024'!$D179-'90186_2024'!$E179</f>
        <v>1</v>
      </c>
      <c r="G179" s="40">
        <v>81500.0</v>
      </c>
      <c r="H179" s="40">
        <f t="shared" si="2"/>
        <v>81500</v>
      </c>
      <c r="I179" s="236" t="s">
        <v>160</v>
      </c>
      <c r="J179" s="44" t="s">
        <v>667</v>
      </c>
      <c r="K179" s="44" t="s">
        <v>668</v>
      </c>
      <c r="L179" s="44" t="s">
        <v>669</v>
      </c>
      <c r="M179" s="44"/>
      <c r="N179" s="44"/>
      <c r="O179" s="44"/>
      <c r="P179" s="44"/>
      <c r="Q179" s="149" t="s">
        <v>367</v>
      </c>
      <c r="R179" s="44"/>
      <c r="S179" s="155"/>
      <c r="T179" s="155"/>
      <c r="U179" s="155"/>
      <c r="V179" s="155"/>
      <c r="W179" s="155"/>
      <c r="X179" s="155"/>
      <c r="Y179" s="155"/>
      <c r="Z179" s="155"/>
    </row>
    <row r="180" ht="15.75" customHeight="1">
      <c r="A180" s="52">
        <v>35.0</v>
      </c>
      <c r="B180" s="52" t="s">
        <v>666</v>
      </c>
      <c r="C180" s="52" t="s">
        <v>327</v>
      </c>
      <c r="D180" s="52">
        <v>1.0</v>
      </c>
      <c r="E180" s="49">
        <v>0.0</v>
      </c>
      <c r="F180" s="52">
        <f>'90186_2024'!$D180-'90186_2024'!$E180</f>
        <v>1</v>
      </c>
      <c r="G180" s="54">
        <v>81500.0</v>
      </c>
      <c r="H180" s="54">
        <f t="shared" si="2"/>
        <v>81500</v>
      </c>
      <c r="I180" s="246" t="s">
        <v>201</v>
      </c>
      <c r="J180" s="59" t="s">
        <v>667</v>
      </c>
      <c r="K180" s="59" t="s">
        <v>668</v>
      </c>
      <c r="L180" s="59" t="s">
        <v>669</v>
      </c>
      <c r="M180" s="59"/>
      <c r="N180" s="59"/>
      <c r="O180" s="59"/>
      <c r="P180" s="59"/>
      <c r="Q180" s="151" t="s">
        <v>367</v>
      </c>
      <c r="R180" s="59"/>
      <c r="S180" s="155"/>
      <c r="T180" s="155"/>
      <c r="U180" s="155"/>
      <c r="V180" s="155"/>
      <c r="W180" s="155"/>
      <c r="X180" s="155"/>
      <c r="Y180" s="155"/>
      <c r="Z180" s="155"/>
    </row>
    <row r="181" ht="15.75" customHeight="1">
      <c r="A181" s="35">
        <v>36.0</v>
      </c>
      <c r="B181" s="35" t="s">
        <v>678</v>
      </c>
      <c r="C181" s="35" t="s">
        <v>539</v>
      </c>
      <c r="D181" s="35">
        <v>1.0</v>
      </c>
      <c r="E181" s="35">
        <v>0.0</v>
      </c>
      <c r="F181" s="35">
        <f>'90186_2024'!$D181-'90186_2024'!$E181</f>
        <v>1</v>
      </c>
      <c r="G181" s="40">
        <v>585000.0</v>
      </c>
      <c r="H181" s="40">
        <f t="shared" si="2"/>
        <v>585000</v>
      </c>
      <c r="I181" s="236" t="s">
        <v>134</v>
      </c>
      <c r="J181" s="44" t="s">
        <v>682</v>
      </c>
      <c r="K181" s="44" t="s">
        <v>325</v>
      </c>
      <c r="L181" s="44" t="s">
        <v>236</v>
      </c>
      <c r="M181" s="44"/>
      <c r="N181" s="44"/>
      <c r="O181" s="44"/>
      <c r="P181" s="44"/>
      <c r="Q181" s="149" t="s">
        <v>367</v>
      </c>
      <c r="R181" s="44"/>
      <c r="S181" s="155"/>
      <c r="T181" s="155"/>
      <c r="U181" s="155"/>
      <c r="V181" s="155"/>
      <c r="W181" s="155"/>
      <c r="X181" s="155"/>
      <c r="Y181" s="155"/>
      <c r="Z181" s="155"/>
    </row>
    <row r="182" ht="15.75" customHeight="1">
      <c r="A182" s="246">
        <v>37.0</v>
      </c>
      <c r="B182" s="246" t="s">
        <v>687</v>
      </c>
      <c r="C182" s="246" t="s">
        <v>198</v>
      </c>
      <c r="D182" s="246">
        <v>1.0</v>
      </c>
      <c r="E182" s="52">
        <v>0.0</v>
      </c>
      <c r="F182" s="246">
        <f>'90186_2024'!$D182-'90186_2024'!$E182</f>
        <v>1</v>
      </c>
      <c r="G182" s="256">
        <v>584000.0</v>
      </c>
      <c r="H182" s="54">
        <f t="shared" si="2"/>
        <v>584000</v>
      </c>
      <c r="I182" s="246" t="s">
        <v>688</v>
      </c>
      <c r="J182" s="114" t="s">
        <v>689</v>
      </c>
      <c r="K182" s="59" t="s">
        <v>585</v>
      </c>
      <c r="L182" s="114" t="s">
        <v>690</v>
      </c>
      <c r="M182" s="114"/>
      <c r="N182" s="114"/>
      <c r="O182" s="114"/>
      <c r="P182" s="114"/>
      <c r="Q182" s="151" t="s">
        <v>367</v>
      </c>
      <c r="R182" s="59"/>
      <c r="S182" s="155"/>
      <c r="T182" s="155"/>
      <c r="U182" s="155"/>
      <c r="V182" s="155"/>
      <c r="W182" s="155"/>
      <c r="X182" s="155"/>
      <c r="Y182" s="155"/>
      <c r="Z182" s="155"/>
    </row>
    <row r="183" ht="15.75" customHeight="1">
      <c r="A183" s="35"/>
      <c r="B183" s="35"/>
      <c r="C183" s="35"/>
      <c r="D183" s="35"/>
      <c r="E183" s="35"/>
      <c r="F183" s="35"/>
      <c r="G183" s="40"/>
      <c r="H183" s="40"/>
      <c r="I183" s="257"/>
      <c r="J183" s="44"/>
      <c r="K183" s="44"/>
      <c r="L183" s="44"/>
      <c r="M183" s="44"/>
      <c r="N183" s="44"/>
      <c r="O183" s="44"/>
      <c r="P183" s="44"/>
      <c r="Q183" s="149" t="s">
        <v>367</v>
      </c>
      <c r="R183" s="44"/>
    </row>
    <row r="184" ht="15.75" customHeight="1">
      <c r="A184" s="52"/>
      <c r="B184" s="52"/>
      <c r="C184" s="52"/>
      <c r="D184" s="52"/>
      <c r="E184" s="52"/>
      <c r="F184" s="52"/>
      <c r="G184" s="54"/>
      <c r="H184" s="54">
        <f>SUM(H3:H182)</f>
        <v>105955824.2</v>
      </c>
      <c r="I184" s="258"/>
      <c r="J184" s="59"/>
      <c r="K184" s="59"/>
      <c r="L184" s="59"/>
      <c r="M184" s="59"/>
      <c r="N184" s="59"/>
      <c r="O184" s="59"/>
      <c r="P184" s="59"/>
      <c r="Q184" s="59"/>
      <c r="R184" s="113"/>
    </row>
    <row r="185" ht="15.75" customHeight="1">
      <c r="J185" s="19"/>
    </row>
    <row r="186" ht="15.75" customHeight="1">
      <c r="J186" s="19"/>
    </row>
    <row r="187" ht="15.75" customHeight="1">
      <c r="J187" s="19"/>
    </row>
    <row r="188" ht="15.75" customHeight="1">
      <c r="J188" s="19"/>
    </row>
    <row r="189" ht="15.75" customHeight="1">
      <c r="J189" s="19"/>
    </row>
    <row r="190" ht="15.75" customHeight="1">
      <c r="J190" s="19"/>
    </row>
    <row r="191" ht="15.75" customHeight="1">
      <c r="J191" s="19"/>
    </row>
    <row r="192" ht="15.75" customHeight="1">
      <c r="J192" s="19"/>
    </row>
    <row r="193" ht="15.75" customHeight="1">
      <c r="J193" s="19"/>
    </row>
    <row r="194" ht="15.75" customHeight="1">
      <c r="J194" s="19"/>
    </row>
    <row r="195" ht="15.75" customHeight="1">
      <c r="J195" s="19"/>
    </row>
    <row r="196" ht="15.75" customHeight="1">
      <c r="J196" s="19"/>
    </row>
    <row r="197" ht="15.75" customHeight="1">
      <c r="J197" s="19"/>
    </row>
    <row r="198" ht="15.75" customHeight="1">
      <c r="J198" s="19"/>
    </row>
    <row r="199" ht="15.75" customHeight="1">
      <c r="J199" s="19"/>
    </row>
    <row r="200" ht="15.75" customHeight="1">
      <c r="J200" s="19"/>
    </row>
    <row r="201" ht="15.75" customHeight="1">
      <c r="J201" s="19"/>
    </row>
    <row r="202" ht="15.75" customHeight="1">
      <c r="J202" s="19"/>
    </row>
    <row r="203" ht="15.75" customHeight="1">
      <c r="J203" s="19"/>
    </row>
    <row r="204" ht="15.75" customHeight="1">
      <c r="J204" s="19"/>
    </row>
    <row r="205" ht="15.75" customHeight="1">
      <c r="J205" s="19"/>
    </row>
    <row r="206" ht="15.75" customHeight="1">
      <c r="J206" s="19"/>
    </row>
    <row r="207" ht="15.75" customHeight="1">
      <c r="J207" s="19"/>
    </row>
    <row r="208" ht="15.75" customHeight="1">
      <c r="J208" s="19"/>
    </row>
    <row r="209" ht="15.75" customHeight="1">
      <c r="J209" s="19"/>
    </row>
    <row r="210" ht="15.75" customHeight="1">
      <c r="J210" s="19"/>
    </row>
    <row r="211" ht="15.75" customHeight="1">
      <c r="J211" s="19"/>
    </row>
    <row r="212" ht="15.75" customHeight="1">
      <c r="J212" s="19"/>
    </row>
    <row r="213" ht="15.75" customHeight="1">
      <c r="J213" s="19"/>
    </row>
    <row r="214" ht="15.75" customHeight="1">
      <c r="J214" s="19"/>
    </row>
    <row r="215" ht="15.75" customHeight="1">
      <c r="J215" s="19"/>
    </row>
    <row r="216" ht="15.75" customHeight="1">
      <c r="J216" s="19"/>
    </row>
    <row r="217" ht="15.75" customHeight="1">
      <c r="J217" s="19"/>
    </row>
    <row r="218" ht="15.75" customHeight="1">
      <c r="J218" s="19"/>
    </row>
    <row r="219" ht="15.75" customHeight="1">
      <c r="J219" s="19"/>
    </row>
    <row r="220" ht="15.75" customHeight="1">
      <c r="J220" s="19"/>
    </row>
    <row r="221" ht="15.75" customHeight="1">
      <c r="J221" s="19"/>
    </row>
    <row r="222" ht="15.75" customHeight="1">
      <c r="J222" s="19"/>
    </row>
    <row r="223" ht="15.75" customHeight="1">
      <c r="J223" s="19"/>
    </row>
    <row r="224" ht="15.75" customHeight="1">
      <c r="J224" s="19"/>
    </row>
    <row r="225" ht="15.75" customHeight="1">
      <c r="J225" s="19"/>
    </row>
    <row r="226" ht="15.75" customHeight="1">
      <c r="J226" s="19"/>
    </row>
    <row r="227" ht="15.75" customHeight="1">
      <c r="J227" s="19"/>
    </row>
    <row r="228" ht="15.75" customHeight="1">
      <c r="J228" s="19"/>
    </row>
    <row r="229" ht="15.75" customHeight="1">
      <c r="J229" s="19"/>
    </row>
    <row r="230" ht="15.75" customHeight="1">
      <c r="J230" s="19"/>
    </row>
    <row r="231" ht="15.75" customHeight="1">
      <c r="J231" s="19"/>
    </row>
    <row r="232" ht="15.75" customHeight="1">
      <c r="J232" s="19"/>
    </row>
    <row r="233" ht="15.75" customHeight="1">
      <c r="J233" s="19"/>
    </row>
    <row r="234" ht="15.75" customHeight="1">
      <c r="J234" s="19"/>
    </row>
    <row r="235" ht="15.75" customHeight="1">
      <c r="J235" s="19"/>
    </row>
    <row r="236" ht="15.75" customHeight="1">
      <c r="J236" s="19"/>
    </row>
    <row r="237" ht="15.75" customHeight="1">
      <c r="J237" s="19"/>
    </row>
    <row r="238" ht="15.75" customHeight="1">
      <c r="J238" s="19"/>
    </row>
    <row r="239" ht="15.75" customHeight="1">
      <c r="J239" s="19"/>
    </row>
    <row r="240" ht="15.75" customHeight="1">
      <c r="J240" s="19"/>
    </row>
    <row r="241" ht="15.75" customHeight="1">
      <c r="J241" s="19"/>
    </row>
    <row r="242" ht="15.75" customHeight="1">
      <c r="J242" s="19"/>
    </row>
    <row r="243" ht="15.75" customHeight="1">
      <c r="J243" s="19"/>
    </row>
    <row r="244" ht="15.75" customHeight="1">
      <c r="J244" s="19"/>
    </row>
    <row r="245" ht="15.75" customHeight="1">
      <c r="J245" s="19"/>
    </row>
    <row r="246" ht="15.75" customHeight="1">
      <c r="J246" s="19"/>
    </row>
    <row r="247" ht="15.75" customHeight="1">
      <c r="J247" s="19"/>
    </row>
    <row r="248" ht="15.75" customHeight="1">
      <c r="J248" s="19"/>
    </row>
    <row r="249" ht="15.75" customHeight="1">
      <c r="J249" s="19"/>
    </row>
    <row r="250" ht="15.75" customHeight="1">
      <c r="J250" s="19"/>
    </row>
    <row r="251" ht="15.75" customHeight="1">
      <c r="J251" s="19"/>
    </row>
    <row r="252" ht="15.75" customHeight="1">
      <c r="J252" s="19"/>
    </row>
    <row r="253" ht="15.75" customHeight="1">
      <c r="J253" s="19"/>
    </row>
    <row r="254" ht="15.75" customHeight="1">
      <c r="J254" s="19"/>
    </row>
    <row r="255" ht="15.75" customHeight="1">
      <c r="J255" s="19"/>
    </row>
    <row r="256" ht="15.75" customHeight="1">
      <c r="J256" s="19"/>
    </row>
    <row r="257" ht="15.75" customHeight="1">
      <c r="J257" s="19"/>
    </row>
    <row r="258" ht="15.75" customHeight="1">
      <c r="J258" s="19"/>
    </row>
    <row r="259" ht="15.75" customHeight="1">
      <c r="J259" s="19"/>
    </row>
    <row r="260" ht="15.75" customHeight="1">
      <c r="J260" s="19"/>
    </row>
    <row r="261" ht="15.75" customHeight="1">
      <c r="J261" s="19"/>
    </row>
    <row r="262" ht="15.75" customHeight="1">
      <c r="J262" s="19"/>
    </row>
    <row r="263" ht="15.75" customHeight="1">
      <c r="J263" s="19"/>
    </row>
    <row r="264" ht="15.75" customHeight="1">
      <c r="J264" s="19"/>
    </row>
    <row r="265" ht="15.75" customHeight="1">
      <c r="J265" s="19"/>
    </row>
    <row r="266" ht="15.75" customHeight="1">
      <c r="J266" s="19"/>
    </row>
    <row r="267" ht="15.75" customHeight="1">
      <c r="J267" s="19"/>
    </row>
    <row r="268" ht="15.75" customHeight="1">
      <c r="J268" s="19"/>
    </row>
    <row r="269" ht="15.75" customHeight="1">
      <c r="J269" s="19"/>
    </row>
    <row r="270" ht="15.75" customHeight="1">
      <c r="J270" s="19"/>
    </row>
    <row r="271" ht="15.75" customHeight="1">
      <c r="J271" s="19"/>
    </row>
    <row r="272" ht="15.75" customHeight="1">
      <c r="J272" s="19"/>
    </row>
    <row r="273" ht="15.75" customHeight="1">
      <c r="J273" s="19"/>
    </row>
    <row r="274" ht="15.75" customHeight="1">
      <c r="J274" s="19"/>
    </row>
    <row r="275" ht="15.75" customHeight="1">
      <c r="J275" s="19"/>
    </row>
    <row r="276" ht="15.75" customHeight="1">
      <c r="J276" s="19"/>
    </row>
    <row r="277" ht="15.75" customHeight="1">
      <c r="J277" s="19"/>
    </row>
    <row r="278" ht="15.75" customHeight="1">
      <c r="J278" s="19"/>
    </row>
    <row r="279" ht="15.75" customHeight="1">
      <c r="J279" s="19"/>
    </row>
    <row r="280" ht="15.75" customHeight="1">
      <c r="J280" s="19"/>
    </row>
    <row r="281" ht="15.75" customHeight="1">
      <c r="J281" s="19"/>
    </row>
    <row r="282" ht="15.75" customHeight="1">
      <c r="J282" s="19"/>
    </row>
    <row r="283" ht="15.75" customHeight="1">
      <c r="J283" s="19"/>
    </row>
    <row r="284" ht="15.75" customHeight="1">
      <c r="J284" s="19"/>
    </row>
    <row r="285" ht="15.75" customHeight="1">
      <c r="J285" s="19"/>
    </row>
    <row r="286" ht="15.75" customHeight="1">
      <c r="J286" s="19"/>
    </row>
    <row r="287" ht="15.75" customHeight="1">
      <c r="J287" s="19"/>
    </row>
    <row r="288" ht="15.75" customHeight="1">
      <c r="J288" s="19"/>
    </row>
    <row r="289" ht="15.75" customHeight="1">
      <c r="J289" s="19"/>
    </row>
    <row r="290" ht="15.75" customHeight="1">
      <c r="J290" s="19"/>
    </row>
    <row r="291" ht="15.75" customHeight="1">
      <c r="J291" s="19"/>
    </row>
    <row r="292" ht="15.75" customHeight="1">
      <c r="J292" s="19"/>
    </row>
    <row r="293" ht="15.75" customHeight="1">
      <c r="J293" s="19"/>
    </row>
    <row r="294" ht="15.75" customHeight="1">
      <c r="J294" s="19"/>
    </row>
    <row r="295" ht="15.75" customHeight="1">
      <c r="J295" s="19"/>
    </row>
    <row r="296" ht="15.75" customHeight="1">
      <c r="J296" s="19"/>
    </row>
    <row r="297" ht="15.75" customHeight="1">
      <c r="J297" s="19"/>
    </row>
    <row r="298" ht="15.75" customHeight="1">
      <c r="J298" s="19"/>
    </row>
    <row r="299" ht="15.75" customHeight="1">
      <c r="J299" s="19"/>
    </row>
    <row r="300" ht="15.75" customHeight="1">
      <c r="J300" s="19"/>
    </row>
    <row r="301" ht="15.75" customHeight="1">
      <c r="J301" s="19"/>
    </row>
    <row r="302" ht="15.75" customHeight="1">
      <c r="J302" s="19"/>
    </row>
    <row r="303" ht="15.75" customHeight="1">
      <c r="J303" s="19"/>
    </row>
    <row r="304" ht="15.75" customHeight="1">
      <c r="J304" s="19"/>
    </row>
    <row r="305" ht="15.75" customHeight="1">
      <c r="J305" s="19"/>
    </row>
    <row r="306" ht="15.75" customHeight="1">
      <c r="J306" s="19"/>
    </row>
    <row r="307" ht="15.75" customHeight="1">
      <c r="J307" s="19"/>
    </row>
    <row r="308" ht="15.75" customHeight="1">
      <c r="J308" s="19"/>
    </row>
    <row r="309" ht="15.75" customHeight="1">
      <c r="J309" s="19"/>
    </row>
    <row r="310" ht="15.75" customHeight="1">
      <c r="J310" s="19"/>
    </row>
    <row r="311" ht="15.75" customHeight="1">
      <c r="J311" s="19"/>
    </row>
    <row r="312" ht="15.75" customHeight="1">
      <c r="J312" s="19"/>
    </row>
    <row r="313" ht="15.75" customHeight="1">
      <c r="J313" s="19"/>
    </row>
    <row r="314" ht="15.75" customHeight="1">
      <c r="J314" s="19"/>
    </row>
    <row r="315" ht="15.75" customHeight="1">
      <c r="J315" s="19"/>
    </row>
    <row r="316" ht="15.75" customHeight="1">
      <c r="J316" s="19"/>
    </row>
    <row r="317" ht="15.75" customHeight="1">
      <c r="J317" s="19"/>
    </row>
    <row r="318" ht="15.75" customHeight="1">
      <c r="J318" s="19"/>
    </row>
    <row r="319" ht="15.75" customHeight="1">
      <c r="J319" s="19"/>
    </row>
    <row r="320" ht="15.75" customHeight="1">
      <c r="J320" s="19"/>
    </row>
    <row r="321" ht="15.75" customHeight="1">
      <c r="J321" s="19"/>
    </row>
    <row r="322" ht="15.75" customHeight="1">
      <c r="J322" s="19"/>
    </row>
    <row r="323" ht="15.75" customHeight="1">
      <c r="J323" s="19"/>
    </row>
    <row r="324" ht="15.75" customHeight="1">
      <c r="J324" s="19"/>
    </row>
    <row r="325" ht="15.75" customHeight="1">
      <c r="J325" s="19"/>
    </row>
    <row r="326" ht="15.75" customHeight="1">
      <c r="J326" s="19"/>
    </row>
    <row r="327" ht="15.75" customHeight="1">
      <c r="J327" s="19"/>
    </row>
    <row r="328" ht="15.75" customHeight="1">
      <c r="J328" s="19"/>
    </row>
    <row r="329" ht="15.75" customHeight="1">
      <c r="J329" s="19"/>
    </row>
    <row r="330" ht="15.75" customHeight="1">
      <c r="J330" s="19"/>
    </row>
    <row r="331" ht="15.75" customHeight="1">
      <c r="J331" s="19"/>
    </row>
    <row r="332" ht="15.75" customHeight="1">
      <c r="J332" s="19"/>
    </row>
    <row r="333" ht="15.75" customHeight="1">
      <c r="J333" s="19"/>
    </row>
    <row r="334" ht="15.75" customHeight="1">
      <c r="J334" s="19"/>
    </row>
    <row r="335" ht="15.75" customHeight="1">
      <c r="J335" s="19"/>
    </row>
    <row r="336" ht="15.75" customHeight="1">
      <c r="J336" s="19"/>
    </row>
    <row r="337" ht="15.75" customHeight="1">
      <c r="J337" s="19"/>
    </row>
    <row r="338" ht="15.75" customHeight="1">
      <c r="J338" s="19"/>
    </row>
    <row r="339" ht="15.75" customHeight="1">
      <c r="J339" s="19"/>
    </row>
    <row r="340" ht="15.75" customHeight="1">
      <c r="J340" s="19"/>
    </row>
    <row r="341" ht="15.75" customHeight="1">
      <c r="J341" s="19"/>
    </row>
    <row r="342" ht="15.75" customHeight="1">
      <c r="J342" s="19"/>
    </row>
    <row r="343" ht="15.75" customHeight="1">
      <c r="J343" s="19"/>
    </row>
    <row r="344" ht="15.75" customHeight="1">
      <c r="J344" s="19"/>
    </row>
    <row r="345" ht="15.75" customHeight="1">
      <c r="J345" s="19"/>
    </row>
    <row r="346" ht="15.75" customHeight="1">
      <c r="J346" s="19"/>
    </row>
    <row r="347" ht="15.75" customHeight="1">
      <c r="J347" s="19"/>
    </row>
    <row r="348" ht="15.75" customHeight="1">
      <c r="J348" s="19"/>
    </row>
    <row r="349" ht="15.75" customHeight="1">
      <c r="J349" s="19"/>
    </row>
    <row r="350" ht="15.75" customHeight="1">
      <c r="J350" s="19"/>
    </row>
    <row r="351" ht="15.75" customHeight="1">
      <c r="J351" s="19"/>
    </row>
    <row r="352" ht="15.75" customHeight="1">
      <c r="J352" s="19"/>
    </row>
    <row r="353" ht="15.75" customHeight="1">
      <c r="J353" s="19"/>
    </row>
    <row r="354" ht="15.75" customHeight="1">
      <c r="J354" s="19"/>
    </row>
    <row r="355" ht="15.75" customHeight="1">
      <c r="J355" s="19"/>
    </row>
    <row r="356" ht="15.75" customHeight="1">
      <c r="J356" s="19"/>
    </row>
    <row r="357" ht="15.75" customHeight="1">
      <c r="J357" s="19"/>
    </row>
    <row r="358" ht="15.75" customHeight="1">
      <c r="J358" s="19"/>
    </row>
    <row r="359" ht="15.75" customHeight="1">
      <c r="J359" s="19"/>
    </row>
    <row r="360" ht="15.75" customHeight="1">
      <c r="J360" s="19"/>
    </row>
    <row r="361" ht="15.75" customHeight="1">
      <c r="J361" s="19"/>
    </row>
    <row r="362" ht="15.75" customHeight="1">
      <c r="J362" s="19"/>
    </row>
    <row r="363" ht="15.75" customHeight="1">
      <c r="J363" s="19"/>
    </row>
    <row r="364" ht="15.75" customHeight="1">
      <c r="J364" s="19"/>
    </row>
    <row r="365" ht="15.75" customHeight="1">
      <c r="J365" s="19"/>
    </row>
    <row r="366" ht="15.75" customHeight="1">
      <c r="J366" s="19"/>
    </row>
    <row r="367" ht="15.75" customHeight="1">
      <c r="J367" s="19"/>
    </row>
    <row r="368" ht="15.75" customHeight="1">
      <c r="J368" s="19"/>
    </row>
    <row r="369" ht="15.75" customHeight="1">
      <c r="J369" s="19"/>
    </row>
    <row r="370" ht="15.75" customHeight="1">
      <c r="J370" s="19"/>
    </row>
    <row r="371" ht="15.75" customHeight="1">
      <c r="J371" s="19"/>
    </row>
    <row r="372" ht="15.75" customHeight="1">
      <c r="J372" s="19"/>
    </row>
    <row r="373" ht="15.75" customHeight="1">
      <c r="J373" s="19"/>
    </row>
    <row r="374" ht="15.75" customHeight="1">
      <c r="J374" s="19"/>
    </row>
    <row r="375" ht="15.75" customHeight="1">
      <c r="J375" s="19"/>
    </row>
    <row r="376" ht="15.75" customHeight="1">
      <c r="J376" s="19"/>
    </row>
    <row r="377" ht="15.75" customHeight="1">
      <c r="J377" s="19"/>
    </row>
    <row r="378" ht="15.75" customHeight="1">
      <c r="J378" s="19"/>
    </row>
    <row r="379" ht="15.75" customHeight="1">
      <c r="J379" s="19"/>
    </row>
    <row r="380" ht="15.75" customHeight="1">
      <c r="J380" s="19"/>
    </row>
    <row r="381" ht="15.75" customHeight="1">
      <c r="J381" s="19"/>
    </row>
    <row r="382" ht="15.75" customHeight="1">
      <c r="J382" s="19"/>
    </row>
    <row r="383" ht="15.75" customHeight="1">
      <c r="J383" s="19"/>
    </row>
    <row r="384" ht="15.75" customHeight="1">
      <c r="J384" s="19"/>
    </row>
    <row r="385" ht="15.75" customHeight="1">
      <c r="J385" s="19"/>
    </row>
    <row r="386" ht="15.75" customHeight="1">
      <c r="J386" s="19"/>
    </row>
    <row r="387" ht="15.75" customHeight="1">
      <c r="J387" s="19"/>
    </row>
    <row r="388" ht="15.75" customHeight="1">
      <c r="J388" s="19"/>
    </row>
    <row r="389" ht="15.75" customHeight="1">
      <c r="J389" s="19"/>
    </row>
    <row r="390" ht="15.75" customHeight="1">
      <c r="J390" s="19"/>
    </row>
    <row r="391" ht="15.75" customHeight="1">
      <c r="J391" s="19"/>
    </row>
    <row r="392" ht="15.75" customHeight="1">
      <c r="J392" s="19"/>
    </row>
    <row r="393" ht="15.75" customHeight="1">
      <c r="J393" s="19"/>
    </row>
    <row r="394" ht="15.75" customHeight="1">
      <c r="J394" s="19"/>
    </row>
    <row r="395" ht="15.75" customHeight="1">
      <c r="J395" s="19"/>
    </row>
    <row r="396" ht="15.75" customHeight="1">
      <c r="J396" s="19"/>
    </row>
    <row r="397" ht="15.75" customHeight="1">
      <c r="J397" s="19"/>
    </row>
    <row r="398" ht="15.75" customHeight="1">
      <c r="J398" s="19"/>
    </row>
    <row r="399" ht="15.75" customHeight="1">
      <c r="J399" s="19"/>
    </row>
    <row r="400" ht="15.75" customHeight="1">
      <c r="J400" s="19"/>
    </row>
    <row r="401" ht="15.75" customHeight="1">
      <c r="J401" s="19"/>
    </row>
    <row r="402" ht="15.75" customHeight="1">
      <c r="J402" s="19"/>
    </row>
    <row r="403" ht="15.75" customHeight="1">
      <c r="J403" s="19"/>
    </row>
    <row r="404" ht="15.75" customHeight="1">
      <c r="J404" s="19"/>
    </row>
    <row r="405" ht="15.75" customHeight="1">
      <c r="J405" s="19"/>
    </row>
    <row r="406" ht="15.75" customHeight="1">
      <c r="J406" s="19"/>
    </row>
    <row r="407" ht="15.75" customHeight="1">
      <c r="J407" s="19"/>
    </row>
    <row r="408" ht="15.75" customHeight="1">
      <c r="J408" s="19"/>
    </row>
    <row r="409" ht="15.75" customHeight="1">
      <c r="J409" s="19"/>
    </row>
    <row r="410" ht="15.75" customHeight="1">
      <c r="J410" s="19"/>
    </row>
    <row r="411" ht="15.75" customHeight="1">
      <c r="J411" s="19"/>
    </row>
    <row r="412" ht="15.75" customHeight="1">
      <c r="J412" s="19"/>
    </row>
    <row r="413" ht="15.75" customHeight="1">
      <c r="J413" s="19"/>
    </row>
    <row r="414" ht="15.75" customHeight="1">
      <c r="J414" s="19"/>
    </row>
    <row r="415" ht="15.75" customHeight="1">
      <c r="J415" s="19"/>
    </row>
    <row r="416" ht="15.75" customHeight="1">
      <c r="J416" s="19"/>
    </row>
    <row r="417" ht="15.75" customHeight="1">
      <c r="J417" s="19"/>
    </row>
    <row r="418" ht="15.75" customHeight="1">
      <c r="J418" s="19"/>
    </row>
    <row r="419" ht="15.75" customHeight="1">
      <c r="J419" s="19"/>
    </row>
    <row r="420" ht="15.75" customHeight="1">
      <c r="J420" s="19"/>
    </row>
    <row r="421" ht="15.75" customHeight="1">
      <c r="J421" s="19"/>
    </row>
    <row r="422" ht="15.75" customHeight="1">
      <c r="J422" s="19"/>
    </row>
    <row r="423" ht="15.75" customHeight="1">
      <c r="J423" s="19"/>
    </row>
    <row r="424" ht="15.75" customHeight="1">
      <c r="J424" s="19"/>
    </row>
    <row r="425" ht="15.75" customHeight="1">
      <c r="J425" s="19"/>
    </row>
    <row r="426" ht="15.75" customHeight="1">
      <c r="J426" s="19"/>
    </row>
    <row r="427" ht="15.75" customHeight="1">
      <c r="J427" s="19"/>
    </row>
    <row r="428" ht="15.75" customHeight="1">
      <c r="J428" s="19"/>
    </row>
    <row r="429" ht="15.75" customHeight="1">
      <c r="J429" s="19"/>
    </row>
    <row r="430" ht="15.75" customHeight="1">
      <c r="J430" s="19"/>
    </row>
    <row r="431" ht="15.75" customHeight="1">
      <c r="J431" s="19"/>
    </row>
    <row r="432" ht="15.75" customHeight="1">
      <c r="J432" s="19"/>
    </row>
    <row r="433" ht="15.75" customHeight="1">
      <c r="J433" s="19"/>
    </row>
    <row r="434" ht="15.75" customHeight="1">
      <c r="J434" s="19"/>
    </row>
    <row r="435" ht="15.75" customHeight="1">
      <c r="J435" s="19"/>
    </row>
    <row r="436" ht="15.75" customHeight="1">
      <c r="J436" s="19"/>
    </row>
    <row r="437" ht="15.75" customHeight="1">
      <c r="J437" s="19"/>
    </row>
    <row r="438" ht="15.75" customHeight="1">
      <c r="J438" s="19"/>
    </row>
    <row r="439" ht="15.75" customHeight="1">
      <c r="J439" s="19"/>
    </row>
    <row r="440" ht="15.75" customHeight="1">
      <c r="J440" s="19"/>
    </row>
    <row r="441" ht="15.75" customHeight="1">
      <c r="J441" s="19"/>
    </row>
    <row r="442" ht="15.75" customHeight="1">
      <c r="J442" s="19"/>
    </row>
    <row r="443" ht="15.75" customHeight="1">
      <c r="J443" s="19"/>
    </row>
    <row r="444" ht="15.75" customHeight="1">
      <c r="J444" s="19"/>
    </row>
    <row r="445" ht="15.75" customHeight="1">
      <c r="J445" s="19"/>
    </row>
    <row r="446" ht="15.75" customHeight="1">
      <c r="J446" s="19"/>
    </row>
    <row r="447" ht="15.75" customHeight="1">
      <c r="J447" s="19"/>
    </row>
    <row r="448" ht="15.75" customHeight="1">
      <c r="J448" s="19"/>
    </row>
    <row r="449" ht="15.75" customHeight="1">
      <c r="J449" s="19"/>
    </row>
    <row r="450" ht="15.75" customHeight="1">
      <c r="J450" s="19"/>
    </row>
    <row r="451" ht="15.75" customHeight="1">
      <c r="J451" s="19"/>
    </row>
    <row r="452" ht="15.75" customHeight="1">
      <c r="J452" s="19"/>
    </row>
    <row r="453" ht="15.75" customHeight="1">
      <c r="J453" s="19"/>
    </row>
    <row r="454" ht="15.75" customHeight="1">
      <c r="J454" s="19"/>
    </row>
    <row r="455" ht="15.75" customHeight="1">
      <c r="J455" s="19"/>
    </row>
    <row r="456" ht="15.75" customHeight="1">
      <c r="J456" s="19"/>
    </row>
    <row r="457" ht="15.75" customHeight="1">
      <c r="J457" s="19"/>
    </row>
    <row r="458" ht="15.75" customHeight="1">
      <c r="J458" s="19"/>
    </row>
    <row r="459" ht="15.75" customHeight="1">
      <c r="J459" s="19"/>
    </row>
    <row r="460" ht="15.75" customHeight="1">
      <c r="J460" s="19"/>
    </row>
    <row r="461" ht="15.75" customHeight="1">
      <c r="J461" s="19"/>
    </row>
    <row r="462" ht="15.75" customHeight="1">
      <c r="J462" s="19"/>
    </row>
    <row r="463" ht="15.75" customHeight="1">
      <c r="J463" s="19"/>
    </row>
    <row r="464" ht="15.75" customHeight="1">
      <c r="J464" s="19"/>
    </row>
    <row r="465" ht="15.75" customHeight="1">
      <c r="J465" s="19"/>
    </row>
    <row r="466" ht="15.75" customHeight="1">
      <c r="J466" s="19"/>
    </row>
    <row r="467" ht="15.75" customHeight="1">
      <c r="J467" s="19"/>
    </row>
    <row r="468" ht="15.75" customHeight="1">
      <c r="J468" s="19"/>
    </row>
    <row r="469" ht="15.75" customHeight="1">
      <c r="J469" s="19"/>
    </row>
    <row r="470" ht="15.75" customHeight="1">
      <c r="J470" s="19"/>
    </row>
    <row r="471" ht="15.75" customHeight="1">
      <c r="J471" s="19"/>
    </row>
    <row r="472" ht="15.75" customHeight="1">
      <c r="J472" s="19"/>
    </row>
    <row r="473" ht="15.75" customHeight="1">
      <c r="J473" s="19"/>
    </row>
    <row r="474" ht="15.75" customHeight="1">
      <c r="J474" s="19"/>
    </row>
    <row r="475" ht="15.75" customHeight="1">
      <c r="J475" s="19"/>
    </row>
    <row r="476" ht="15.75" customHeight="1">
      <c r="J476" s="19"/>
    </row>
    <row r="477" ht="15.75" customHeight="1">
      <c r="J477" s="19"/>
    </row>
    <row r="478" ht="15.75" customHeight="1">
      <c r="J478" s="19"/>
    </row>
    <row r="479" ht="15.75" customHeight="1">
      <c r="J479" s="19"/>
    </row>
    <row r="480" ht="15.75" customHeight="1">
      <c r="J480" s="19"/>
    </row>
    <row r="481" ht="15.75" customHeight="1">
      <c r="J481" s="19"/>
    </row>
    <row r="482" ht="15.75" customHeight="1">
      <c r="J482" s="19"/>
    </row>
    <row r="483" ht="15.75" customHeight="1">
      <c r="J483" s="19"/>
    </row>
    <row r="484" ht="15.75" customHeight="1">
      <c r="J484" s="19"/>
    </row>
    <row r="485" ht="15.75" customHeight="1">
      <c r="J485" s="19"/>
    </row>
    <row r="486" ht="15.75" customHeight="1">
      <c r="J486" s="19"/>
    </row>
    <row r="487" ht="15.75" customHeight="1">
      <c r="J487" s="19"/>
    </row>
    <row r="488" ht="15.75" customHeight="1">
      <c r="J488" s="19"/>
    </row>
    <row r="489" ht="15.75" customHeight="1">
      <c r="J489" s="19"/>
    </row>
    <row r="490" ht="15.75" customHeight="1">
      <c r="J490" s="19"/>
    </row>
    <row r="491" ht="15.75" customHeight="1">
      <c r="J491" s="19"/>
    </row>
    <row r="492" ht="15.75" customHeight="1">
      <c r="J492" s="19"/>
    </row>
    <row r="493" ht="15.75" customHeight="1">
      <c r="J493" s="19"/>
    </row>
    <row r="494" ht="15.75" customHeight="1">
      <c r="J494" s="19"/>
    </row>
    <row r="495" ht="15.75" customHeight="1">
      <c r="J495" s="19"/>
    </row>
    <row r="496" ht="15.75" customHeight="1">
      <c r="J496" s="19"/>
    </row>
    <row r="497" ht="15.75" customHeight="1">
      <c r="J497" s="19"/>
    </row>
    <row r="498" ht="15.75" customHeight="1">
      <c r="J498" s="19"/>
    </row>
    <row r="499" ht="15.75" customHeight="1">
      <c r="J499" s="19"/>
    </row>
    <row r="500" ht="15.75" customHeight="1">
      <c r="J500" s="19"/>
    </row>
    <row r="501" ht="15.75" customHeight="1">
      <c r="J501" s="19"/>
    </row>
    <row r="502" ht="15.75" customHeight="1">
      <c r="J502" s="19"/>
    </row>
    <row r="503" ht="15.75" customHeight="1">
      <c r="J503" s="19"/>
    </row>
    <row r="504" ht="15.75" customHeight="1">
      <c r="J504" s="19"/>
    </row>
    <row r="505" ht="15.75" customHeight="1">
      <c r="J505" s="19"/>
    </row>
    <row r="506" ht="15.75" customHeight="1">
      <c r="J506" s="19"/>
    </row>
    <row r="507" ht="15.75" customHeight="1">
      <c r="J507" s="19"/>
    </row>
    <row r="508" ht="15.75" customHeight="1">
      <c r="J508" s="19"/>
    </row>
    <row r="509" ht="15.75" customHeight="1">
      <c r="J509" s="19"/>
    </row>
    <row r="510" ht="15.75" customHeight="1">
      <c r="J510" s="19"/>
    </row>
    <row r="511" ht="15.75" customHeight="1">
      <c r="J511" s="19"/>
    </row>
    <row r="512" ht="15.75" customHeight="1">
      <c r="J512" s="19"/>
    </row>
    <row r="513" ht="15.75" customHeight="1">
      <c r="J513" s="19"/>
    </row>
    <row r="514" ht="15.75" customHeight="1">
      <c r="J514" s="19"/>
    </row>
    <row r="515" ht="15.75" customHeight="1">
      <c r="J515" s="19"/>
    </row>
    <row r="516" ht="15.75" customHeight="1">
      <c r="J516" s="19"/>
    </row>
    <row r="517" ht="15.75" customHeight="1">
      <c r="J517" s="19"/>
    </row>
    <row r="518" ht="15.75" customHeight="1">
      <c r="J518" s="19"/>
    </row>
    <row r="519" ht="15.75" customHeight="1">
      <c r="J519" s="19"/>
    </row>
    <row r="520" ht="15.75" customHeight="1">
      <c r="J520" s="19"/>
    </row>
    <row r="521" ht="15.75" customHeight="1">
      <c r="J521" s="19"/>
    </row>
    <row r="522" ht="15.75" customHeight="1">
      <c r="J522" s="19"/>
    </row>
    <row r="523" ht="15.75" customHeight="1">
      <c r="J523" s="19"/>
    </row>
    <row r="524" ht="15.75" customHeight="1">
      <c r="J524" s="19"/>
    </row>
    <row r="525" ht="15.75" customHeight="1">
      <c r="J525" s="19"/>
    </row>
    <row r="526" ht="15.75" customHeight="1">
      <c r="J526" s="19"/>
    </row>
    <row r="527" ht="15.75" customHeight="1">
      <c r="J527" s="19"/>
    </row>
    <row r="528" ht="15.75" customHeight="1">
      <c r="J528" s="19"/>
    </row>
    <row r="529" ht="15.75" customHeight="1">
      <c r="J529" s="19"/>
    </row>
    <row r="530" ht="15.75" customHeight="1">
      <c r="J530" s="19"/>
    </row>
    <row r="531" ht="15.75" customHeight="1">
      <c r="J531" s="19"/>
    </row>
    <row r="532" ht="15.75" customHeight="1">
      <c r="J532" s="19"/>
    </row>
    <row r="533" ht="15.75" customHeight="1">
      <c r="J533" s="19"/>
    </row>
    <row r="534" ht="15.75" customHeight="1">
      <c r="J534" s="19"/>
    </row>
    <row r="535" ht="15.75" customHeight="1">
      <c r="J535" s="19"/>
    </row>
    <row r="536" ht="15.75" customHeight="1">
      <c r="J536" s="19"/>
    </row>
    <row r="537" ht="15.75" customHeight="1">
      <c r="J537" s="19"/>
    </row>
    <row r="538" ht="15.75" customHeight="1">
      <c r="J538" s="19"/>
    </row>
    <row r="539" ht="15.75" customHeight="1">
      <c r="J539" s="19"/>
    </row>
    <row r="540" ht="15.75" customHeight="1">
      <c r="J540" s="19"/>
    </row>
    <row r="541" ht="15.75" customHeight="1">
      <c r="J541" s="19"/>
    </row>
    <row r="542" ht="15.75" customHeight="1">
      <c r="J542" s="19"/>
    </row>
    <row r="543" ht="15.75" customHeight="1">
      <c r="J543" s="19"/>
    </row>
    <row r="544" ht="15.75" customHeight="1">
      <c r="J544" s="19"/>
    </row>
    <row r="545" ht="15.75" customHeight="1">
      <c r="J545" s="19"/>
    </row>
    <row r="546" ht="15.75" customHeight="1">
      <c r="J546" s="19"/>
    </row>
    <row r="547" ht="15.75" customHeight="1">
      <c r="J547" s="19"/>
    </row>
    <row r="548" ht="15.75" customHeight="1">
      <c r="J548" s="19"/>
    </row>
    <row r="549" ht="15.75" customHeight="1">
      <c r="J549" s="19"/>
    </row>
    <row r="550" ht="15.75" customHeight="1">
      <c r="J550" s="19"/>
    </row>
    <row r="551" ht="15.75" customHeight="1">
      <c r="J551" s="19"/>
    </row>
    <row r="552" ht="15.75" customHeight="1">
      <c r="J552" s="19"/>
    </row>
    <row r="553" ht="15.75" customHeight="1">
      <c r="J553" s="19"/>
    </row>
    <row r="554" ht="15.75" customHeight="1">
      <c r="J554" s="19"/>
    </row>
    <row r="555" ht="15.75" customHeight="1">
      <c r="J555" s="19"/>
    </row>
    <row r="556" ht="15.75" customHeight="1">
      <c r="J556" s="19"/>
    </row>
    <row r="557" ht="15.75" customHeight="1">
      <c r="J557" s="19"/>
    </row>
    <row r="558" ht="15.75" customHeight="1">
      <c r="J558" s="19"/>
    </row>
    <row r="559" ht="15.75" customHeight="1">
      <c r="J559" s="19"/>
    </row>
    <row r="560" ht="15.75" customHeight="1">
      <c r="J560" s="19"/>
    </row>
    <row r="561" ht="15.75" customHeight="1">
      <c r="J561" s="19"/>
    </row>
    <row r="562" ht="15.75" customHeight="1">
      <c r="J562" s="19"/>
    </row>
    <row r="563" ht="15.75" customHeight="1">
      <c r="J563" s="19"/>
    </row>
    <row r="564" ht="15.75" customHeight="1">
      <c r="J564" s="19"/>
    </row>
    <row r="565" ht="15.75" customHeight="1">
      <c r="J565" s="19"/>
    </row>
    <row r="566" ht="15.75" customHeight="1">
      <c r="J566" s="19"/>
    </row>
    <row r="567" ht="15.75" customHeight="1">
      <c r="J567" s="19"/>
    </row>
    <row r="568" ht="15.75" customHeight="1">
      <c r="J568" s="19"/>
    </row>
    <row r="569" ht="15.75" customHeight="1">
      <c r="J569" s="19"/>
    </row>
    <row r="570" ht="15.75" customHeight="1">
      <c r="J570" s="19"/>
    </row>
    <row r="571" ht="15.75" customHeight="1">
      <c r="J571" s="19"/>
    </row>
    <row r="572" ht="15.75" customHeight="1">
      <c r="J572" s="19"/>
    </row>
    <row r="573" ht="15.75" customHeight="1">
      <c r="J573" s="19"/>
    </row>
    <row r="574" ht="15.75" customHeight="1">
      <c r="J574" s="19"/>
    </row>
    <row r="575" ht="15.75" customHeight="1">
      <c r="J575" s="19"/>
    </row>
    <row r="576" ht="15.75" customHeight="1">
      <c r="J576" s="19"/>
    </row>
    <row r="577" ht="15.75" customHeight="1">
      <c r="J577" s="19"/>
    </row>
    <row r="578" ht="15.75" customHeight="1">
      <c r="J578" s="19"/>
    </row>
    <row r="579" ht="15.75" customHeight="1">
      <c r="J579" s="19"/>
    </row>
    <row r="580" ht="15.75" customHeight="1">
      <c r="J580" s="19"/>
    </row>
    <row r="581" ht="15.75" customHeight="1">
      <c r="J581" s="19"/>
    </row>
    <row r="582" ht="15.75" customHeight="1">
      <c r="J582" s="19"/>
    </row>
    <row r="583" ht="15.75" customHeight="1">
      <c r="J583" s="19"/>
    </row>
    <row r="584" ht="15.75" customHeight="1">
      <c r="J584" s="19"/>
    </row>
    <row r="585" ht="15.75" customHeight="1">
      <c r="J585" s="19"/>
    </row>
    <row r="586" ht="15.75" customHeight="1">
      <c r="J586" s="19"/>
    </row>
    <row r="587" ht="15.75" customHeight="1">
      <c r="J587" s="19"/>
    </row>
    <row r="588" ht="15.75" customHeight="1">
      <c r="J588" s="19"/>
    </row>
    <row r="589" ht="15.75" customHeight="1">
      <c r="J589" s="19"/>
    </row>
    <row r="590" ht="15.75" customHeight="1">
      <c r="J590" s="19"/>
    </row>
    <row r="591" ht="15.75" customHeight="1">
      <c r="J591" s="19"/>
    </row>
    <row r="592" ht="15.75" customHeight="1">
      <c r="J592" s="19"/>
    </row>
    <row r="593" ht="15.75" customHeight="1">
      <c r="J593" s="19"/>
    </row>
    <row r="594" ht="15.75" customHeight="1">
      <c r="J594" s="19"/>
    </row>
    <row r="595" ht="15.75" customHeight="1">
      <c r="J595" s="19"/>
    </row>
    <row r="596" ht="15.75" customHeight="1">
      <c r="J596" s="19"/>
    </row>
    <row r="597" ht="15.75" customHeight="1">
      <c r="J597" s="19"/>
    </row>
    <row r="598" ht="15.75" customHeight="1">
      <c r="J598" s="19"/>
    </row>
    <row r="599" ht="15.75" customHeight="1">
      <c r="J599" s="19"/>
    </row>
    <row r="600" ht="15.75" customHeight="1">
      <c r="J600" s="19"/>
    </row>
    <row r="601" ht="15.75" customHeight="1">
      <c r="J601" s="19"/>
    </row>
    <row r="602" ht="15.75" customHeight="1">
      <c r="J602" s="19"/>
    </row>
    <row r="603" ht="15.75" customHeight="1">
      <c r="J603" s="19"/>
    </row>
    <row r="604" ht="15.75" customHeight="1">
      <c r="J604" s="19"/>
    </row>
    <row r="605" ht="15.75" customHeight="1">
      <c r="J605" s="19"/>
    </row>
    <row r="606" ht="15.75" customHeight="1">
      <c r="J606" s="19"/>
    </row>
    <row r="607" ht="15.75" customHeight="1">
      <c r="J607" s="19"/>
    </row>
    <row r="608" ht="15.75" customHeight="1">
      <c r="J608" s="19"/>
    </row>
    <row r="609" ht="15.75" customHeight="1">
      <c r="J609" s="19"/>
    </row>
    <row r="610" ht="15.75" customHeight="1">
      <c r="J610" s="19"/>
    </row>
    <row r="611" ht="15.75" customHeight="1">
      <c r="J611" s="19"/>
    </row>
    <row r="612" ht="15.75" customHeight="1">
      <c r="J612" s="19"/>
    </row>
    <row r="613" ht="15.75" customHeight="1">
      <c r="J613" s="19"/>
    </row>
    <row r="614" ht="15.75" customHeight="1">
      <c r="J614" s="19"/>
    </row>
    <row r="615" ht="15.75" customHeight="1">
      <c r="J615" s="19"/>
    </row>
    <row r="616" ht="15.75" customHeight="1">
      <c r="J616" s="19"/>
    </row>
    <row r="617" ht="15.75" customHeight="1">
      <c r="J617" s="19"/>
    </row>
    <row r="618" ht="15.75" customHeight="1">
      <c r="J618" s="19"/>
    </row>
    <row r="619" ht="15.75" customHeight="1">
      <c r="J619" s="19"/>
    </row>
    <row r="620" ht="15.75" customHeight="1">
      <c r="J620" s="19"/>
    </row>
    <row r="621" ht="15.75" customHeight="1">
      <c r="J621" s="19"/>
    </row>
    <row r="622" ht="15.75" customHeight="1">
      <c r="J622" s="19"/>
    </row>
    <row r="623" ht="15.75" customHeight="1">
      <c r="J623" s="19"/>
    </row>
    <row r="624" ht="15.75" customHeight="1">
      <c r="J624" s="19"/>
    </row>
    <row r="625" ht="15.75" customHeight="1">
      <c r="J625" s="19"/>
    </row>
    <row r="626" ht="15.75" customHeight="1">
      <c r="J626" s="19"/>
    </row>
    <row r="627" ht="15.75" customHeight="1">
      <c r="J627" s="19"/>
    </row>
    <row r="628" ht="15.75" customHeight="1">
      <c r="J628" s="19"/>
    </row>
    <row r="629" ht="15.75" customHeight="1">
      <c r="J629" s="19"/>
    </row>
    <row r="630" ht="15.75" customHeight="1">
      <c r="J630" s="19"/>
    </row>
    <row r="631" ht="15.75" customHeight="1">
      <c r="J631" s="19"/>
    </row>
    <row r="632" ht="15.75" customHeight="1">
      <c r="J632" s="19"/>
    </row>
    <row r="633" ht="15.75" customHeight="1">
      <c r="J633" s="19"/>
    </row>
    <row r="634" ht="15.75" customHeight="1">
      <c r="J634" s="19"/>
    </row>
    <row r="635" ht="15.75" customHeight="1">
      <c r="J635" s="19"/>
    </row>
    <row r="636" ht="15.75" customHeight="1">
      <c r="J636" s="19"/>
    </row>
    <row r="637" ht="15.75" customHeight="1">
      <c r="J637" s="19"/>
    </row>
    <row r="638" ht="15.75" customHeight="1">
      <c r="J638" s="19"/>
    </row>
    <row r="639" ht="15.75" customHeight="1">
      <c r="J639" s="19"/>
    </row>
    <row r="640" ht="15.75" customHeight="1">
      <c r="J640" s="19"/>
    </row>
    <row r="641" ht="15.75" customHeight="1">
      <c r="J641" s="19"/>
    </row>
    <row r="642" ht="15.75" customHeight="1">
      <c r="J642" s="19"/>
    </row>
    <row r="643" ht="15.75" customHeight="1">
      <c r="J643" s="19"/>
    </row>
    <row r="644" ht="15.75" customHeight="1">
      <c r="J644" s="19"/>
    </row>
    <row r="645" ht="15.75" customHeight="1">
      <c r="J645" s="19"/>
    </row>
    <row r="646" ht="15.75" customHeight="1">
      <c r="J646" s="19"/>
    </row>
    <row r="647" ht="15.75" customHeight="1">
      <c r="J647" s="19"/>
    </row>
    <row r="648" ht="15.75" customHeight="1">
      <c r="J648" s="19"/>
    </row>
    <row r="649" ht="15.75" customHeight="1">
      <c r="J649" s="19"/>
    </row>
    <row r="650" ht="15.75" customHeight="1">
      <c r="J650" s="19"/>
    </row>
    <row r="651" ht="15.75" customHeight="1">
      <c r="J651" s="19"/>
    </row>
    <row r="652" ht="15.75" customHeight="1">
      <c r="J652" s="19"/>
    </row>
    <row r="653" ht="15.75" customHeight="1">
      <c r="J653" s="19"/>
    </row>
    <row r="654" ht="15.75" customHeight="1">
      <c r="J654" s="19"/>
    </row>
    <row r="655" ht="15.75" customHeight="1">
      <c r="J655" s="19"/>
    </row>
    <row r="656" ht="15.75" customHeight="1">
      <c r="J656" s="19"/>
    </row>
    <row r="657" ht="15.75" customHeight="1">
      <c r="J657" s="19"/>
    </row>
    <row r="658" ht="15.75" customHeight="1">
      <c r="J658" s="19"/>
    </row>
    <row r="659" ht="15.75" customHeight="1">
      <c r="J659" s="19"/>
    </row>
    <row r="660" ht="15.75" customHeight="1">
      <c r="J660" s="19"/>
    </row>
    <row r="661" ht="15.75" customHeight="1">
      <c r="J661" s="19"/>
    </row>
    <row r="662" ht="15.75" customHeight="1">
      <c r="J662" s="19"/>
    </row>
    <row r="663" ht="15.75" customHeight="1">
      <c r="J663" s="19"/>
    </row>
    <row r="664" ht="15.75" customHeight="1">
      <c r="J664" s="19"/>
    </row>
    <row r="665" ht="15.75" customHeight="1">
      <c r="J665" s="19"/>
    </row>
    <row r="666" ht="15.75" customHeight="1">
      <c r="J666" s="19"/>
    </row>
    <row r="667" ht="15.75" customHeight="1">
      <c r="J667" s="19"/>
    </row>
    <row r="668" ht="15.75" customHeight="1">
      <c r="J668" s="19"/>
    </row>
    <row r="669" ht="15.75" customHeight="1">
      <c r="J669" s="19"/>
    </row>
    <row r="670" ht="15.75" customHeight="1">
      <c r="J670" s="19"/>
    </row>
    <row r="671" ht="15.75" customHeight="1">
      <c r="J671" s="19"/>
    </row>
    <row r="672" ht="15.75" customHeight="1">
      <c r="J672" s="19"/>
    </row>
    <row r="673" ht="15.75" customHeight="1">
      <c r="J673" s="19"/>
    </row>
    <row r="674" ht="15.75" customHeight="1">
      <c r="J674" s="19"/>
    </row>
    <row r="675" ht="15.75" customHeight="1">
      <c r="J675" s="19"/>
    </row>
    <row r="676" ht="15.75" customHeight="1">
      <c r="J676" s="19"/>
    </row>
    <row r="677" ht="15.75" customHeight="1">
      <c r="J677" s="19"/>
    </row>
    <row r="678" ht="15.75" customHeight="1">
      <c r="J678" s="19"/>
    </row>
    <row r="679" ht="15.75" customHeight="1">
      <c r="J679" s="19"/>
    </row>
    <row r="680" ht="15.75" customHeight="1">
      <c r="J680" s="19"/>
    </row>
    <row r="681" ht="15.75" customHeight="1">
      <c r="J681" s="19"/>
    </row>
    <row r="682" ht="15.75" customHeight="1">
      <c r="J682" s="19"/>
    </row>
    <row r="683" ht="15.75" customHeight="1">
      <c r="J683" s="19"/>
    </row>
    <row r="684" ht="15.75" customHeight="1">
      <c r="J684" s="19"/>
    </row>
    <row r="685" ht="15.75" customHeight="1">
      <c r="J685" s="19"/>
    </row>
    <row r="686" ht="15.75" customHeight="1">
      <c r="J686" s="19"/>
    </row>
    <row r="687" ht="15.75" customHeight="1">
      <c r="J687" s="19"/>
    </row>
    <row r="688" ht="15.75" customHeight="1">
      <c r="J688" s="19"/>
    </row>
    <row r="689" ht="15.75" customHeight="1">
      <c r="J689" s="19"/>
    </row>
    <row r="690" ht="15.75" customHeight="1">
      <c r="J690" s="19"/>
    </row>
    <row r="691" ht="15.75" customHeight="1">
      <c r="J691" s="19"/>
    </row>
    <row r="692" ht="15.75" customHeight="1">
      <c r="J692" s="19"/>
    </row>
    <row r="693" ht="15.75" customHeight="1">
      <c r="J693" s="19"/>
    </row>
    <row r="694" ht="15.75" customHeight="1">
      <c r="J694" s="19"/>
    </row>
    <row r="695" ht="15.75" customHeight="1">
      <c r="J695" s="19"/>
    </row>
    <row r="696" ht="15.75" customHeight="1">
      <c r="J696" s="19"/>
    </row>
    <row r="697" ht="15.75" customHeight="1">
      <c r="J697" s="19"/>
    </row>
    <row r="698" ht="15.75" customHeight="1">
      <c r="J698" s="19"/>
    </row>
    <row r="699" ht="15.75" customHeight="1">
      <c r="J699" s="19"/>
    </row>
    <row r="700" ht="15.75" customHeight="1">
      <c r="J700" s="19"/>
    </row>
    <row r="701" ht="15.75" customHeight="1">
      <c r="J701" s="19"/>
    </row>
    <row r="702" ht="15.75" customHeight="1">
      <c r="J702" s="19"/>
    </row>
    <row r="703" ht="15.75" customHeight="1">
      <c r="J703" s="19"/>
    </row>
    <row r="704" ht="15.75" customHeight="1">
      <c r="J704" s="19"/>
    </row>
    <row r="705" ht="15.75" customHeight="1">
      <c r="J705" s="19"/>
    </row>
    <row r="706" ht="15.75" customHeight="1">
      <c r="J706" s="19"/>
    </row>
    <row r="707" ht="15.75" customHeight="1">
      <c r="J707" s="19"/>
    </row>
    <row r="708" ht="15.75" customHeight="1">
      <c r="J708" s="19"/>
    </row>
    <row r="709" ht="15.75" customHeight="1">
      <c r="J709" s="19"/>
    </row>
    <row r="710" ht="15.75" customHeight="1">
      <c r="J710" s="19"/>
    </row>
    <row r="711" ht="15.75" customHeight="1">
      <c r="J711" s="19"/>
    </row>
    <row r="712" ht="15.75" customHeight="1">
      <c r="J712" s="19"/>
    </row>
    <row r="713" ht="15.75" customHeight="1">
      <c r="J713" s="19"/>
    </row>
    <row r="714" ht="15.75" customHeight="1">
      <c r="J714" s="19"/>
    </row>
    <row r="715" ht="15.75" customHeight="1">
      <c r="J715" s="19"/>
    </row>
    <row r="716" ht="15.75" customHeight="1">
      <c r="J716" s="19"/>
    </row>
    <row r="717" ht="15.75" customHeight="1">
      <c r="J717" s="19"/>
    </row>
    <row r="718" ht="15.75" customHeight="1">
      <c r="J718" s="19"/>
    </row>
    <row r="719" ht="15.75" customHeight="1">
      <c r="J719" s="19"/>
    </row>
    <row r="720" ht="15.75" customHeight="1">
      <c r="J720" s="19"/>
    </row>
    <row r="721" ht="15.75" customHeight="1">
      <c r="J721" s="19"/>
    </row>
    <row r="722" ht="15.75" customHeight="1">
      <c r="J722" s="19"/>
    </row>
    <row r="723" ht="15.75" customHeight="1">
      <c r="J723" s="19"/>
    </row>
    <row r="724" ht="15.75" customHeight="1">
      <c r="J724" s="19"/>
    </row>
    <row r="725" ht="15.75" customHeight="1">
      <c r="J725" s="19"/>
    </row>
    <row r="726" ht="15.75" customHeight="1">
      <c r="J726" s="19"/>
    </row>
    <row r="727" ht="15.75" customHeight="1">
      <c r="J727" s="19"/>
    </row>
    <row r="728" ht="15.75" customHeight="1">
      <c r="J728" s="19"/>
    </row>
    <row r="729" ht="15.75" customHeight="1">
      <c r="J729" s="19"/>
    </row>
    <row r="730" ht="15.75" customHeight="1">
      <c r="J730" s="19"/>
    </row>
    <row r="731" ht="15.75" customHeight="1">
      <c r="J731" s="19"/>
    </row>
    <row r="732" ht="15.75" customHeight="1">
      <c r="J732" s="19"/>
    </row>
    <row r="733" ht="15.75" customHeight="1">
      <c r="J733" s="19"/>
    </row>
    <row r="734" ht="15.75" customHeight="1">
      <c r="J734" s="19"/>
    </row>
    <row r="735" ht="15.75" customHeight="1">
      <c r="J735" s="19"/>
    </row>
    <row r="736" ht="15.75" customHeight="1">
      <c r="J736" s="19"/>
    </row>
    <row r="737" ht="15.75" customHeight="1">
      <c r="J737" s="19"/>
    </row>
    <row r="738" ht="15.75" customHeight="1">
      <c r="J738" s="19"/>
    </row>
    <row r="739" ht="15.75" customHeight="1">
      <c r="J739" s="19"/>
    </row>
    <row r="740" ht="15.75" customHeight="1">
      <c r="J740" s="19"/>
    </row>
    <row r="741" ht="15.75" customHeight="1">
      <c r="J741" s="19"/>
    </row>
    <row r="742" ht="15.75" customHeight="1">
      <c r="J742" s="19"/>
    </row>
    <row r="743" ht="15.75" customHeight="1">
      <c r="J743" s="19"/>
    </row>
    <row r="744" ht="15.75" customHeight="1">
      <c r="J744" s="19"/>
    </row>
    <row r="745" ht="15.75" customHeight="1">
      <c r="J745" s="19"/>
    </row>
    <row r="746" ht="15.75" customHeight="1">
      <c r="J746" s="19"/>
    </row>
    <row r="747" ht="15.75" customHeight="1">
      <c r="J747" s="19"/>
    </row>
    <row r="748" ht="15.75" customHeight="1">
      <c r="J748" s="19"/>
    </row>
    <row r="749" ht="15.75" customHeight="1">
      <c r="J749" s="19"/>
    </row>
    <row r="750" ht="15.75" customHeight="1">
      <c r="J750" s="19"/>
    </row>
    <row r="751" ht="15.75" customHeight="1">
      <c r="J751" s="19"/>
    </row>
    <row r="752" ht="15.75" customHeight="1">
      <c r="J752" s="19"/>
    </row>
    <row r="753" ht="15.75" customHeight="1">
      <c r="J753" s="19"/>
    </row>
    <row r="754" ht="15.75" customHeight="1">
      <c r="J754" s="19"/>
    </row>
    <row r="755" ht="15.75" customHeight="1">
      <c r="J755" s="19"/>
    </row>
    <row r="756" ht="15.75" customHeight="1">
      <c r="J756" s="19"/>
    </row>
    <row r="757" ht="15.75" customHeight="1">
      <c r="J757" s="19"/>
    </row>
    <row r="758" ht="15.75" customHeight="1">
      <c r="J758" s="19"/>
    </row>
    <row r="759" ht="15.75" customHeight="1">
      <c r="J759" s="19"/>
    </row>
    <row r="760" ht="15.75" customHeight="1">
      <c r="J760" s="19"/>
    </row>
    <row r="761" ht="15.75" customHeight="1">
      <c r="J761" s="19"/>
    </row>
    <row r="762" ht="15.75" customHeight="1">
      <c r="J762" s="19"/>
    </row>
    <row r="763" ht="15.75" customHeight="1">
      <c r="J763" s="19"/>
    </row>
    <row r="764" ht="15.75" customHeight="1">
      <c r="J764" s="19"/>
    </row>
    <row r="765" ht="15.75" customHeight="1">
      <c r="J765" s="19"/>
    </row>
    <row r="766" ht="15.75" customHeight="1">
      <c r="J766" s="19"/>
    </row>
    <row r="767" ht="15.75" customHeight="1">
      <c r="J767" s="19"/>
    </row>
    <row r="768" ht="15.75" customHeight="1">
      <c r="J768" s="19"/>
    </row>
    <row r="769" ht="15.75" customHeight="1">
      <c r="J769" s="19"/>
    </row>
    <row r="770" ht="15.75" customHeight="1">
      <c r="J770" s="19"/>
    </row>
    <row r="771" ht="15.75" customHeight="1">
      <c r="J771" s="19"/>
    </row>
    <row r="772" ht="15.75" customHeight="1">
      <c r="J772" s="19"/>
    </row>
    <row r="773" ht="15.75" customHeight="1">
      <c r="J773" s="19"/>
    </row>
    <row r="774" ht="15.75" customHeight="1">
      <c r="J774" s="19"/>
    </row>
    <row r="775" ht="15.75" customHeight="1">
      <c r="J775" s="19"/>
    </row>
    <row r="776" ht="15.75" customHeight="1">
      <c r="J776" s="19"/>
    </row>
    <row r="777" ht="15.75" customHeight="1">
      <c r="J777" s="19"/>
    </row>
    <row r="778" ht="15.75" customHeight="1">
      <c r="J778" s="19"/>
    </row>
    <row r="779" ht="15.75" customHeight="1">
      <c r="J779" s="19"/>
    </row>
    <row r="780" ht="15.75" customHeight="1">
      <c r="J780" s="19"/>
    </row>
    <row r="781" ht="15.75" customHeight="1">
      <c r="J781" s="19"/>
    </row>
    <row r="782" ht="15.75" customHeight="1">
      <c r="J782" s="19"/>
    </row>
    <row r="783" ht="15.75" customHeight="1">
      <c r="J783" s="19"/>
    </row>
    <row r="784" ht="15.75" customHeight="1">
      <c r="J784" s="19"/>
    </row>
    <row r="785" ht="15.75" customHeight="1">
      <c r="J785" s="19"/>
    </row>
    <row r="786" ht="15.75" customHeight="1">
      <c r="J786" s="19"/>
    </row>
    <row r="787" ht="15.75" customHeight="1">
      <c r="J787" s="19"/>
    </row>
    <row r="788" ht="15.75" customHeight="1">
      <c r="J788" s="19"/>
    </row>
    <row r="789" ht="15.75" customHeight="1">
      <c r="J789" s="19"/>
    </row>
    <row r="790" ht="15.75" customHeight="1">
      <c r="J790" s="19"/>
    </row>
    <row r="791" ht="15.75" customHeight="1">
      <c r="J791" s="19"/>
    </row>
    <row r="792" ht="15.75" customHeight="1">
      <c r="J792" s="19"/>
    </row>
    <row r="793" ht="15.75" customHeight="1">
      <c r="J793" s="19"/>
    </row>
    <row r="794" ht="15.75" customHeight="1">
      <c r="J794" s="19"/>
    </row>
    <row r="795" ht="15.75" customHeight="1">
      <c r="J795" s="19"/>
    </row>
    <row r="796" ht="15.75" customHeight="1">
      <c r="J796" s="19"/>
    </row>
    <row r="797" ht="15.75" customHeight="1">
      <c r="J797" s="19"/>
    </row>
    <row r="798" ht="15.75" customHeight="1">
      <c r="J798" s="19"/>
    </row>
    <row r="799" ht="15.75" customHeight="1">
      <c r="J799" s="19"/>
    </row>
    <row r="800" ht="15.75" customHeight="1">
      <c r="J800" s="19"/>
    </row>
    <row r="801" ht="15.75" customHeight="1">
      <c r="J801" s="19"/>
    </row>
    <row r="802" ht="15.75" customHeight="1">
      <c r="J802" s="19"/>
    </row>
    <row r="803" ht="15.75" customHeight="1">
      <c r="J803" s="19"/>
    </row>
    <row r="804" ht="15.75" customHeight="1">
      <c r="J804" s="19"/>
    </row>
    <row r="805" ht="15.75" customHeight="1">
      <c r="J805" s="19"/>
    </row>
    <row r="806" ht="15.75" customHeight="1">
      <c r="J806" s="19"/>
    </row>
    <row r="807" ht="15.75" customHeight="1">
      <c r="J807" s="19"/>
    </row>
    <row r="808" ht="15.75" customHeight="1">
      <c r="J808" s="19"/>
    </row>
    <row r="809" ht="15.75" customHeight="1">
      <c r="J809" s="19"/>
    </row>
    <row r="810" ht="15.75" customHeight="1">
      <c r="J810" s="19"/>
    </row>
    <row r="811" ht="15.75" customHeight="1">
      <c r="J811" s="19"/>
    </row>
    <row r="812" ht="15.75" customHeight="1">
      <c r="J812" s="19"/>
    </row>
    <row r="813" ht="15.75" customHeight="1">
      <c r="J813" s="19"/>
    </row>
    <row r="814" ht="15.75" customHeight="1">
      <c r="J814" s="19"/>
    </row>
    <row r="815" ht="15.75" customHeight="1">
      <c r="J815" s="19"/>
    </row>
    <row r="816" ht="15.75" customHeight="1">
      <c r="J816" s="19"/>
    </row>
    <row r="817" ht="15.75" customHeight="1">
      <c r="J817" s="19"/>
    </row>
    <row r="818" ht="15.75" customHeight="1">
      <c r="J818" s="19"/>
    </row>
    <row r="819" ht="15.75" customHeight="1">
      <c r="J819" s="19"/>
    </row>
    <row r="820" ht="15.75" customHeight="1">
      <c r="J820" s="19"/>
    </row>
    <row r="821" ht="15.75" customHeight="1">
      <c r="J821" s="19"/>
    </row>
    <row r="822" ht="15.75" customHeight="1">
      <c r="J822" s="19"/>
    </row>
    <row r="823" ht="15.75" customHeight="1">
      <c r="J823" s="19"/>
    </row>
    <row r="824" ht="15.75" customHeight="1">
      <c r="J824" s="19"/>
    </row>
    <row r="825" ht="15.75" customHeight="1">
      <c r="J825" s="19"/>
    </row>
    <row r="826" ht="15.75" customHeight="1">
      <c r="J826" s="19"/>
    </row>
    <row r="827" ht="15.75" customHeight="1">
      <c r="J827" s="19"/>
    </row>
    <row r="828" ht="15.75" customHeight="1">
      <c r="J828" s="19"/>
    </row>
    <row r="829" ht="15.75" customHeight="1">
      <c r="J829" s="19"/>
    </row>
    <row r="830" ht="15.75" customHeight="1">
      <c r="J830" s="19"/>
    </row>
    <row r="831" ht="15.75" customHeight="1">
      <c r="J831" s="19"/>
    </row>
    <row r="832" ht="15.75" customHeight="1">
      <c r="J832" s="19"/>
    </row>
    <row r="833" ht="15.75" customHeight="1">
      <c r="J833" s="19"/>
    </row>
    <row r="834" ht="15.75" customHeight="1">
      <c r="J834" s="19"/>
    </row>
    <row r="835" ht="15.75" customHeight="1">
      <c r="J835" s="19"/>
    </row>
    <row r="836" ht="15.75" customHeight="1">
      <c r="J836" s="19"/>
    </row>
    <row r="837" ht="15.75" customHeight="1">
      <c r="J837" s="19"/>
    </row>
    <row r="838" ht="15.75" customHeight="1">
      <c r="J838" s="19"/>
    </row>
    <row r="839" ht="15.75" customHeight="1">
      <c r="J839" s="19"/>
    </row>
    <row r="840" ht="15.75" customHeight="1">
      <c r="J840" s="19"/>
    </row>
    <row r="841" ht="15.75" customHeight="1">
      <c r="J841" s="19"/>
    </row>
    <row r="842" ht="15.75" customHeight="1">
      <c r="J842" s="19"/>
    </row>
    <row r="843" ht="15.75" customHeight="1">
      <c r="J843" s="19"/>
    </row>
    <row r="844" ht="15.75" customHeight="1">
      <c r="J844" s="19"/>
    </row>
    <row r="845" ht="15.75" customHeight="1">
      <c r="J845" s="19"/>
    </row>
    <row r="846" ht="15.75" customHeight="1">
      <c r="J846" s="19"/>
    </row>
    <row r="847" ht="15.75" customHeight="1">
      <c r="J847" s="19"/>
    </row>
    <row r="848" ht="15.75" customHeight="1">
      <c r="J848" s="19"/>
    </row>
    <row r="849" ht="15.75" customHeight="1">
      <c r="J849" s="19"/>
    </row>
    <row r="850" ht="15.75" customHeight="1">
      <c r="J850" s="19"/>
    </row>
    <row r="851" ht="15.75" customHeight="1">
      <c r="J851" s="19"/>
    </row>
    <row r="852" ht="15.75" customHeight="1">
      <c r="J852" s="19"/>
    </row>
    <row r="853" ht="15.75" customHeight="1">
      <c r="J853" s="19"/>
    </row>
    <row r="854" ht="15.75" customHeight="1">
      <c r="J854" s="19"/>
    </row>
    <row r="855" ht="15.75" customHeight="1">
      <c r="J855" s="19"/>
    </row>
    <row r="856" ht="15.75" customHeight="1">
      <c r="J856" s="19"/>
    </row>
    <row r="857" ht="15.75" customHeight="1">
      <c r="J857" s="19"/>
    </row>
    <row r="858" ht="15.75" customHeight="1">
      <c r="J858" s="19"/>
    </row>
    <row r="859" ht="15.75" customHeight="1">
      <c r="J859" s="19"/>
    </row>
    <row r="860" ht="15.75" customHeight="1">
      <c r="J860" s="19"/>
    </row>
    <row r="861" ht="15.75" customHeight="1">
      <c r="J861" s="19"/>
    </row>
    <row r="862" ht="15.75" customHeight="1">
      <c r="J862" s="19"/>
    </row>
    <row r="863" ht="15.75" customHeight="1">
      <c r="J863" s="19"/>
    </row>
    <row r="864" ht="15.75" customHeight="1">
      <c r="J864" s="19"/>
    </row>
    <row r="865" ht="15.75" customHeight="1">
      <c r="J865" s="19"/>
    </row>
    <row r="866" ht="15.75" customHeight="1">
      <c r="J866" s="19"/>
    </row>
    <row r="867" ht="15.75" customHeight="1">
      <c r="J867" s="19"/>
    </row>
    <row r="868" ht="15.75" customHeight="1">
      <c r="J868" s="19"/>
    </row>
    <row r="869" ht="15.75" customHeight="1">
      <c r="J869" s="19"/>
    </row>
    <row r="870" ht="15.75" customHeight="1">
      <c r="J870" s="19"/>
    </row>
    <row r="871" ht="15.75" customHeight="1">
      <c r="J871" s="19"/>
    </row>
    <row r="872" ht="15.75" customHeight="1">
      <c r="J872" s="19"/>
    </row>
    <row r="873" ht="15.75" customHeight="1">
      <c r="J873" s="19"/>
    </row>
    <row r="874" ht="15.75" customHeight="1">
      <c r="J874" s="19"/>
    </row>
    <row r="875" ht="15.75" customHeight="1">
      <c r="J875" s="19"/>
    </row>
    <row r="876" ht="15.75" customHeight="1">
      <c r="J876" s="19"/>
    </row>
    <row r="877" ht="15.75" customHeight="1">
      <c r="J877" s="19"/>
    </row>
    <row r="878" ht="15.75" customHeight="1">
      <c r="J878" s="19"/>
    </row>
    <row r="879" ht="15.75" customHeight="1">
      <c r="J879" s="19"/>
    </row>
    <row r="880" ht="15.75" customHeight="1">
      <c r="J880" s="19"/>
    </row>
    <row r="881" ht="15.75" customHeight="1">
      <c r="J881" s="19"/>
    </row>
    <row r="882" ht="15.75" customHeight="1">
      <c r="J882" s="19"/>
    </row>
    <row r="883" ht="15.75" customHeight="1">
      <c r="J883" s="19"/>
    </row>
    <row r="884" ht="15.75" customHeight="1">
      <c r="J884" s="19"/>
    </row>
    <row r="885" ht="15.75" customHeight="1">
      <c r="J885" s="19"/>
    </row>
    <row r="886" ht="15.75" customHeight="1">
      <c r="J886" s="19"/>
    </row>
    <row r="887" ht="15.75" customHeight="1">
      <c r="J887" s="19"/>
    </row>
    <row r="888" ht="15.75" customHeight="1">
      <c r="J888" s="19"/>
    </row>
    <row r="889" ht="15.75" customHeight="1">
      <c r="J889" s="19"/>
    </row>
    <row r="890" ht="15.75" customHeight="1">
      <c r="J890" s="19"/>
    </row>
    <row r="891" ht="15.75" customHeight="1">
      <c r="J891" s="19"/>
    </row>
    <row r="892" ht="15.75" customHeight="1">
      <c r="J892" s="19"/>
    </row>
    <row r="893" ht="15.75" customHeight="1">
      <c r="J893" s="19"/>
    </row>
    <row r="894" ht="15.75" customHeight="1">
      <c r="J894" s="19"/>
    </row>
    <row r="895" ht="15.75" customHeight="1">
      <c r="J895" s="19"/>
    </row>
    <row r="896" ht="15.75" customHeight="1">
      <c r="J896" s="19"/>
    </row>
    <row r="897" ht="15.75" customHeight="1">
      <c r="J897" s="19"/>
    </row>
    <row r="898" ht="15.75" customHeight="1">
      <c r="J898" s="19"/>
    </row>
    <row r="899" ht="15.75" customHeight="1">
      <c r="J899" s="19"/>
    </row>
    <row r="900" ht="15.75" customHeight="1">
      <c r="J900" s="19"/>
    </row>
    <row r="901" ht="15.75" customHeight="1">
      <c r="J901" s="19"/>
    </row>
    <row r="902" ht="15.75" customHeight="1">
      <c r="J902" s="19"/>
    </row>
    <row r="903" ht="15.75" customHeight="1">
      <c r="J903" s="19"/>
    </row>
    <row r="904" ht="15.75" customHeight="1">
      <c r="J904" s="19"/>
    </row>
    <row r="905" ht="15.75" customHeight="1">
      <c r="J905" s="19"/>
    </row>
    <row r="906" ht="15.75" customHeight="1">
      <c r="J906" s="19"/>
    </row>
    <row r="907" ht="15.75" customHeight="1">
      <c r="J907" s="19"/>
    </row>
    <row r="908" ht="15.75" customHeight="1">
      <c r="J908" s="19"/>
    </row>
    <row r="909" ht="15.75" customHeight="1">
      <c r="J909" s="19"/>
    </row>
    <row r="910" ht="15.75" customHeight="1">
      <c r="J910" s="19"/>
    </row>
    <row r="911" ht="15.75" customHeight="1">
      <c r="J911" s="19"/>
    </row>
    <row r="912" ht="15.75" customHeight="1">
      <c r="J912" s="19"/>
    </row>
    <row r="913" ht="15.75" customHeight="1">
      <c r="J913" s="19"/>
    </row>
    <row r="914" ht="15.75" customHeight="1">
      <c r="J914" s="19"/>
    </row>
    <row r="915" ht="15.75" customHeight="1">
      <c r="J915" s="19"/>
    </row>
    <row r="916" ht="15.75" customHeight="1">
      <c r="J916" s="19"/>
    </row>
    <row r="917" ht="15.75" customHeight="1">
      <c r="J917" s="19"/>
    </row>
    <row r="918" ht="15.75" customHeight="1">
      <c r="J918" s="19"/>
    </row>
    <row r="919" ht="15.75" customHeight="1">
      <c r="J919" s="19"/>
    </row>
    <row r="920" ht="15.75" customHeight="1">
      <c r="J920" s="19"/>
    </row>
    <row r="921" ht="15.75" customHeight="1">
      <c r="J921" s="19"/>
    </row>
    <row r="922" ht="15.75" customHeight="1">
      <c r="J922" s="19"/>
    </row>
    <row r="923" ht="15.75" customHeight="1">
      <c r="J923" s="19"/>
    </row>
    <row r="924" ht="15.75" customHeight="1">
      <c r="J924" s="19"/>
    </row>
    <row r="925" ht="15.75" customHeight="1">
      <c r="J925" s="19"/>
    </row>
    <row r="926" ht="15.75" customHeight="1">
      <c r="J926" s="19"/>
    </row>
    <row r="927" ht="15.75" customHeight="1">
      <c r="J927" s="19"/>
    </row>
    <row r="928" ht="15.75" customHeight="1">
      <c r="J928" s="19"/>
    </row>
    <row r="929" ht="15.75" customHeight="1">
      <c r="J929" s="19"/>
    </row>
    <row r="930" ht="15.75" customHeight="1">
      <c r="J930" s="19"/>
    </row>
    <row r="931" ht="15.75" customHeight="1">
      <c r="J931" s="19"/>
    </row>
    <row r="932" ht="15.75" customHeight="1">
      <c r="J932" s="19"/>
    </row>
    <row r="933" ht="15.75" customHeight="1">
      <c r="J933" s="19"/>
    </row>
    <row r="934" ht="15.75" customHeight="1">
      <c r="J934" s="19"/>
    </row>
    <row r="935" ht="15.75" customHeight="1">
      <c r="J935" s="19"/>
    </row>
    <row r="936" ht="15.75" customHeight="1">
      <c r="J936" s="19"/>
    </row>
    <row r="937" ht="15.75" customHeight="1">
      <c r="J937" s="19"/>
    </row>
    <row r="938" ht="15.75" customHeight="1">
      <c r="J938" s="19"/>
    </row>
    <row r="939" ht="15.75" customHeight="1">
      <c r="J939" s="19"/>
    </row>
    <row r="940" ht="15.75" customHeight="1">
      <c r="J940" s="19"/>
    </row>
    <row r="941" ht="15.75" customHeight="1">
      <c r="J941" s="19"/>
    </row>
    <row r="942" ht="15.75" customHeight="1">
      <c r="J942" s="19"/>
    </row>
    <row r="943" ht="15.75" customHeight="1">
      <c r="J943" s="19"/>
    </row>
    <row r="944" ht="15.75" customHeight="1">
      <c r="J944" s="19"/>
    </row>
    <row r="945" ht="15.75" customHeight="1">
      <c r="J945" s="19"/>
    </row>
    <row r="946" ht="15.75" customHeight="1">
      <c r="J946" s="19"/>
    </row>
    <row r="947" ht="15.75" customHeight="1">
      <c r="J947" s="19"/>
    </row>
    <row r="948" ht="15.75" customHeight="1">
      <c r="J948" s="19"/>
    </row>
    <row r="949" ht="15.75" customHeight="1">
      <c r="J949" s="19"/>
    </row>
    <row r="950" ht="15.75" customHeight="1">
      <c r="J950" s="19"/>
    </row>
    <row r="951" ht="15.75" customHeight="1">
      <c r="J951" s="19"/>
    </row>
    <row r="952" ht="15.75" customHeight="1">
      <c r="J952" s="19"/>
    </row>
    <row r="953" ht="15.75" customHeight="1">
      <c r="J953" s="19"/>
    </row>
    <row r="954" ht="15.75" customHeight="1">
      <c r="J954" s="19"/>
    </row>
    <row r="955" ht="15.75" customHeight="1">
      <c r="J955" s="19"/>
    </row>
    <row r="956" ht="15.75" customHeight="1">
      <c r="J956" s="19"/>
    </row>
    <row r="957" ht="15.75" customHeight="1">
      <c r="J957" s="19"/>
    </row>
    <row r="958" ht="15.75" customHeight="1">
      <c r="J958" s="19"/>
    </row>
    <row r="959" ht="15.75" customHeight="1">
      <c r="J959" s="19"/>
    </row>
    <row r="960" ht="15.75" customHeight="1">
      <c r="J960" s="19"/>
    </row>
    <row r="961" ht="15.75" customHeight="1">
      <c r="J961" s="19"/>
    </row>
    <row r="962" ht="15.75" customHeight="1">
      <c r="J962" s="19"/>
    </row>
    <row r="963" ht="15.75" customHeight="1">
      <c r="J963" s="19"/>
    </row>
    <row r="964" ht="15.75" customHeight="1">
      <c r="J964" s="19"/>
    </row>
    <row r="965" ht="15.75" customHeight="1">
      <c r="J965" s="19"/>
    </row>
    <row r="966" ht="15.75" customHeight="1">
      <c r="J966" s="19"/>
    </row>
    <row r="967" ht="15.75" customHeight="1">
      <c r="J967" s="19"/>
    </row>
    <row r="968" ht="15.75" customHeight="1">
      <c r="J968" s="19"/>
    </row>
    <row r="969" ht="15.75" customHeight="1">
      <c r="J969" s="19"/>
    </row>
    <row r="970" ht="15.75" customHeight="1">
      <c r="J970" s="19"/>
    </row>
    <row r="971" ht="15.75" customHeight="1">
      <c r="J971" s="19"/>
    </row>
    <row r="972" ht="15.75" customHeight="1">
      <c r="J972" s="19"/>
    </row>
    <row r="973" ht="15.75" customHeight="1">
      <c r="J973" s="19"/>
    </row>
    <row r="974" ht="15.75" customHeight="1">
      <c r="J974" s="19"/>
    </row>
    <row r="975" ht="15.75" customHeight="1">
      <c r="J975" s="19"/>
    </row>
    <row r="976" ht="15.75" customHeight="1">
      <c r="J976" s="19"/>
    </row>
    <row r="977" ht="15.75" customHeight="1">
      <c r="J977" s="19"/>
    </row>
    <row r="978" ht="15.75" customHeight="1">
      <c r="J978" s="19"/>
    </row>
    <row r="979" ht="15.75" customHeight="1">
      <c r="J979" s="19"/>
    </row>
    <row r="980" ht="15.75" customHeight="1">
      <c r="J980" s="19"/>
    </row>
    <row r="981" ht="15.75" customHeight="1">
      <c r="J981" s="19"/>
    </row>
    <row r="982" ht="15.75" customHeight="1">
      <c r="J982" s="19"/>
    </row>
    <row r="983" ht="15.75" customHeight="1">
      <c r="J983" s="19"/>
    </row>
    <row r="984" ht="15.75" customHeight="1">
      <c r="J984" s="19"/>
    </row>
    <row r="985" ht="15.75" customHeight="1">
      <c r="J985" s="19"/>
    </row>
    <row r="986" ht="15.75" customHeight="1">
      <c r="J986" s="19"/>
    </row>
    <row r="987" ht="15.75" customHeight="1">
      <c r="J987" s="19"/>
    </row>
    <row r="988" ht="15.75" customHeight="1">
      <c r="J988" s="19"/>
    </row>
    <row r="989" ht="15.75" customHeight="1">
      <c r="J989" s="19"/>
    </row>
    <row r="990" ht="15.75" customHeight="1">
      <c r="J990" s="19"/>
    </row>
    <row r="991" ht="15.75" customHeight="1">
      <c r="J991" s="19"/>
    </row>
    <row r="992" ht="15.75" customHeight="1">
      <c r="J992" s="19"/>
    </row>
    <row r="993" ht="15.75" customHeight="1">
      <c r="J993" s="19"/>
    </row>
    <row r="994" ht="15.75" customHeight="1">
      <c r="J994" s="19"/>
    </row>
    <row r="995" ht="15.75" customHeight="1">
      <c r="J995" s="19"/>
    </row>
    <row r="996" ht="15.75" customHeight="1">
      <c r="J996" s="19"/>
    </row>
    <row r="997" ht="15.75" customHeight="1">
      <c r="J997" s="19"/>
    </row>
    <row r="998" ht="15.75" customHeight="1">
      <c r="J998" s="19"/>
    </row>
    <row r="999" ht="15.75" customHeight="1">
      <c r="J999" s="19"/>
    </row>
    <row r="1000" ht="15.75" customHeight="1">
      <c r="J1000" s="19"/>
    </row>
  </sheetData>
  <autoFilter ref="$A$2:$Z$184"/>
  <conditionalFormatting sqref="F2 F39:F184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0.38"/>
    <col customWidth="1" min="3" max="3" width="21.88"/>
    <col customWidth="1" min="4" max="4" width="12.13"/>
    <col customWidth="1" min="5" max="5" width="17.13"/>
    <col customWidth="1" min="6" max="6" width="16.0"/>
    <col customWidth="1" min="7" max="7" width="19.63"/>
    <col customWidth="1" min="8" max="8" width="18.63"/>
    <col customWidth="1" min="9" max="9" width="14.13"/>
    <col customWidth="1" min="10" max="10" width="18.63"/>
    <col customWidth="1" min="11" max="11" width="18.88"/>
    <col customWidth="1" min="12" max="12" width="22.88"/>
    <col customWidth="1" min="13" max="13" width="17.63"/>
    <col customWidth="1" min="14" max="14" width="25.0"/>
    <col customWidth="1" min="15" max="15" width="10.13"/>
    <col customWidth="1" min="16" max="16" width="15.13"/>
    <col customWidth="1" min="17" max="17" width="22.0"/>
    <col customWidth="1" min="18" max="26" width="8.88"/>
  </cols>
  <sheetData>
    <row r="1">
      <c r="A1" s="262" t="s">
        <v>359</v>
      </c>
      <c r="B1" s="146" t="s">
        <v>706</v>
      </c>
      <c r="C1" s="147" t="s">
        <v>707</v>
      </c>
      <c r="D1" s="147"/>
      <c r="E1" s="147"/>
      <c r="F1" s="263" t="s">
        <v>709</v>
      </c>
      <c r="G1" s="264"/>
      <c r="H1" s="264"/>
      <c r="I1" s="264"/>
      <c r="J1" s="264"/>
      <c r="K1" s="264"/>
      <c r="L1" s="264"/>
      <c r="M1" s="264"/>
      <c r="N1" s="264"/>
      <c r="O1" s="264"/>
      <c r="P1" s="265"/>
    </row>
    <row r="2">
      <c r="A2" s="266" t="s">
        <v>2</v>
      </c>
      <c r="B2" s="267" t="s">
        <v>3</v>
      </c>
      <c r="C2" s="267" t="s">
        <v>4</v>
      </c>
      <c r="D2" s="267" t="s">
        <v>5</v>
      </c>
      <c r="E2" s="267" t="s">
        <v>6</v>
      </c>
      <c r="F2" s="267" t="s">
        <v>212</v>
      </c>
      <c r="G2" s="268" t="s">
        <v>26</v>
      </c>
      <c r="H2" s="268" t="s">
        <v>27</v>
      </c>
      <c r="I2" s="267" t="s">
        <v>28</v>
      </c>
      <c r="J2" s="267" t="s">
        <v>14</v>
      </c>
      <c r="K2" s="267" t="s">
        <v>15</v>
      </c>
      <c r="L2" s="267" t="s">
        <v>16</v>
      </c>
      <c r="M2" s="267" t="s">
        <v>29</v>
      </c>
      <c r="N2" s="267" t="s">
        <v>30</v>
      </c>
      <c r="O2" s="267" t="s">
        <v>20</v>
      </c>
      <c r="P2" s="269" t="s">
        <v>21</v>
      </c>
      <c r="Q2" s="269" t="s">
        <v>34</v>
      </c>
    </row>
    <row r="3">
      <c r="A3" s="270">
        <v>1.0</v>
      </c>
      <c r="B3" s="270" t="s">
        <v>145</v>
      </c>
      <c r="C3" s="270" t="s">
        <v>49</v>
      </c>
      <c r="D3" s="270">
        <v>2.0</v>
      </c>
      <c r="E3" s="270">
        <v>2.0</v>
      </c>
      <c r="F3" s="270">
        <v>0.0</v>
      </c>
      <c r="G3" s="271">
        <v>97500.0</v>
      </c>
      <c r="H3" s="272">
        <f t="shared" ref="H3:H7" si="1">D3*G3</f>
        <v>195000</v>
      </c>
      <c r="I3" s="273" t="s">
        <v>202</v>
      </c>
      <c r="J3" s="270" t="s">
        <v>712</v>
      </c>
      <c r="K3" s="270" t="s">
        <v>183</v>
      </c>
      <c r="L3" s="270" t="s">
        <v>713</v>
      </c>
      <c r="M3" s="270" t="s">
        <v>714</v>
      </c>
      <c r="N3" s="270" t="s">
        <v>715</v>
      </c>
      <c r="O3" s="274" t="s">
        <v>716</v>
      </c>
      <c r="P3" s="270" t="s">
        <v>147</v>
      </c>
      <c r="Q3" s="270"/>
    </row>
    <row r="4">
      <c r="A4" s="270">
        <v>1.0</v>
      </c>
      <c r="B4" s="270" t="s">
        <v>145</v>
      </c>
      <c r="C4" s="270" t="s">
        <v>49</v>
      </c>
      <c r="D4" s="270">
        <v>2.0</v>
      </c>
      <c r="E4" s="270">
        <v>2.0</v>
      </c>
      <c r="F4" s="270">
        <v>0.0</v>
      </c>
      <c r="G4" s="271">
        <v>97500.0</v>
      </c>
      <c r="H4" s="272">
        <f t="shared" si="1"/>
        <v>195000</v>
      </c>
      <c r="I4" s="273" t="s">
        <v>111</v>
      </c>
      <c r="J4" s="270" t="s">
        <v>712</v>
      </c>
      <c r="K4" s="270" t="s">
        <v>183</v>
      </c>
      <c r="L4" s="270" t="s">
        <v>713</v>
      </c>
      <c r="M4" s="270" t="s">
        <v>714</v>
      </c>
      <c r="N4" s="270" t="s">
        <v>715</v>
      </c>
      <c r="O4" s="274" t="s">
        <v>716</v>
      </c>
      <c r="P4" s="270" t="s">
        <v>147</v>
      </c>
      <c r="Q4" s="270"/>
    </row>
    <row r="5">
      <c r="A5" s="270">
        <v>1.0</v>
      </c>
      <c r="B5" s="270" t="s">
        <v>145</v>
      </c>
      <c r="C5" s="270" t="s">
        <v>49</v>
      </c>
      <c r="D5" s="270">
        <v>5.0</v>
      </c>
      <c r="E5" s="270">
        <v>5.0</v>
      </c>
      <c r="F5" s="270">
        <v>0.0</v>
      </c>
      <c r="G5" s="271">
        <v>97500.0</v>
      </c>
      <c r="H5" s="272">
        <f t="shared" si="1"/>
        <v>487500</v>
      </c>
      <c r="I5" s="273" t="s">
        <v>199</v>
      </c>
      <c r="J5" s="270" t="s">
        <v>712</v>
      </c>
      <c r="K5" s="270" t="s">
        <v>183</v>
      </c>
      <c r="L5" s="270" t="s">
        <v>713</v>
      </c>
      <c r="M5" s="270" t="s">
        <v>714</v>
      </c>
      <c r="N5" s="270" t="s">
        <v>715</v>
      </c>
      <c r="O5" s="274" t="s">
        <v>716</v>
      </c>
      <c r="P5" s="270" t="s">
        <v>147</v>
      </c>
      <c r="Q5" s="270"/>
    </row>
    <row r="6">
      <c r="A6" s="270">
        <v>1.0</v>
      </c>
      <c r="B6" s="270" t="s">
        <v>145</v>
      </c>
      <c r="C6" s="270" t="s">
        <v>49</v>
      </c>
      <c r="D6" s="270">
        <v>1.0</v>
      </c>
      <c r="E6" s="270">
        <v>1.0</v>
      </c>
      <c r="F6" s="270">
        <v>0.0</v>
      </c>
      <c r="G6" s="271">
        <v>97500.0</v>
      </c>
      <c r="H6" s="272">
        <f t="shared" si="1"/>
        <v>97500</v>
      </c>
      <c r="I6" s="273" t="s">
        <v>178</v>
      </c>
      <c r="J6" s="270" t="s">
        <v>712</v>
      </c>
      <c r="K6" s="270" t="s">
        <v>183</v>
      </c>
      <c r="L6" s="270" t="s">
        <v>713</v>
      </c>
      <c r="M6" s="270" t="s">
        <v>714</v>
      </c>
      <c r="N6" s="270" t="s">
        <v>715</v>
      </c>
      <c r="O6" s="274" t="s">
        <v>716</v>
      </c>
      <c r="P6" s="270" t="s">
        <v>147</v>
      </c>
      <c r="Q6" s="270"/>
    </row>
    <row r="7">
      <c r="A7" s="270">
        <v>1.0</v>
      </c>
      <c r="B7" s="270" t="s">
        <v>145</v>
      </c>
      <c r="C7" s="270" t="s">
        <v>49</v>
      </c>
      <c r="D7" s="270">
        <v>1.0</v>
      </c>
      <c r="E7" s="270">
        <v>1.0</v>
      </c>
      <c r="F7" s="270">
        <v>0.0</v>
      </c>
      <c r="G7" s="271">
        <v>97500.0</v>
      </c>
      <c r="H7" s="272">
        <f t="shared" si="1"/>
        <v>97500</v>
      </c>
      <c r="I7" s="273" t="s">
        <v>272</v>
      </c>
      <c r="J7" s="270" t="s">
        <v>712</v>
      </c>
      <c r="K7" s="270" t="s">
        <v>183</v>
      </c>
      <c r="L7" s="270" t="s">
        <v>713</v>
      </c>
      <c r="M7" s="270" t="s">
        <v>714</v>
      </c>
      <c r="N7" s="270" t="s">
        <v>715</v>
      </c>
      <c r="O7" s="274" t="s">
        <v>716</v>
      </c>
      <c r="P7" s="270" t="s">
        <v>147</v>
      </c>
      <c r="Q7" s="270"/>
    </row>
    <row r="8">
      <c r="A8" s="275">
        <v>2.0</v>
      </c>
      <c r="B8" s="275" t="s">
        <v>150</v>
      </c>
      <c r="C8" s="275" t="s">
        <v>482</v>
      </c>
      <c r="D8" s="275">
        <v>1.0</v>
      </c>
      <c r="E8" s="275">
        <v>0.0</v>
      </c>
      <c r="F8" s="275">
        <v>0.0</v>
      </c>
      <c r="G8" s="276" t="s">
        <v>499</v>
      </c>
      <c r="H8" s="276" t="s">
        <v>499</v>
      </c>
      <c r="I8" s="276" t="s">
        <v>134</v>
      </c>
      <c r="J8" s="276" t="s">
        <v>48</v>
      </c>
      <c r="K8" s="276" t="s">
        <v>48</v>
      </c>
      <c r="L8" s="276" t="s">
        <v>48</v>
      </c>
      <c r="M8" s="276" t="s">
        <v>48</v>
      </c>
      <c r="N8" s="276" t="s">
        <v>48</v>
      </c>
      <c r="O8" s="275" t="s">
        <v>48</v>
      </c>
      <c r="P8" s="275" t="s">
        <v>48</v>
      </c>
      <c r="Q8" s="275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1:P1"/>
  </mergeCells>
  <conditionalFormatting sqref="F2:F8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9.88"/>
    <col customWidth="1" min="3" max="3" width="20.63"/>
    <col customWidth="1" min="4" max="4" width="10.63"/>
    <col customWidth="1" min="5" max="5" width="15.88"/>
    <col customWidth="1" min="6" max="6" width="16.13"/>
    <col customWidth="1" min="7" max="7" width="21.0"/>
    <col customWidth="1" min="8" max="8" width="17.88"/>
    <col customWidth="1" min="9" max="9" width="21.13"/>
    <col customWidth="1" min="10" max="10" width="30.0"/>
    <col customWidth="1" min="11" max="11" width="18.38"/>
    <col customWidth="1" min="12" max="12" width="22.0"/>
    <col customWidth="1" min="13" max="13" width="16.13"/>
    <col customWidth="1" min="14" max="14" width="38.38"/>
    <col customWidth="1" min="15" max="15" width="10.0"/>
    <col customWidth="1" min="16" max="16" width="13.13"/>
    <col customWidth="1" min="17" max="17" width="20.63"/>
    <col customWidth="1" min="18" max="26" width="8.88"/>
  </cols>
  <sheetData>
    <row r="1">
      <c r="A1" s="277"/>
      <c r="B1" s="278" t="s">
        <v>706</v>
      </c>
      <c r="C1" s="279" t="s">
        <v>709</v>
      </c>
      <c r="D1" s="264"/>
      <c r="E1" s="264"/>
      <c r="F1" s="264"/>
      <c r="G1" s="264"/>
      <c r="H1" s="264"/>
      <c r="I1" s="264"/>
      <c r="J1" s="264"/>
      <c r="K1" s="264"/>
      <c r="L1" s="264"/>
      <c r="M1" s="265"/>
      <c r="N1" s="280"/>
    </row>
    <row r="2">
      <c r="A2" s="281">
        <v>1.0</v>
      </c>
      <c r="B2" s="282" t="s">
        <v>45</v>
      </c>
      <c r="C2" s="282" t="s">
        <v>514</v>
      </c>
      <c r="D2" s="282">
        <v>1.0</v>
      </c>
      <c r="E2" s="282">
        <v>0.0</v>
      </c>
      <c r="F2" s="282">
        <f t="shared" ref="F2:F12" si="1">D2-E2</f>
        <v>1</v>
      </c>
      <c r="G2" s="283" t="s">
        <v>252</v>
      </c>
      <c r="H2" s="283" t="s">
        <v>252</v>
      </c>
      <c r="I2" s="282" t="s">
        <v>134</v>
      </c>
      <c r="J2" s="282" t="s">
        <v>48</v>
      </c>
      <c r="K2" s="282" t="s">
        <v>48</v>
      </c>
      <c r="L2" s="282" t="s">
        <v>48</v>
      </c>
      <c r="M2" s="282" t="s">
        <v>48</v>
      </c>
      <c r="N2" s="282" t="s">
        <v>48</v>
      </c>
      <c r="O2" s="282" t="s">
        <v>48</v>
      </c>
      <c r="P2" s="284" t="s">
        <v>48</v>
      </c>
      <c r="Q2" s="285" t="s">
        <v>48</v>
      </c>
    </row>
    <row r="3">
      <c r="A3" s="286">
        <v>2.0</v>
      </c>
      <c r="B3" s="270" t="s">
        <v>53</v>
      </c>
      <c r="C3" s="270" t="s">
        <v>121</v>
      </c>
      <c r="D3" s="287">
        <v>1.0</v>
      </c>
      <c r="E3" s="287">
        <v>1.0</v>
      </c>
      <c r="F3" s="287">
        <f t="shared" si="1"/>
        <v>0</v>
      </c>
      <c r="G3" s="288">
        <v>118000.0</v>
      </c>
      <c r="H3" s="288">
        <f>'90060_2024'!$D3*'90060_2024'!$G3</f>
        <v>118000</v>
      </c>
      <c r="I3" s="270" t="s">
        <v>221</v>
      </c>
      <c r="J3" s="270" t="s">
        <v>515</v>
      </c>
      <c r="K3" s="270" t="s">
        <v>516</v>
      </c>
      <c r="L3" s="270" t="s">
        <v>517</v>
      </c>
      <c r="M3" s="270" t="s">
        <v>518</v>
      </c>
      <c r="N3" s="289" t="s">
        <v>519</v>
      </c>
      <c r="O3" s="270">
        <v>1192.0</v>
      </c>
      <c r="P3" s="290">
        <v>45847.0</v>
      </c>
      <c r="Q3" s="291"/>
    </row>
    <row r="4">
      <c r="A4" s="286">
        <v>2.0</v>
      </c>
      <c r="B4" s="270" t="s">
        <v>53</v>
      </c>
      <c r="C4" s="270" t="s">
        <v>121</v>
      </c>
      <c r="D4" s="287">
        <v>1.0</v>
      </c>
      <c r="E4" s="287">
        <v>1.0</v>
      </c>
      <c r="F4" s="287">
        <f t="shared" si="1"/>
        <v>0</v>
      </c>
      <c r="G4" s="288">
        <v>118000.0</v>
      </c>
      <c r="H4" s="288">
        <f>'90060_2024'!$D4*'90060_2024'!$G4</f>
        <v>118000</v>
      </c>
      <c r="I4" s="270" t="s">
        <v>103</v>
      </c>
      <c r="J4" s="270" t="s">
        <v>521</v>
      </c>
      <c r="K4" s="270" t="s">
        <v>516</v>
      </c>
      <c r="L4" s="270" t="s">
        <v>517</v>
      </c>
      <c r="M4" s="270" t="s">
        <v>518</v>
      </c>
      <c r="N4" s="292" t="s">
        <v>519</v>
      </c>
      <c r="O4" s="270">
        <v>1192.0</v>
      </c>
      <c r="P4" s="290">
        <v>45847.0</v>
      </c>
      <c r="Q4" s="291"/>
    </row>
    <row r="5">
      <c r="A5" s="286">
        <v>2.0</v>
      </c>
      <c r="B5" s="270" t="s">
        <v>53</v>
      </c>
      <c r="C5" s="270" t="s">
        <v>121</v>
      </c>
      <c r="D5" s="287">
        <v>1.0</v>
      </c>
      <c r="E5" s="287">
        <v>1.0</v>
      </c>
      <c r="F5" s="287">
        <f t="shared" si="1"/>
        <v>0</v>
      </c>
      <c r="G5" s="288">
        <v>118000.0</v>
      </c>
      <c r="H5" s="288">
        <f>'90060_2024'!$D5*'90060_2024'!$G5</f>
        <v>118000</v>
      </c>
      <c r="I5" s="270" t="s">
        <v>117</v>
      </c>
      <c r="J5" s="270" t="s">
        <v>524</v>
      </c>
      <c r="K5" s="270" t="s">
        <v>516</v>
      </c>
      <c r="L5" s="270" t="s">
        <v>517</v>
      </c>
      <c r="M5" s="270" t="s">
        <v>518</v>
      </c>
      <c r="N5" s="289" t="s">
        <v>519</v>
      </c>
      <c r="O5" s="270">
        <v>1192.0</v>
      </c>
      <c r="P5" s="290">
        <v>45847.0</v>
      </c>
      <c r="Q5" s="291"/>
    </row>
    <row r="6">
      <c r="A6" s="286">
        <v>2.0</v>
      </c>
      <c r="B6" s="270" t="s">
        <v>53</v>
      </c>
      <c r="C6" s="270" t="s">
        <v>121</v>
      </c>
      <c r="D6" s="287">
        <v>3.0</v>
      </c>
      <c r="E6" s="287">
        <v>2.0</v>
      </c>
      <c r="F6" s="287">
        <f t="shared" si="1"/>
        <v>1</v>
      </c>
      <c r="G6" s="288">
        <v>118000.0</v>
      </c>
      <c r="H6" s="288">
        <f>'90060_2024'!$D6*'90060_2024'!$G6</f>
        <v>354000</v>
      </c>
      <c r="I6" s="270" t="s">
        <v>167</v>
      </c>
      <c r="J6" s="270" t="s">
        <v>525</v>
      </c>
      <c r="K6" s="270" t="s">
        <v>516</v>
      </c>
      <c r="L6" s="270" t="s">
        <v>517</v>
      </c>
      <c r="M6" s="270" t="s">
        <v>518</v>
      </c>
      <c r="N6" s="289" t="s">
        <v>519</v>
      </c>
      <c r="O6" s="270">
        <v>1192.0</v>
      </c>
      <c r="P6" s="290">
        <v>45847.0</v>
      </c>
      <c r="Q6" s="291"/>
    </row>
    <row r="7">
      <c r="A7" s="286">
        <v>2.0</v>
      </c>
      <c r="B7" s="270" t="s">
        <v>53</v>
      </c>
      <c r="C7" s="270" t="s">
        <v>121</v>
      </c>
      <c r="D7" s="287">
        <v>2.0</v>
      </c>
      <c r="E7" s="287">
        <v>2.0</v>
      </c>
      <c r="F7" s="287">
        <f t="shared" si="1"/>
        <v>0</v>
      </c>
      <c r="G7" s="288">
        <v>118000.0</v>
      </c>
      <c r="H7" s="288">
        <f>'90060_2024'!$D7*'90060_2024'!$G7</f>
        <v>236000</v>
      </c>
      <c r="I7" s="270" t="s">
        <v>134</v>
      </c>
      <c r="J7" s="270" t="s">
        <v>531</v>
      </c>
      <c r="K7" s="270" t="s">
        <v>516</v>
      </c>
      <c r="L7" s="270" t="s">
        <v>517</v>
      </c>
      <c r="M7" s="270" t="s">
        <v>518</v>
      </c>
      <c r="N7" s="289" t="s">
        <v>519</v>
      </c>
      <c r="O7" s="270">
        <v>1192.0</v>
      </c>
      <c r="P7" s="290">
        <v>45847.0</v>
      </c>
      <c r="Q7" s="291"/>
    </row>
    <row r="8">
      <c r="A8" s="286">
        <v>3.0</v>
      </c>
      <c r="B8" s="270" t="s">
        <v>64</v>
      </c>
      <c r="C8" s="270" t="s">
        <v>224</v>
      </c>
      <c r="D8" s="287">
        <v>3.0</v>
      </c>
      <c r="E8" s="110">
        <v>3.0</v>
      </c>
      <c r="F8" s="287">
        <f t="shared" si="1"/>
        <v>0</v>
      </c>
      <c r="G8" s="288">
        <v>109400.0</v>
      </c>
      <c r="H8" s="288">
        <f>'90060_2024'!$D8*'90060_2024'!$G8</f>
        <v>328200</v>
      </c>
      <c r="I8" s="270" t="s">
        <v>167</v>
      </c>
      <c r="J8" s="270" t="s">
        <v>533</v>
      </c>
      <c r="K8" s="270" t="s">
        <v>516</v>
      </c>
      <c r="L8" s="270" t="s">
        <v>517</v>
      </c>
      <c r="M8" s="270" t="s">
        <v>518</v>
      </c>
      <c r="N8" s="289" t="s">
        <v>519</v>
      </c>
      <c r="O8" s="270">
        <v>1192.0</v>
      </c>
      <c r="P8" s="290">
        <v>45847.0</v>
      </c>
      <c r="Q8" s="291"/>
    </row>
    <row r="9">
      <c r="A9" s="286">
        <v>3.0</v>
      </c>
      <c r="B9" s="270" t="s">
        <v>64</v>
      </c>
      <c r="C9" s="270" t="s">
        <v>224</v>
      </c>
      <c r="D9" s="287">
        <v>1.0</v>
      </c>
      <c r="E9" s="287">
        <v>1.0</v>
      </c>
      <c r="F9" s="287">
        <f t="shared" si="1"/>
        <v>0</v>
      </c>
      <c r="G9" s="288">
        <v>109400.0</v>
      </c>
      <c r="H9" s="288">
        <f>'90060_2024'!$D9*'90060_2024'!$G9</f>
        <v>109400</v>
      </c>
      <c r="I9" s="270" t="s">
        <v>228</v>
      </c>
      <c r="J9" s="270" t="s">
        <v>533</v>
      </c>
      <c r="K9" s="270" t="s">
        <v>516</v>
      </c>
      <c r="L9" s="270" t="s">
        <v>517</v>
      </c>
      <c r="M9" s="270" t="s">
        <v>518</v>
      </c>
      <c r="N9" s="289" t="s">
        <v>519</v>
      </c>
      <c r="O9" s="270">
        <v>1192.0</v>
      </c>
      <c r="P9" s="290">
        <v>45847.0</v>
      </c>
      <c r="Q9" s="291"/>
    </row>
    <row r="10">
      <c r="A10" s="286">
        <v>3.0</v>
      </c>
      <c r="B10" s="270" t="s">
        <v>64</v>
      </c>
      <c r="C10" s="270" t="s">
        <v>224</v>
      </c>
      <c r="D10" s="287">
        <v>1.0</v>
      </c>
      <c r="E10" s="287">
        <v>1.0</v>
      </c>
      <c r="F10" s="287">
        <f t="shared" si="1"/>
        <v>0</v>
      </c>
      <c r="G10" s="288">
        <v>109400.0</v>
      </c>
      <c r="H10" s="288">
        <f>'90060_2024'!$D10*'90060_2024'!$G10</f>
        <v>109400</v>
      </c>
      <c r="I10" s="270" t="s">
        <v>194</v>
      </c>
      <c r="J10" s="270" t="s">
        <v>533</v>
      </c>
      <c r="K10" s="270" t="s">
        <v>516</v>
      </c>
      <c r="L10" s="270" t="s">
        <v>517</v>
      </c>
      <c r="M10" s="270" t="s">
        <v>518</v>
      </c>
      <c r="N10" s="289" t="s">
        <v>519</v>
      </c>
      <c r="O10" s="270">
        <v>1192.0</v>
      </c>
      <c r="P10" s="290">
        <v>45847.0</v>
      </c>
      <c r="Q10" s="291"/>
    </row>
    <row r="11">
      <c r="A11" s="286">
        <v>3.0</v>
      </c>
      <c r="B11" s="270" t="s">
        <v>64</v>
      </c>
      <c r="C11" s="270" t="s">
        <v>224</v>
      </c>
      <c r="D11" s="287">
        <v>1.0</v>
      </c>
      <c r="E11" s="287">
        <v>1.0</v>
      </c>
      <c r="F11" s="287">
        <f t="shared" si="1"/>
        <v>0</v>
      </c>
      <c r="G11" s="288">
        <v>109400.0</v>
      </c>
      <c r="H11" s="288">
        <f>'90060_2024'!$D11*'90060_2024'!$G11</f>
        <v>109400</v>
      </c>
      <c r="I11" s="270" t="s">
        <v>134</v>
      </c>
      <c r="J11" s="270" t="s">
        <v>533</v>
      </c>
      <c r="K11" s="270" t="s">
        <v>516</v>
      </c>
      <c r="L11" s="270" t="s">
        <v>517</v>
      </c>
      <c r="M11" s="270" t="s">
        <v>518</v>
      </c>
      <c r="N11" s="289" t="s">
        <v>519</v>
      </c>
      <c r="O11" s="270">
        <v>1192.0</v>
      </c>
      <c r="P11" s="290">
        <v>45847.0</v>
      </c>
      <c r="Q11" s="291"/>
    </row>
    <row r="12">
      <c r="A12" s="286">
        <v>4.0</v>
      </c>
      <c r="B12" s="270" t="s">
        <v>81</v>
      </c>
      <c r="C12" s="270" t="s">
        <v>25</v>
      </c>
      <c r="D12" s="287">
        <v>1.0</v>
      </c>
      <c r="E12" s="287">
        <v>0.0</v>
      </c>
      <c r="F12" s="287">
        <f t="shared" si="1"/>
        <v>1</v>
      </c>
      <c r="G12" s="288">
        <v>349800.0</v>
      </c>
      <c r="H12" s="288">
        <f>'90060_2024'!$D12*'90060_2024'!$G12</f>
        <v>349800</v>
      </c>
      <c r="I12" s="270" t="s">
        <v>134</v>
      </c>
      <c r="J12" s="270" t="s">
        <v>534</v>
      </c>
      <c r="K12" s="270" t="s">
        <v>389</v>
      </c>
      <c r="L12" s="270" t="s">
        <v>535</v>
      </c>
      <c r="M12" s="270" t="s">
        <v>536</v>
      </c>
      <c r="N12" s="299" t="s">
        <v>537</v>
      </c>
      <c r="O12" s="270" t="s">
        <v>538</v>
      </c>
      <c r="P12" s="290">
        <v>45834.0</v>
      </c>
      <c r="Q12" s="291"/>
    </row>
    <row r="13">
      <c r="A13" s="281">
        <v>5.0</v>
      </c>
      <c r="B13" s="282" t="s">
        <v>123</v>
      </c>
      <c r="C13" s="282" t="s">
        <v>539</v>
      </c>
      <c r="D13" s="282">
        <v>1.0</v>
      </c>
      <c r="E13" s="282">
        <v>0.0</v>
      </c>
      <c r="F13" s="282" t="s">
        <v>48</v>
      </c>
      <c r="G13" s="283" t="s">
        <v>252</v>
      </c>
      <c r="H13" s="283" t="s">
        <v>252</v>
      </c>
      <c r="I13" s="282" t="s">
        <v>134</v>
      </c>
      <c r="J13" s="282" t="s">
        <v>48</v>
      </c>
      <c r="K13" s="282" t="s">
        <v>48</v>
      </c>
      <c r="L13" s="282" t="s">
        <v>48</v>
      </c>
      <c r="M13" s="282" t="s">
        <v>48</v>
      </c>
      <c r="N13" s="282" t="s">
        <v>48</v>
      </c>
      <c r="O13" s="282" t="s">
        <v>48</v>
      </c>
      <c r="P13" s="284" t="s">
        <v>48</v>
      </c>
      <c r="Q13" s="285" t="s">
        <v>48</v>
      </c>
    </row>
    <row r="14">
      <c r="A14" s="286">
        <v>6.0</v>
      </c>
      <c r="B14" s="270" t="s">
        <v>83</v>
      </c>
      <c r="C14" s="270" t="s">
        <v>251</v>
      </c>
      <c r="D14" s="287">
        <v>1.0</v>
      </c>
      <c r="E14" s="287">
        <v>0.0</v>
      </c>
      <c r="F14" s="287">
        <f t="shared" ref="F14:F22" si="2">D14-E14</f>
        <v>1</v>
      </c>
      <c r="G14" s="288">
        <v>124899.0</v>
      </c>
      <c r="H14" s="288">
        <f>'90060_2024'!$D14*'90060_2024'!$G14</f>
        <v>124899</v>
      </c>
      <c r="I14" s="270" t="s">
        <v>221</v>
      </c>
      <c r="J14" s="270" t="s">
        <v>734</v>
      </c>
      <c r="K14" s="270" t="s">
        <v>541</v>
      </c>
      <c r="L14" s="270" t="s">
        <v>542</v>
      </c>
      <c r="M14" s="270" t="s">
        <v>543</v>
      </c>
      <c r="N14" s="301" t="s">
        <v>544</v>
      </c>
      <c r="O14" s="270">
        <v>1196.0</v>
      </c>
      <c r="P14" s="290">
        <v>45834.0</v>
      </c>
      <c r="Q14" s="291"/>
    </row>
    <row r="15">
      <c r="A15" s="286">
        <v>6.0</v>
      </c>
      <c r="B15" s="270" t="s">
        <v>83</v>
      </c>
      <c r="C15" s="270" t="s">
        <v>251</v>
      </c>
      <c r="D15" s="287">
        <v>1.0</v>
      </c>
      <c r="E15" s="287">
        <v>0.0</v>
      </c>
      <c r="F15" s="287">
        <f t="shared" si="2"/>
        <v>1</v>
      </c>
      <c r="G15" s="288">
        <v>124899.0</v>
      </c>
      <c r="H15" s="288">
        <f>'90060_2024'!$D15*'90060_2024'!$G15</f>
        <v>124899</v>
      </c>
      <c r="I15" s="270" t="s">
        <v>179</v>
      </c>
      <c r="J15" s="270" t="s">
        <v>734</v>
      </c>
      <c r="K15" s="270" t="s">
        <v>541</v>
      </c>
      <c r="L15" s="270" t="s">
        <v>542</v>
      </c>
      <c r="M15" s="270" t="s">
        <v>543</v>
      </c>
      <c r="N15" s="299" t="s">
        <v>544</v>
      </c>
      <c r="O15" s="270">
        <v>1196.0</v>
      </c>
      <c r="P15" s="290">
        <v>45834.0</v>
      </c>
      <c r="Q15" s="291"/>
    </row>
    <row r="16">
      <c r="A16" s="286">
        <v>6.0</v>
      </c>
      <c r="B16" s="270" t="s">
        <v>83</v>
      </c>
      <c r="C16" s="270" t="s">
        <v>251</v>
      </c>
      <c r="D16" s="287">
        <v>4.0</v>
      </c>
      <c r="E16" s="287">
        <v>0.0</v>
      </c>
      <c r="F16" s="287">
        <f t="shared" si="2"/>
        <v>4</v>
      </c>
      <c r="G16" s="288">
        <v>124899.0</v>
      </c>
      <c r="H16" s="288">
        <f>'90060_2024'!$D16*'90060_2024'!$G16</f>
        <v>499596</v>
      </c>
      <c r="I16" s="270" t="s">
        <v>167</v>
      </c>
      <c r="J16" s="270" t="s">
        <v>734</v>
      </c>
      <c r="K16" s="270" t="s">
        <v>541</v>
      </c>
      <c r="L16" s="270" t="s">
        <v>542</v>
      </c>
      <c r="M16" s="270" t="s">
        <v>543</v>
      </c>
      <c r="N16" s="299" t="s">
        <v>544</v>
      </c>
      <c r="O16" s="270">
        <v>1196.0</v>
      </c>
      <c r="P16" s="290">
        <v>45834.0</v>
      </c>
      <c r="Q16" s="291"/>
    </row>
    <row r="17">
      <c r="A17" s="286">
        <v>6.0</v>
      </c>
      <c r="B17" s="270" t="s">
        <v>83</v>
      </c>
      <c r="C17" s="270" t="s">
        <v>251</v>
      </c>
      <c r="D17" s="287">
        <v>1.0</v>
      </c>
      <c r="E17" s="287">
        <v>0.0</v>
      </c>
      <c r="F17" s="287">
        <f t="shared" si="2"/>
        <v>1</v>
      </c>
      <c r="G17" s="288">
        <v>124899.0</v>
      </c>
      <c r="H17" s="288">
        <f>'90060_2024'!$D17*'90060_2024'!$G17</f>
        <v>124899</v>
      </c>
      <c r="I17" s="270" t="s">
        <v>202</v>
      </c>
      <c r="J17" s="270" t="s">
        <v>734</v>
      </c>
      <c r="K17" s="270" t="s">
        <v>541</v>
      </c>
      <c r="L17" s="270" t="s">
        <v>542</v>
      </c>
      <c r="M17" s="270" t="s">
        <v>543</v>
      </c>
      <c r="N17" s="301" t="s">
        <v>544</v>
      </c>
      <c r="O17" s="270">
        <v>1196.0</v>
      </c>
      <c r="P17" s="290">
        <v>45834.0</v>
      </c>
      <c r="Q17" s="291"/>
    </row>
    <row r="18">
      <c r="A18" s="286">
        <v>6.0</v>
      </c>
      <c r="B18" s="270" t="s">
        <v>83</v>
      </c>
      <c r="C18" s="270" t="s">
        <v>251</v>
      </c>
      <c r="D18" s="287">
        <v>1.0</v>
      </c>
      <c r="E18" s="287">
        <v>0.0</v>
      </c>
      <c r="F18" s="287">
        <f t="shared" si="2"/>
        <v>1</v>
      </c>
      <c r="G18" s="288">
        <v>124899.0</v>
      </c>
      <c r="H18" s="288">
        <f>'90060_2024'!$D18*'90060_2024'!$G18</f>
        <v>124899</v>
      </c>
      <c r="I18" s="270" t="s">
        <v>111</v>
      </c>
      <c r="J18" s="270" t="s">
        <v>734</v>
      </c>
      <c r="K18" s="270" t="s">
        <v>541</v>
      </c>
      <c r="L18" s="270" t="s">
        <v>542</v>
      </c>
      <c r="M18" s="270" t="s">
        <v>543</v>
      </c>
      <c r="N18" s="299" t="s">
        <v>544</v>
      </c>
      <c r="O18" s="270">
        <v>1196.0</v>
      </c>
      <c r="P18" s="290">
        <v>45834.0</v>
      </c>
      <c r="Q18" s="291"/>
    </row>
    <row r="19">
      <c r="A19" s="281">
        <v>7.0</v>
      </c>
      <c r="B19" s="282" t="s">
        <v>87</v>
      </c>
      <c r="C19" s="282" t="s">
        <v>553</v>
      </c>
      <c r="D19" s="282">
        <v>1.0</v>
      </c>
      <c r="E19" s="282">
        <v>0.0</v>
      </c>
      <c r="F19" s="282">
        <f t="shared" si="2"/>
        <v>1</v>
      </c>
      <c r="G19" s="283" t="s">
        <v>499</v>
      </c>
      <c r="H19" s="283" t="s">
        <v>499</v>
      </c>
      <c r="I19" s="282" t="s">
        <v>134</v>
      </c>
      <c r="J19" s="282" t="s">
        <v>48</v>
      </c>
      <c r="K19" s="282" t="s">
        <v>48</v>
      </c>
      <c r="L19" s="282" t="s">
        <v>48</v>
      </c>
      <c r="M19" s="282" t="s">
        <v>48</v>
      </c>
      <c r="N19" s="282" t="s">
        <v>48</v>
      </c>
      <c r="O19" s="282" t="s">
        <v>48</v>
      </c>
      <c r="P19" s="284" t="s">
        <v>48</v>
      </c>
      <c r="Q19" s="285" t="s">
        <v>48</v>
      </c>
    </row>
    <row r="20" ht="15.75" customHeight="1">
      <c r="A20" s="286">
        <v>8.0</v>
      </c>
      <c r="B20" s="270" t="s">
        <v>91</v>
      </c>
      <c r="C20" s="270" t="s">
        <v>261</v>
      </c>
      <c r="D20" s="287">
        <v>2.0</v>
      </c>
      <c r="E20" s="287">
        <v>2.0</v>
      </c>
      <c r="F20" s="287">
        <f t="shared" si="2"/>
        <v>0</v>
      </c>
      <c r="G20" s="288">
        <v>177002.58</v>
      </c>
      <c r="H20" s="288">
        <f>'90060_2024'!$D20*'90060_2024'!$G20</f>
        <v>354005.16</v>
      </c>
      <c r="I20" s="270" t="s">
        <v>134</v>
      </c>
      <c r="J20" s="270" t="s">
        <v>557</v>
      </c>
      <c r="K20" s="270" t="s">
        <v>558</v>
      </c>
      <c r="L20" s="270" t="s">
        <v>559</v>
      </c>
      <c r="M20" s="270" t="s">
        <v>560</v>
      </c>
      <c r="N20" s="301" t="s">
        <v>561</v>
      </c>
      <c r="O20" s="270">
        <v>1197.0</v>
      </c>
      <c r="P20" s="290">
        <v>45840.0</v>
      </c>
      <c r="Q20" s="291"/>
    </row>
    <row r="21" ht="15.75" customHeight="1">
      <c r="A21" s="286">
        <v>8.0</v>
      </c>
      <c r="B21" s="270" t="s">
        <v>91</v>
      </c>
      <c r="C21" s="270" t="s">
        <v>261</v>
      </c>
      <c r="D21" s="287">
        <v>4.0</v>
      </c>
      <c r="E21" s="287">
        <v>4.0</v>
      </c>
      <c r="F21" s="287">
        <f t="shared" si="2"/>
        <v>0</v>
      </c>
      <c r="G21" s="288">
        <v>177002.58</v>
      </c>
      <c r="H21" s="288">
        <f>'90060_2024'!$D21*'90060_2024'!$G21</f>
        <v>708010.32</v>
      </c>
      <c r="I21" s="270" t="s">
        <v>167</v>
      </c>
      <c r="J21" s="270" t="s">
        <v>563</v>
      </c>
      <c r="K21" s="270" t="s">
        <v>564</v>
      </c>
      <c r="L21" s="270" t="s">
        <v>559</v>
      </c>
      <c r="M21" s="270" t="s">
        <v>560</v>
      </c>
      <c r="N21" s="299" t="s">
        <v>561</v>
      </c>
      <c r="O21" s="270">
        <v>1197.0</v>
      </c>
      <c r="P21" s="290">
        <v>45840.0</v>
      </c>
      <c r="Q21" s="291"/>
    </row>
    <row r="22" ht="15.75" customHeight="1">
      <c r="A22" s="286">
        <v>8.0</v>
      </c>
      <c r="B22" s="270" t="s">
        <v>91</v>
      </c>
      <c r="C22" s="270" t="s">
        <v>261</v>
      </c>
      <c r="D22" s="287">
        <v>1.0</v>
      </c>
      <c r="E22" s="287">
        <v>1.0</v>
      </c>
      <c r="F22" s="287">
        <f t="shared" si="2"/>
        <v>0</v>
      </c>
      <c r="G22" s="288">
        <v>177002.58</v>
      </c>
      <c r="H22" s="288">
        <f>'90060_2024'!$D22*'90060_2024'!$G22</f>
        <v>177002.58</v>
      </c>
      <c r="I22" s="270" t="s">
        <v>272</v>
      </c>
      <c r="J22" s="270" t="s">
        <v>565</v>
      </c>
      <c r="K22" s="270" t="s">
        <v>566</v>
      </c>
      <c r="L22" s="270" t="s">
        <v>559</v>
      </c>
      <c r="M22" s="270" t="s">
        <v>560</v>
      </c>
      <c r="N22" s="299" t="s">
        <v>561</v>
      </c>
      <c r="O22" s="270">
        <v>1197.0</v>
      </c>
      <c r="P22" s="290">
        <v>45840.0</v>
      </c>
      <c r="Q22" s="291"/>
    </row>
    <row r="23" ht="42.0" customHeight="1">
      <c r="A23" s="306" t="s">
        <v>2</v>
      </c>
      <c r="B23" s="267" t="s">
        <v>3</v>
      </c>
      <c r="C23" s="267" t="s">
        <v>4</v>
      </c>
      <c r="D23" s="267" t="s">
        <v>5</v>
      </c>
      <c r="E23" s="267" t="s">
        <v>746</v>
      </c>
      <c r="F23" s="267" t="s">
        <v>7</v>
      </c>
      <c r="G23" s="307" t="s">
        <v>26</v>
      </c>
      <c r="H23" s="307" t="s">
        <v>27</v>
      </c>
      <c r="I23" s="267" t="s">
        <v>28</v>
      </c>
      <c r="J23" s="267" t="s">
        <v>213</v>
      </c>
      <c r="K23" s="267" t="s">
        <v>15</v>
      </c>
      <c r="L23" s="267" t="s">
        <v>16</v>
      </c>
      <c r="M23" s="267" t="s">
        <v>29</v>
      </c>
      <c r="N23" s="267" t="s">
        <v>30</v>
      </c>
      <c r="O23" s="267" t="s">
        <v>20</v>
      </c>
      <c r="P23" s="267" t="s">
        <v>21</v>
      </c>
      <c r="Q23" s="269" t="s">
        <v>34</v>
      </c>
      <c r="R23" s="308"/>
      <c r="S23" s="308"/>
      <c r="T23" s="308"/>
      <c r="U23" s="308"/>
      <c r="V23" s="308"/>
      <c r="W23" s="308"/>
      <c r="X23" s="308"/>
      <c r="Y23" s="308"/>
      <c r="Z23" s="308"/>
    </row>
    <row r="24" ht="15.75" customHeight="1">
      <c r="A24" s="286">
        <v>9.0</v>
      </c>
      <c r="B24" s="270" t="s">
        <v>101</v>
      </c>
      <c r="C24" s="270" t="s">
        <v>278</v>
      </c>
      <c r="D24" s="287">
        <v>13.0</v>
      </c>
      <c r="E24" s="287">
        <v>13.0</v>
      </c>
      <c r="F24" s="287">
        <f t="shared" ref="F24:F111" si="3">D24-E24</f>
        <v>0</v>
      </c>
      <c r="G24" s="288">
        <v>22299.0</v>
      </c>
      <c r="H24" s="288">
        <f>'90060_2024'!$D24*'90060_2024'!$G24</f>
        <v>289887</v>
      </c>
      <c r="I24" s="270" t="s">
        <v>167</v>
      </c>
      <c r="J24" s="270" t="s">
        <v>568</v>
      </c>
      <c r="K24" s="270" t="s">
        <v>569</v>
      </c>
      <c r="L24" s="270" t="s">
        <v>570</v>
      </c>
      <c r="M24" s="270" t="s">
        <v>571</v>
      </c>
      <c r="N24" s="301" t="s">
        <v>572</v>
      </c>
      <c r="O24" s="270">
        <v>1195.0</v>
      </c>
      <c r="P24" s="309">
        <v>45834.0</v>
      </c>
      <c r="Q24" s="291"/>
    </row>
    <row r="25" ht="15.75" customHeight="1">
      <c r="A25" s="286">
        <v>10.0</v>
      </c>
      <c r="B25" s="270" t="s">
        <v>109</v>
      </c>
      <c r="C25" s="270" t="s">
        <v>293</v>
      </c>
      <c r="D25" s="287">
        <v>1.0</v>
      </c>
      <c r="E25" s="287">
        <v>1.0</v>
      </c>
      <c r="F25" s="287">
        <f t="shared" si="3"/>
        <v>0</v>
      </c>
      <c r="G25" s="288">
        <v>386000.0</v>
      </c>
      <c r="H25" s="288">
        <f>'90060_2024'!$D25*'90060_2024'!$G25</f>
        <v>386000</v>
      </c>
      <c r="I25" s="270" t="s">
        <v>58</v>
      </c>
      <c r="J25" s="270" t="s">
        <v>573</v>
      </c>
      <c r="K25" s="270" t="s">
        <v>574</v>
      </c>
      <c r="L25" s="270" t="s">
        <v>575</v>
      </c>
      <c r="M25" s="270" t="s">
        <v>576</v>
      </c>
      <c r="N25" s="299" t="s">
        <v>577</v>
      </c>
      <c r="O25" s="270">
        <v>1194.0</v>
      </c>
      <c r="P25" s="309">
        <v>45834.0</v>
      </c>
      <c r="Q25" s="291" t="s">
        <v>578</v>
      </c>
    </row>
    <row r="26" ht="15.75" customHeight="1">
      <c r="A26" s="286">
        <v>10.0</v>
      </c>
      <c r="B26" s="270" t="s">
        <v>109</v>
      </c>
      <c r="C26" s="270" t="s">
        <v>293</v>
      </c>
      <c r="D26" s="287">
        <v>1.0</v>
      </c>
      <c r="E26" s="287">
        <v>1.0</v>
      </c>
      <c r="F26" s="287">
        <f t="shared" si="3"/>
        <v>0</v>
      </c>
      <c r="G26" s="288">
        <v>386000.0</v>
      </c>
      <c r="H26" s="288">
        <f>'90060_2024'!$D26*'90060_2024'!$G26</f>
        <v>386000</v>
      </c>
      <c r="I26" s="270" t="s">
        <v>103</v>
      </c>
      <c r="J26" s="270" t="s">
        <v>573</v>
      </c>
      <c r="K26" s="270" t="s">
        <v>574</v>
      </c>
      <c r="L26" s="270" t="s">
        <v>575</v>
      </c>
      <c r="M26" s="270" t="s">
        <v>576</v>
      </c>
      <c r="N26" s="299" t="s">
        <v>577</v>
      </c>
      <c r="O26" s="270">
        <v>1194.0</v>
      </c>
      <c r="P26" s="309">
        <v>45834.0</v>
      </c>
      <c r="Q26" s="310" t="s">
        <v>579</v>
      </c>
    </row>
    <row r="27" ht="15.75" customHeight="1">
      <c r="A27" s="286">
        <v>10.0</v>
      </c>
      <c r="B27" s="270" t="s">
        <v>109</v>
      </c>
      <c r="C27" s="270" t="s">
        <v>293</v>
      </c>
      <c r="D27" s="287">
        <v>1.0</v>
      </c>
      <c r="E27" s="287">
        <v>1.0</v>
      </c>
      <c r="F27" s="287">
        <f t="shared" si="3"/>
        <v>0</v>
      </c>
      <c r="G27" s="288">
        <v>386000.0</v>
      </c>
      <c r="H27" s="288">
        <f>'90060_2024'!$D27*'90060_2024'!$G27</f>
        <v>386000</v>
      </c>
      <c r="I27" s="270" t="s">
        <v>96</v>
      </c>
      <c r="J27" s="270" t="s">
        <v>573</v>
      </c>
      <c r="K27" s="270" t="s">
        <v>574</v>
      </c>
      <c r="L27" s="270" t="s">
        <v>575</v>
      </c>
      <c r="M27" s="270" t="s">
        <v>576</v>
      </c>
      <c r="N27" s="299" t="s">
        <v>577</v>
      </c>
      <c r="O27" s="270">
        <v>1194.0</v>
      </c>
      <c r="P27" s="309">
        <v>45834.0</v>
      </c>
      <c r="Q27" s="310" t="s">
        <v>580</v>
      </c>
    </row>
    <row r="28" ht="15.75" customHeight="1">
      <c r="A28" s="286">
        <v>10.0</v>
      </c>
      <c r="B28" s="270" t="s">
        <v>109</v>
      </c>
      <c r="C28" s="270" t="s">
        <v>293</v>
      </c>
      <c r="D28" s="287">
        <v>1.0</v>
      </c>
      <c r="E28" s="287">
        <v>1.0</v>
      </c>
      <c r="F28" s="287">
        <f t="shared" si="3"/>
        <v>0</v>
      </c>
      <c r="G28" s="288">
        <v>386000.0</v>
      </c>
      <c r="H28" s="288">
        <f>'90060_2024'!$D28*'90060_2024'!$G28</f>
        <v>386000</v>
      </c>
      <c r="I28" s="270" t="s">
        <v>276</v>
      </c>
      <c r="J28" s="270" t="s">
        <v>573</v>
      </c>
      <c r="K28" s="270" t="s">
        <v>574</v>
      </c>
      <c r="L28" s="270" t="s">
        <v>575</v>
      </c>
      <c r="M28" s="270" t="s">
        <v>576</v>
      </c>
      <c r="N28" s="299" t="s">
        <v>577</v>
      </c>
      <c r="O28" s="270">
        <v>1194.0</v>
      </c>
      <c r="P28" s="309">
        <v>45834.0</v>
      </c>
      <c r="Q28" s="310" t="s">
        <v>581</v>
      </c>
    </row>
    <row r="29" ht="15.75" customHeight="1">
      <c r="A29" s="286">
        <v>10.0</v>
      </c>
      <c r="B29" s="270" t="s">
        <v>109</v>
      </c>
      <c r="C29" s="270" t="s">
        <v>293</v>
      </c>
      <c r="D29" s="287">
        <v>1.0</v>
      </c>
      <c r="E29" s="287">
        <v>1.0</v>
      </c>
      <c r="F29" s="287">
        <f t="shared" si="3"/>
        <v>0</v>
      </c>
      <c r="G29" s="288">
        <v>386000.0</v>
      </c>
      <c r="H29" s="288">
        <f>'90060_2024'!$D29*'90060_2024'!$G29</f>
        <v>386000</v>
      </c>
      <c r="I29" s="270" t="s">
        <v>134</v>
      </c>
      <c r="J29" s="270" t="s">
        <v>573</v>
      </c>
      <c r="K29" s="270" t="s">
        <v>574</v>
      </c>
      <c r="L29" s="270" t="s">
        <v>575</v>
      </c>
      <c r="M29" s="270" t="s">
        <v>576</v>
      </c>
      <c r="N29" s="299" t="s">
        <v>577</v>
      </c>
      <c r="O29" s="270">
        <v>1194.0</v>
      </c>
      <c r="P29" s="309">
        <v>45834.0</v>
      </c>
      <c r="Q29" s="291"/>
    </row>
    <row r="30" ht="15.75" customHeight="1">
      <c r="A30" s="286">
        <v>11.0</v>
      </c>
      <c r="B30" s="270" t="s">
        <v>116</v>
      </c>
      <c r="C30" s="270" t="s">
        <v>305</v>
      </c>
      <c r="D30" s="287">
        <v>1.0</v>
      </c>
      <c r="E30" s="287">
        <v>1.0</v>
      </c>
      <c r="F30" s="287">
        <f t="shared" si="3"/>
        <v>0</v>
      </c>
      <c r="G30" s="288">
        <v>275000.0</v>
      </c>
      <c r="H30" s="288">
        <f>'90060_2024'!$D30*'90060_2024'!$G30</f>
        <v>275000</v>
      </c>
      <c r="I30" s="270" t="s">
        <v>160</v>
      </c>
      <c r="J30" s="270" t="s">
        <v>587</v>
      </c>
      <c r="K30" s="270" t="s">
        <v>389</v>
      </c>
      <c r="L30" s="270" t="s">
        <v>535</v>
      </c>
      <c r="M30" s="270" t="s">
        <v>536</v>
      </c>
      <c r="N30" s="299" t="s">
        <v>537</v>
      </c>
      <c r="O30" s="270" t="s">
        <v>538</v>
      </c>
      <c r="P30" s="290">
        <v>45834.0</v>
      </c>
      <c r="Q30" s="291"/>
    </row>
    <row r="31" ht="15.75" customHeight="1">
      <c r="A31" s="286">
        <v>11.0</v>
      </c>
      <c r="B31" s="270" t="s">
        <v>116</v>
      </c>
      <c r="C31" s="270" t="s">
        <v>305</v>
      </c>
      <c r="D31" s="287">
        <v>1.0</v>
      </c>
      <c r="E31" s="311">
        <v>1.0</v>
      </c>
      <c r="F31" s="287">
        <f t="shared" si="3"/>
        <v>0</v>
      </c>
      <c r="G31" s="288">
        <v>275000.0</v>
      </c>
      <c r="H31" s="288">
        <f>'90060_2024'!$D31*'90060_2024'!$G31</f>
        <v>275000</v>
      </c>
      <c r="I31" s="270" t="s">
        <v>134</v>
      </c>
      <c r="J31" s="270" t="s">
        <v>587</v>
      </c>
      <c r="K31" s="270" t="s">
        <v>389</v>
      </c>
      <c r="L31" s="270" t="s">
        <v>535</v>
      </c>
      <c r="M31" s="270" t="s">
        <v>536</v>
      </c>
      <c r="N31" s="299" t="s">
        <v>537</v>
      </c>
      <c r="O31" s="270" t="s">
        <v>538</v>
      </c>
      <c r="P31" s="290">
        <v>45834.0</v>
      </c>
      <c r="Q31" s="291"/>
    </row>
    <row r="32" ht="15.75" customHeight="1">
      <c r="A32" s="281">
        <v>12.0</v>
      </c>
      <c r="B32" s="282" t="s">
        <v>144</v>
      </c>
      <c r="C32" s="282" t="s">
        <v>49</v>
      </c>
      <c r="D32" s="282">
        <v>1.0</v>
      </c>
      <c r="E32" s="282">
        <v>0.0</v>
      </c>
      <c r="F32" s="282">
        <f t="shared" si="3"/>
        <v>1</v>
      </c>
      <c r="G32" s="283" t="s">
        <v>499</v>
      </c>
      <c r="H32" s="283" t="s">
        <v>499</v>
      </c>
      <c r="I32" s="282" t="s">
        <v>202</v>
      </c>
      <c r="J32" s="282" t="s">
        <v>48</v>
      </c>
      <c r="K32" s="282" t="s">
        <v>48</v>
      </c>
      <c r="L32" s="282" t="s">
        <v>48</v>
      </c>
      <c r="M32" s="282" t="s">
        <v>48</v>
      </c>
      <c r="N32" s="282" t="s">
        <v>48</v>
      </c>
      <c r="O32" s="282" t="s">
        <v>48</v>
      </c>
      <c r="P32" s="284" t="s">
        <v>48</v>
      </c>
      <c r="Q32" s="312" t="s">
        <v>48</v>
      </c>
    </row>
    <row r="33" ht="15.75" customHeight="1">
      <c r="A33" s="281">
        <v>12.0</v>
      </c>
      <c r="B33" s="282" t="s">
        <v>144</v>
      </c>
      <c r="C33" s="282" t="s">
        <v>49</v>
      </c>
      <c r="D33" s="282">
        <v>1.0</v>
      </c>
      <c r="E33" s="282">
        <v>0.0</v>
      </c>
      <c r="F33" s="282">
        <f t="shared" si="3"/>
        <v>1</v>
      </c>
      <c r="G33" s="283" t="s">
        <v>499</v>
      </c>
      <c r="H33" s="283" t="s">
        <v>499</v>
      </c>
      <c r="I33" s="282" t="s">
        <v>111</v>
      </c>
      <c r="J33" s="282" t="s">
        <v>48</v>
      </c>
      <c r="K33" s="282" t="s">
        <v>48</v>
      </c>
      <c r="L33" s="282" t="s">
        <v>48</v>
      </c>
      <c r="M33" s="282" t="s">
        <v>48</v>
      </c>
      <c r="N33" s="282" t="s">
        <v>48</v>
      </c>
      <c r="O33" s="282" t="s">
        <v>48</v>
      </c>
      <c r="P33" s="284" t="s">
        <v>48</v>
      </c>
      <c r="Q33" s="312" t="s">
        <v>48</v>
      </c>
    </row>
    <row r="34" ht="15.75" customHeight="1">
      <c r="A34" s="281">
        <v>12.0</v>
      </c>
      <c r="B34" s="282" t="s">
        <v>144</v>
      </c>
      <c r="C34" s="282" t="s">
        <v>49</v>
      </c>
      <c r="D34" s="282">
        <v>1.0</v>
      </c>
      <c r="E34" s="282">
        <v>0.0</v>
      </c>
      <c r="F34" s="282">
        <f t="shared" si="3"/>
        <v>1</v>
      </c>
      <c r="G34" s="283" t="s">
        <v>499</v>
      </c>
      <c r="H34" s="283" t="s">
        <v>499</v>
      </c>
      <c r="I34" s="282" t="s">
        <v>178</v>
      </c>
      <c r="J34" s="282" t="s">
        <v>48</v>
      </c>
      <c r="K34" s="282" t="s">
        <v>48</v>
      </c>
      <c r="L34" s="282" t="s">
        <v>48</v>
      </c>
      <c r="M34" s="282" t="s">
        <v>48</v>
      </c>
      <c r="N34" s="282" t="s">
        <v>48</v>
      </c>
      <c r="O34" s="282" t="s">
        <v>48</v>
      </c>
      <c r="P34" s="284" t="s">
        <v>48</v>
      </c>
      <c r="Q34" s="312" t="s">
        <v>48</v>
      </c>
    </row>
    <row r="35" ht="15.75" customHeight="1">
      <c r="A35" s="281">
        <v>12.0</v>
      </c>
      <c r="B35" s="282" t="s">
        <v>144</v>
      </c>
      <c r="C35" s="282" t="s">
        <v>49</v>
      </c>
      <c r="D35" s="282">
        <v>1.0</v>
      </c>
      <c r="E35" s="282">
        <v>0.0</v>
      </c>
      <c r="F35" s="282">
        <f t="shared" si="3"/>
        <v>1</v>
      </c>
      <c r="G35" s="283" t="s">
        <v>499</v>
      </c>
      <c r="H35" s="283" t="s">
        <v>499</v>
      </c>
      <c r="I35" s="282" t="s">
        <v>272</v>
      </c>
      <c r="J35" s="282" t="s">
        <v>48</v>
      </c>
      <c r="K35" s="282" t="s">
        <v>48</v>
      </c>
      <c r="L35" s="282" t="s">
        <v>48</v>
      </c>
      <c r="M35" s="282" t="s">
        <v>48</v>
      </c>
      <c r="N35" s="282" t="s">
        <v>48</v>
      </c>
      <c r="O35" s="282" t="s">
        <v>48</v>
      </c>
      <c r="P35" s="284" t="s">
        <v>48</v>
      </c>
      <c r="Q35" s="312" t="s">
        <v>48</v>
      </c>
    </row>
    <row r="36" ht="15.75" customHeight="1">
      <c r="A36" s="281">
        <v>13.0</v>
      </c>
      <c r="B36" s="282" t="s">
        <v>169</v>
      </c>
      <c r="C36" s="282" t="s">
        <v>347</v>
      </c>
      <c r="D36" s="282">
        <v>5.0</v>
      </c>
      <c r="E36" s="282">
        <v>0.0</v>
      </c>
      <c r="F36" s="282">
        <f t="shared" si="3"/>
        <v>5</v>
      </c>
      <c r="G36" s="283" t="s">
        <v>499</v>
      </c>
      <c r="H36" s="283" t="s">
        <v>499</v>
      </c>
      <c r="I36" s="282" t="s">
        <v>221</v>
      </c>
      <c r="J36" s="282" t="s">
        <v>48</v>
      </c>
      <c r="K36" s="282" t="s">
        <v>48</v>
      </c>
      <c r="L36" s="282" t="s">
        <v>48</v>
      </c>
      <c r="M36" s="282" t="s">
        <v>48</v>
      </c>
      <c r="N36" s="282" t="s">
        <v>48</v>
      </c>
      <c r="O36" s="282" t="s">
        <v>48</v>
      </c>
      <c r="P36" s="284" t="s">
        <v>48</v>
      </c>
      <c r="Q36" s="312" t="s">
        <v>48</v>
      </c>
    </row>
    <row r="37" ht="15.75" customHeight="1">
      <c r="A37" s="281">
        <v>13.0</v>
      </c>
      <c r="B37" s="282" t="s">
        <v>169</v>
      </c>
      <c r="C37" s="282" t="s">
        <v>347</v>
      </c>
      <c r="D37" s="282">
        <v>1.0</v>
      </c>
      <c r="E37" s="282">
        <v>0.0</v>
      </c>
      <c r="F37" s="282">
        <f t="shared" si="3"/>
        <v>1</v>
      </c>
      <c r="G37" s="283" t="s">
        <v>499</v>
      </c>
      <c r="H37" s="283" t="s">
        <v>499</v>
      </c>
      <c r="I37" s="282" t="s">
        <v>85</v>
      </c>
      <c r="J37" s="282" t="s">
        <v>48</v>
      </c>
      <c r="K37" s="282" t="s">
        <v>48</v>
      </c>
      <c r="L37" s="282" t="s">
        <v>48</v>
      </c>
      <c r="M37" s="282" t="s">
        <v>48</v>
      </c>
      <c r="N37" s="282" t="s">
        <v>48</v>
      </c>
      <c r="O37" s="282" t="s">
        <v>48</v>
      </c>
      <c r="P37" s="284" t="s">
        <v>48</v>
      </c>
      <c r="Q37" s="312" t="s">
        <v>48</v>
      </c>
    </row>
    <row r="38" ht="15.75" customHeight="1">
      <c r="A38" s="281">
        <v>13.0</v>
      </c>
      <c r="B38" s="282" t="s">
        <v>169</v>
      </c>
      <c r="C38" s="282" t="s">
        <v>347</v>
      </c>
      <c r="D38" s="282">
        <v>1.0</v>
      </c>
      <c r="E38" s="282">
        <v>0.0</v>
      </c>
      <c r="F38" s="282">
        <f t="shared" si="3"/>
        <v>1</v>
      </c>
      <c r="G38" s="283" t="s">
        <v>499</v>
      </c>
      <c r="H38" s="283" t="s">
        <v>499</v>
      </c>
      <c r="I38" s="282" t="s">
        <v>113</v>
      </c>
      <c r="J38" s="282" t="s">
        <v>48</v>
      </c>
      <c r="K38" s="282" t="s">
        <v>48</v>
      </c>
      <c r="L38" s="282" t="s">
        <v>48</v>
      </c>
      <c r="M38" s="282" t="s">
        <v>48</v>
      </c>
      <c r="N38" s="282" t="s">
        <v>48</v>
      </c>
      <c r="O38" s="282" t="s">
        <v>48</v>
      </c>
      <c r="P38" s="284" t="s">
        <v>48</v>
      </c>
      <c r="Q38" s="312" t="s">
        <v>48</v>
      </c>
    </row>
    <row r="39" ht="15.75" customHeight="1">
      <c r="A39" s="281">
        <v>13.0</v>
      </c>
      <c r="B39" s="282" t="s">
        <v>169</v>
      </c>
      <c r="C39" s="282" t="s">
        <v>347</v>
      </c>
      <c r="D39" s="282">
        <v>1.0</v>
      </c>
      <c r="E39" s="282">
        <v>0.0</v>
      </c>
      <c r="F39" s="282">
        <f t="shared" si="3"/>
        <v>1</v>
      </c>
      <c r="G39" s="283" t="s">
        <v>499</v>
      </c>
      <c r="H39" s="283" t="s">
        <v>499</v>
      </c>
      <c r="I39" s="282" t="s">
        <v>161</v>
      </c>
      <c r="J39" s="282" t="s">
        <v>48</v>
      </c>
      <c r="K39" s="282" t="s">
        <v>48</v>
      </c>
      <c r="L39" s="282" t="s">
        <v>48</v>
      </c>
      <c r="M39" s="282" t="s">
        <v>48</v>
      </c>
      <c r="N39" s="282" t="s">
        <v>48</v>
      </c>
      <c r="O39" s="282" t="s">
        <v>48</v>
      </c>
      <c r="P39" s="284" t="s">
        <v>48</v>
      </c>
      <c r="Q39" s="312" t="s">
        <v>48</v>
      </c>
    </row>
    <row r="40" ht="15.75" customHeight="1">
      <c r="A40" s="281">
        <v>13.0</v>
      </c>
      <c r="B40" s="282" t="s">
        <v>169</v>
      </c>
      <c r="C40" s="282" t="s">
        <v>347</v>
      </c>
      <c r="D40" s="282">
        <v>5.0</v>
      </c>
      <c r="E40" s="282">
        <v>0.0</v>
      </c>
      <c r="F40" s="282">
        <f t="shared" si="3"/>
        <v>5</v>
      </c>
      <c r="G40" s="283" t="s">
        <v>499</v>
      </c>
      <c r="H40" s="283" t="s">
        <v>499</v>
      </c>
      <c r="I40" s="282" t="s">
        <v>89</v>
      </c>
      <c r="J40" s="282" t="s">
        <v>48</v>
      </c>
      <c r="K40" s="282" t="s">
        <v>48</v>
      </c>
      <c r="L40" s="282" t="s">
        <v>48</v>
      </c>
      <c r="M40" s="282" t="s">
        <v>48</v>
      </c>
      <c r="N40" s="282" t="s">
        <v>48</v>
      </c>
      <c r="O40" s="282" t="s">
        <v>48</v>
      </c>
      <c r="P40" s="284" t="s">
        <v>48</v>
      </c>
      <c r="Q40" s="312" t="s">
        <v>48</v>
      </c>
    </row>
    <row r="41" ht="15.75" customHeight="1">
      <c r="A41" s="281">
        <v>13.0</v>
      </c>
      <c r="B41" s="282" t="s">
        <v>169</v>
      </c>
      <c r="C41" s="282" t="s">
        <v>347</v>
      </c>
      <c r="D41" s="282">
        <v>2.0</v>
      </c>
      <c r="E41" s="282">
        <v>0.0</v>
      </c>
      <c r="F41" s="282">
        <f t="shared" si="3"/>
        <v>2</v>
      </c>
      <c r="G41" s="283" t="s">
        <v>499</v>
      </c>
      <c r="H41" s="283" t="s">
        <v>499</v>
      </c>
      <c r="I41" s="282" t="s">
        <v>179</v>
      </c>
      <c r="J41" s="282" t="s">
        <v>48</v>
      </c>
      <c r="K41" s="282" t="s">
        <v>48</v>
      </c>
      <c r="L41" s="282" t="s">
        <v>48</v>
      </c>
      <c r="M41" s="282" t="s">
        <v>48</v>
      </c>
      <c r="N41" s="282" t="s">
        <v>48</v>
      </c>
      <c r="O41" s="282" t="s">
        <v>48</v>
      </c>
      <c r="P41" s="284" t="s">
        <v>48</v>
      </c>
      <c r="Q41" s="312" t="s">
        <v>48</v>
      </c>
    </row>
    <row r="42" ht="15.75" customHeight="1">
      <c r="A42" s="281">
        <v>13.0</v>
      </c>
      <c r="B42" s="282" t="s">
        <v>169</v>
      </c>
      <c r="C42" s="282" t="s">
        <v>347</v>
      </c>
      <c r="D42" s="282">
        <v>3.0</v>
      </c>
      <c r="E42" s="282">
        <v>0.0</v>
      </c>
      <c r="F42" s="282">
        <f t="shared" si="3"/>
        <v>3</v>
      </c>
      <c r="G42" s="283" t="s">
        <v>499</v>
      </c>
      <c r="H42" s="283" t="s">
        <v>499</v>
      </c>
      <c r="I42" s="282" t="s">
        <v>167</v>
      </c>
      <c r="J42" s="282" t="s">
        <v>48</v>
      </c>
      <c r="K42" s="282" t="s">
        <v>48</v>
      </c>
      <c r="L42" s="282" t="s">
        <v>48</v>
      </c>
      <c r="M42" s="282" t="s">
        <v>48</v>
      </c>
      <c r="N42" s="282" t="s">
        <v>48</v>
      </c>
      <c r="O42" s="282" t="s">
        <v>48</v>
      </c>
      <c r="P42" s="284" t="s">
        <v>48</v>
      </c>
      <c r="Q42" s="312" t="s">
        <v>48</v>
      </c>
    </row>
    <row r="43" ht="15.75" customHeight="1">
      <c r="A43" s="281">
        <v>13.0</v>
      </c>
      <c r="B43" s="282" t="s">
        <v>169</v>
      </c>
      <c r="C43" s="282" t="s">
        <v>347</v>
      </c>
      <c r="D43" s="282">
        <v>3.0</v>
      </c>
      <c r="E43" s="282">
        <v>0.0</v>
      </c>
      <c r="F43" s="282">
        <f t="shared" si="3"/>
        <v>3</v>
      </c>
      <c r="G43" s="283" t="s">
        <v>499</v>
      </c>
      <c r="H43" s="283" t="s">
        <v>499</v>
      </c>
      <c r="I43" s="282" t="s">
        <v>202</v>
      </c>
      <c r="J43" s="282" t="s">
        <v>48</v>
      </c>
      <c r="K43" s="282" t="s">
        <v>48</v>
      </c>
      <c r="L43" s="282" t="s">
        <v>48</v>
      </c>
      <c r="M43" s="282" t="s">
        <v>48</v>
      </c>
      <c r="N43" s="282" t="s">
        <v>48</v>
      </c>
      <c r="O43" s="282" t="s">
        <v>48</v>
      </c>
      <c r="P43" s="284" t="s">
        <v>48</v>
      </c>
      <c r="Q43" s="312" t="s">
        <v>48</v>
      </c>
    </row>
    <row r="44" ht="15.75" customHeight="1">
      <c r="A44" s="281">
        <v>13.0</v>
      </c>
      <c r="B44" s="282" t="s">
        <v>169</v>
      </c>
      <c r="C44" s="282" t="s">
        <v>347</v>
      </c>
      <c r="D44" s="282">
        <v>1.0</v>
      </c>
      <c r="E44" s="282">
        <v>0.0</v>
      </c>
      <c r="F44" s="282">
        <f t="shared" si="3"/>
        <v>1</v>
      </c>
      <c r="G44" s="283" t="s">
        <v>499</v>
      </c>
      <c r="H44" s="283" t="s">
        <v>499</v>
      </c>
      <c r="I44" s="282" t="s">
        <v>228</v>
      </c>
      <c r="J44" s="282" t="s">
        <v>48</v>
      </c>
      <c r="K44" s="282" t="s">
        <v>48</v>
      </c>
      <c r="L44" s="282" t="s">
        <v>48</v>
      </c>
      <c r="M44" s="282" t="s">
        <v>48</v>
      </c>
      <c r="N44" s="282" t="s">
        <v>48</v>
      </c>
      <c r="O44" s="282" t="s">
        <v>48</v>
      </c>
      <c r="P44" s="284" t="s">
        <v>48</v>
      </c>
      <c r="Q44" s="312" t="s">
        <v>48</v>
      </c>
    </row>
    <row r="45" ht="15.75" customHeight="1">
      <c r="A45" s="281">
        <v>13.0</v>
      </c>
      <c r="B45" s="282" t="s">
        <v>169</v>
      </c>
      <c r="C45" s="282" t="s">
        <v>347</v>
      </c>
      <c r="D45" s="282">
        <v>1.0</v>
      </c>
      <c r="E45" s="282">
        <v>0.0</v>
      </c>
      <c r="F45" s="282">
        <f t="shared" si="3"/>
        <v>1</v>
      </c>
      <c r="G45" s="283" t="s">
        <v>499</v>
      </c>
      <c r="H45" s="283" t="s">
        <v>499</v>
      </c>
      <c r="I45" s="282" t="s">
        <v>188</v>
      </c>
      <c r="J45" s="282" t="s">
        <v>48</v>
      </c>
      <c r="K45" s="282" t="s">
        <v>48</v>
      </c>
      <c r="L45" s="282" t="s">
        <v>48</v>
      </c>
      <c r="M45" s="282" t="s">
        <v>48</v>
      </c>
      <c r="N45" s="282" t="s">
        <v>48</v>
      </c>
      <c r="O45" s="282" t="s">
        <v>48</v>
      </c>
      <c r="P45" s="284" t="s">
        <v>48</v>
      </c>
      <c r="Q45" s="312" t="s">
        <v>48</v>
      </c>
    </row>
    <row r="46" ht="15.75" customHeight="1">
      <c r="A46" s="281">
        <v>13.0</v>
      </c>
      <c r="B46" s="282" t="s">
        <v>169</v>
      </c>
      <c r="C46" s="282" t="s">
        <v>347</v>
      </c>
      <c r="D46" s="282">
        <v>1.0</v>
      </c>
      <c r="E46" s="282">
        <v>0.0</v>
      </c>
      <c r="F46" s="282">
        <f t="shared" si="3"/>
        <v>1</v>
      </c>
      <c r="G46" s="283" t="s">
        <v>499</v>
      </c>
      <c r="H46" s="283" t="s">
        <v>499</v>
      </c>
      <c r="I46" s="282" t="s">
        <v>197</v>
      </c>
      <c r="J46" s="282" t="s">
        <v>48</v>
      </c>
      <c r="K46" s="282" t="s">
        <v>48</v>
      </c>
      <c r="L46" s="282" t="s">
        <v>48</v>
      </c>
      <c r="M46" s="282" t="s">
        <v>48</v>
      </c>
      <c r="N46" s="282" t="s">
        <v>48</v>
      </c>
      <c r="O46" s="282" t="s">
        <v>48</v>
      </c>
      <c r="P46" s="284" t="s">
        <v>48</v>
      </c>
      <c r="Q46" s="312" t="s">
        <v>48</v>
      </c>
    </row>
    <row r="47" ht="15.75" customHeight="1">
      <c r="A47" s="281">
        <v>13.0</v>
      </c>
      <c r="B47" s="282" t="s">
        <v>169</v>
      </c>
      <c r="C47" s="282" t="s">
        <v>347</v>
      </c>
      <c r="D47" s="282">
        <v>1.0</v>
      </c>
      <c r="E47" s="282">
        <v>0.0</v>
      </c>
      <c r="F47" s="282">
        <f t="shared" si="3"/>
        <v>1</v>
      </c>
      <c r="G47" s="283" t="s">
        <v>499</v>
      </c>
      <c r="H47" s="283" t="s">
        <v>499</v>
      </c>
      <c r="I47" s="282" t="s">
        <v>160</v>
      </c>
      <c r="J47" s="282" t="s">
        <v>48</v>
      </c>
      <c r="K47" s="282" t="s">
        <v>48</v>
      </c>
      <c r="L47" s="282" t="s">
        <v>48</v>
      </c>
      <c r="M47" s="282" t="s">
        <v>48</v>
      </c>
      <c r="N47" s="282" t="s">
        <v>48</v>
      </c>
      <c r="O47" s="282" t="s">
        <v>48</v>
      </c>
      <c r="P47" s="284" t="s">
        <v>48</v>
      </c>
      <c r="Q47" s="312" t="s">
        <v>48</v>
      </c>
    </row>
    <row r="48" ht="15.75" customHeight="1">
      <c r="A48" s="281">
        <v>13.0</v>
      </c>
      <c r="B48" s="282" t="s">
        <v>169</v>
      </c>
      <c r="C48" s="282" t="s">
        <v>347</v>
      </c>
      <c r="D48" s="282">
        <v>1.0</v>
      </c>
      <c r="E48" s="282">
        <v>0.0</v>
      </c>
      <c r="F48" s="282">
        <f t="shared" si="3"/>
        <v>1</v>
      </c>
      <c r="G48" s="283" t="s">
        <v>499</v>
      </c>
      <c r="H48" s="283" t="s">
        <v>499</v>
      </c>
      <c r="I48" s="282" t="s">
        <v>189</v>
      </c>
      <c r="J48" s="282" t="s">
        <v>48</v>
      </c>
      <c r="K48" s="282" t="s">
        <v>48</v>
      </c>
      <c r="L48" s="282" t="s">
        <v>48</v>
      </c>
      <c r="M48" s="282" t="s">
        <v>48</v>
      </c>
      <c r="N48" s="282" t="s">
        <v>48</v>
      </c>
      <c r="O48" s="282" t="s">
        <v>48</v>
      </c>
      <c r="P48" s="284" t="s">
        <v>48</v>
      </c>
      <c r="Q48" s="312" t="s">
        <v>48</v>
      </c>
    </row>
    <row r="49" ht="15.75" customHeight="1">
      <c r="A49" s="281">
        <v>13.0</v>
      </c>
      <c r="B49" s="282" t="s">
        <v>169</v>
      </c>
      <c r="C49" s="282" t="s">
        <v>347</v>
      </c>
      <c r="D49" s="282">
        <v>1.0</v>
      </c>
      <c r="E49" s="282">
        <v>0.0</v>
      </c>
      <c r="F49" s="282">
        <f t="shared" si="3"/>
        <v>1</v>
      </c>
      <c r="G49" s="283" t="s">
        <v>499</v>
      </c>
      <c r="H49" s="283" t="s">
        <v>499</v>
      </c>
      <c r="I49" s="282" t="s">
        <v>304</v>
      </c>
      <c r="J49" s="282" t="s">
        <v>48</v>
      </c>
      <c r="K49" s="282" t="s">
        <v>48</v>
      </c>
      <c r="L49" s="282" t="s">
        <v>48</v>
      </c>
      <c r="M49" s="282" t="s">
        <v>48</v>
      </c>
      <c r="N49" s="282" t="s">
        <v>48</v>
      </c>
      <c r="O49" s="282" t="s">
        <v>48</v>
      </c>
      <c r="P49" s="284" t="s">
        <v>48</v>
      </c>
      <c r="Q49" s="312" t="s">
        <v>48</v>
      </c>
    </row>
    <row r="50" ht="15.75" customHeight="1">
      <c r="A50" s="281">
        <v>13.0</v>
      </c>
      <c r="B50" s="282" t="s">
        <v>169</v>
      </c>
      <c r="C50" s="282" t="s">
        <v>347</v>
      </c>
      <c r="D50" s="282">
        <v>1.0</v>
      </c>
      <c r="E50" s="282">
        <v>0.0</v>
      </c>
      <c r="F50" s="282">
        <f t="shared" si="3"/>
        <v>1</v>
      </c>
      <c r="G50" s="283" t="s">
        <v>499</v>
      </c>
      <c r="H50" s="283" t="s">
        <v>499</v>
      </c>
      <c r="I50" s="282" t="s">
        <v>194</v>
      </c>
      <c r="J50" s="282" t="s">
        <v>48</v>
      </c>
      <c r="K50" s="282" t="s">
        <v>48</v>
      </c>
      <c r="L50" s="282" t="s">
        <v>48</v>
      </c>
      <c r="M50" s="282" t="s">
        <v>48</v>
      </c>
      <c r="N50" s="282" t="s">
        <v>48</v>
      </c>
      <c r="O50" s="282" t="s">
        <v>48</v>
      </c>
      <c r="P50" s="284" t="s">
        <v>48</v>
      </c>
      <c r="Q50" s="312" t="s">
        <v>48</v>
      </c>
    </row>
    <row r="51" ht="15.75" customHeight="1">
      <c r="A51" s="281">
        <v>13.0</v>
      </c>
      <c r="B51" s="282" t="s">
        <v>169</v>
      </c>
      <c r="C51" s="282" t="s">
        <v>347</v>
      </c>
      <c r="D51" s="282">
        <v>7.0</v>
      </c>
      <c r="E51" s="282">
        <v>0.0</v>
      </c>
      <c r="F51" s="282">
        <f t="shared" si="3"/>
        <v>7</v>
      </c>
      <c r="G51" s="283" t="s">
        <v>499</v>
      </c>
      <c r="H51" s="283" t="s">
        <v>499</v>
      </c>
      <c r="I51" s="282" t="s">
        <v>134</v>
      </c>
      <c r="J51" s="282" t="s">
        <v>48</v>
      </c>
      <c r="K51" s="282" t="s">
        <v>48</v>
      </c>
      <c r="L51" s="282" t="s">
        <v>48</v>
      </c>
      <c r="M51" s="282" t="s">
        <v>48</v>
      </c>
      <c r="N51" s="282" t="s">
        <v>48</v>
      </c>
      <c r="O51" s="282" t="s">
        <v>48</v>
      </c>
      <c r="P51" s="284" t="s">
        <v>48</v>
      </c>
      <c r="Q51" s="312" t="s">
        <v>48</v>
      </c>
    </row>
    <row r="52" ht="15.75" customHeight="1">
      <c r="A52" s="281">
        <v>14.0</v>
      </c>
      <c r="B52" s="282" t="s">
        <v>172</v>
      </c>
      <c r="C52" s="282" t="s">
        <v>368</v>
      </c>
      <c r="D52" s="282">
        <v>3.0</v>
      </c>
      <c r="E52" s="282">
        <v>0.0</v>
      </c>
      <c r="F52" s="282">
        <f t="shared" si="3"/>
        <v>3</v>
      </c>
      <c r="G52" s="283" t="s">
        <v>499</v>
      </c>
      <c r="H52" s="283" t="s">
        <v>499</v>
      </c>
      <c r="I52" s="282" t="s">
        <v>221</v>
      </c>
      <c r="J52" s="282" t="s">
        <v>48</v>
      </c>
      <c r="K52" s="282" t="s">
        <v>48</v>
      </c>
      <c r="L52" s="282" t="s">
        <v>48</v>
      </c>
      <c r="M52" s="282" t="s">
        <v>48</v>
      </c>
      <c r="N52" s="282" t="s">
        <v>48</v>
      </c>
      <c r="O52" s="282" t="s">
        <v>48</v>
      </c>
      <c r="P52" s="284" t="s">
        <v>48</v>
      </c>
      <c r="Q52" s="312" t="s">
        <v>48</v>
      </c>
    </row>
    <row r="53" ht="15.75" customHeight="1">
      <c r="A53" s="281">
        <v>14.0</v>
      </c>
      <c r="B53" s="282" t="s">
        <v>172</v>
      </c>
      <c r="C53" s="282" t="s">
        <v>368</v>
      </c>
      <c r="D53" s="282">
        <v>1.0</v>
      </c>
      <c r="E53" s="282">
        <v>0.0</v>
      </c>
      <c r="F53" s="282">
        <f t="shared" si="3"/>
        <v>1</v>
      </c>
      <c r="G53" s="283" t="s">
        <v>499</v>
      </c>
      <c r="H53" s="283" t="s">
        <v>499</v>
      </c>
      <c r="I53" s="282" t="s">
        <v>89</v>
      </c>
      <c r="J53" s="282" t="s">
        <v>48</v>
      </c>
      <c r="K53" s="282" t="s">
        <v>48</v>
      </c>
      <c r="L53" s="282" t="s">
        <v>48</v>
      </c>
      <c r="M53" s="282" t="s">
        <v>48</v>
      </c>
      <c r="N53" s="282" t="s">
        <v>48</v>
      </c>
      <c r="O53" s="282" t="s">
        <v>48</v>
      </c>
      <c r="P53" s="284" t="s">
        <v>48</v>
      </c>
      <c r="Q53" s="312" t="s">
        <v>48</v>
      </c>
    </row>
    <row r="54" ht="15.75" customHeight="1">
      <c r="A54" s="281">
        <v>14.0</v>
      </c>
      <c r="B54" s="282" t="s">
        <v>172</v>
      </c>
      <c r="C54" s="282" t="s">
        <v>368</v>
      </c>
      <c r="D54" s="282">
        <v>3.0</v>
      </c>
      <c r="E54" s="282">
        <v>0.0</v>
      </c>
      <c r="F54" s="282">
        <f t="shared" si="3"/>
        <v>3</v>
      </c>
      <c r="G54" s="283" t="s">
        <v>499</v>
      </c>
      <c r="H54" s="283" t="s">
        <v>499</v>
      </c>
      <c r="I54" s="282" t="s">
        <v>179</v>
      </c>
      <c r="J54" s="282" t="s">
        <v>48</v>
      </c>
      <c r="K54" s="282" t="s">
        <v>48</v>
      </c>
      <c r="L54" s="282" t="s">
        <v>48</v>
      </c>
      <c r="M54" s="282" t="s">
        <v>48</v>
      </c>
      <c r="N54" s="282" t="s">
        <v>48</v>
      </c>
      <c r="O54" s="282" t="s">
        <v>48</v>
      </c>
      <c r="P54" s="284" t="s">
        <v>48</v>
      </c>
      <c r="Q54" s="312" t="s">
        <v>48</v>
      </c>
    </row>
    <row r="55" ht="15.75" customHeight="1">
      <c r="A55" s="281">
        <v>14.0</v>
      </c>
      <c r="B55" s="282" t="s">
        <v>172</v>
      </c>
      <c r="C55" s="282" t="s">
        <v>368</v>
      </c>
      <c r="D55" s="282">
        <v>1.0</v>
      </c>
      <c r="E55" s="282">
        <v>0.0</v>
      </c>
      <c r="F55" s="282">
        <f t="shared" si="3"/>
        <v>1</v>
      </c>
      <c r="G55" s="283" t="s">
        <v>499</v>
      </c>
      <c r="H55" s="283" t="s">
        <v>499</v>
      </c>
      <c r="I55" s="282" t="s">
        <v>167</v>
      </c>
      <c r="J55" s="282" t="s">
        <v>48</v>
      </c>
      <c r="K55" s="282" t="s">
        <v>48</v>
      </c>
      <c r="L55" s="282" t="s">
        <v>48</v>
      </c>
      <c r="M55" s="282" t="s">
        <v>48</v>
      </c>
      <c r="N55" s="282" t="s">
        <v>48</v>
      </c>
      <c r="O55" s="282" t="s">
        <v>48</v>
      </c>
      <c r="P55" s="284" t="s">
        <v>48</v>
      </c>
      <c r="Q55" s="312" t="s">
        <v>48</v>
      </c>
    </row>
    <row r="56" ht="15.75" customHeight="1">
      <c r="A56" s="281">
        <v>14.0</v>
      </c>
      <c r="B56" s="282" t="s">
        <v>172</v>
      </c>
      <c r="C56" s="282" t="s">
        <v>368</v>
      </c>
      <c r="D56" s="282">
        <v>1.0</v>
      </c>
      <c r="E56" s="282">
        <v>0.0</v>
      </c>
      <c r="F56" s="282">
        <f t="shared" si="3"/>
        <v>1</v>
      </c>
      <c r="G56" s="283" t="s">
        <v>499</v>
      </c>
      <c r="H56" s="283" t="s">
        <v>499</v>
      </c>
      <c r="I56" s="282" t="s">
        <v>160</v>
      </c>
      <c r="J56" s="282" t="s">
        <v>48</v>
      </c>
      <c r="K56" s="282" t="s">
        <v>48</v>
      </c>
      <c r="L56" s="282" t="s">
        <v>48</v>
      </c>
      <c r="M56" s="282" t="s">
        <v>48</v>
      </c>
      <c r="N56" s="282" t="s">
        <v>48</v>
      </c>
      <c r="O56" s="282" t="s">
        <v>48</v>
      </c>
      <c r="P56" s="284" t="s">
        <v>48</v>
      </c>
      <c r="Q56" s="312" t="s">
        <v>48</v>
      </c>
    </row>
    <row r="57" ht="15.75" customHeight="1">
      <c r="A57" s="281">
        <v>14.0</v>
      </c>
      <c r="B57" s="282" t="s">
        <v>172</v>
      </c>
      <c r="C57" s="282" t="s">
        <v>368</v>
      </c>
      <c r="D57" s="282">
        <v>1.0</v>
      </c>
      <c r="E57" s="282">
        <v>0.0</v>
      </c>
      <c r="F57" s="282">
        <f t="shared" si="3"/>
        <v>1</v>
      </c>
      <c r="G57" s="283" t="s">
        <v>499</v>
      </c>
      <c r="H57" s="283" t="s">
        <v>499</v>
      </c>
      <c r="I57" s="282" t="s">
        <v>201</v>
      </c>
      <c r="J57" s="282" t="s">
        <v>48</v>
      </c>
      <c r="K57" s="282" t="s">
        <v>48</v>
      </c>
      <c r="L57" s="282" t="s">
        <v>48</v>
      </c>
      <c r="M57" s="282" t="s">
        <v>48</v>
      </c>
      <c r="N57" s="282" t="s">
        <v>48</v>
      </c>
      <c r="O57" s="282" t="s">
        <v>48</v>
      </c>
      <c r="P57" s="284" t="s">
        <v>48</v>
      </c>
      <c r="Q57" s="312" t="s">
        <v>48</v>
      </c>
    </row>
    <row r="58" ht="15.75" customHeight="1">
      <c r="A58" s="281">
        <v>14.0</v>
      </c>
      <c r="B58" s="282" t="s">
        <v>172</v>
      </c>
      <c r="C58" s="282" t="s">
        <v>368</v>
      </c>
      <c r="D58" s="282">
        <v>1.0</v>
      </c>
      <c r="E58" s="282">
        <v>0.0</v>
      </c>
      <c r="F58" s="282">
        <f t="shared" si="3"/>
        <v>1</v>
      </c>
      <c r="G58" s="283" t="s">
        <v>499</v>
      </c>
      <c r="H58" s="283" t="s">
        <v>499</v>
      </c>
      <c r="I58" s="282" t="s">
        <v>192</v>
      </c>
      <c r="J58" s="282" t="s">
        <v>48</v>
      </c>
      <c r="K58" s="282" t="s">
        <v>48</v>
      </c>
      <c r="L58" s="282" t="s">
        <v>48</v>
      </c>
      <c r="M58" s="282" t="s">
        <v>48</v>
      </c>
      <c r="N58" s="282" t="s">
        <v>48</v>
      </c>
      <c r="O58" s="282" t="s">
        <v>48</v>
      </c>
      <c r="P58" s="284" t="s">
        <v>48</v>
      </c>
      <c r="Q58" s="312" t="s">
        <v>48</v>
      </c>
    </row>
    <row r="59" ht="15.75" customHeight="1">
      <c r="A59" s="281">
        <v>14.0</v>
      </c>
      <c r="B59" s="282" t="s">
        <v>172</v>
      </c>
      <c r="C59" s="282" t="s">
        <v>368</v>
      </c>
      <c r="D59" s="282">
        <v>1.0</v>
      </c>
      <c r="E59" s="282">
        <v>0.0</v>
      </c>
      <c r="F59" s="282">
        <f t="shared" si="3"/>
        <v>1</v>
      </c>
      <c r="G59" s="283" t="s">
        <v>499</v>
      </c>
      <c r="H59" s="283" t="s">
        <v>499</v>
      </c>
      <c r="I59" s="282" t="s">
        <v>134</v>
      </c>
      <c r="J59" s="282" t="s">
        <v>48</v>
      </c>
      <c r="K59" s="282" t="s">
        <v>48</v>
      </c>
      <c r="L59" s="282" t="s">
        <v>48</v>
      </c>
      <c r="M59" s="282" t="s">
        <v>48</v>
      </c>
      <c r="N59" s="282" t="s">
        <v>48</v>
      </c>
      <c r="O59" s="282" t="s">
        <v>48</v>
      </c>
      <c r="P59" s="284" t="s">
        <v>48</v>
      </c>
      <c r="Q59" s="312" t="s">
        <v>48</v>
      </c>
    </row>
    <row r="60" ht="15.75" customHeight="1">
      <c r="A60" s="281">
        <v>14.0</v>
      </c>
      <c r="B60" s="282" t="s">
        <v>172</v>
      </c>
      <c r="C60" s="282" t="s">
        <v>368</v>
      </c>
      <c r="D60" s="282">
        <v>1.0</v>
      </c>
      <c r="E60" s="282">
        <v>0.0</v>
      </c>
      <c r="F60" s="282">
        <f t="shared" si="3"/>
        <v>1</v>
      </c>
      <c r="G60" s="283" t="s">
        <v>499</v>
      </c>
      <c r="H60" s="283" t="s">
        <v>499</v>
      </c>
      <c r="I60" s="282" t="s">
        <v>304</v>
      </c>
      <c r="J60" s="282" t="s">
        <v>48</v>
      </c>
      <c r="K60" s="282" t="s">
        <v>48</v>
      </c>
      <c r="L60" s="282" t="s">
        <v>48</v>
      </c>
      <c r="M60" s="282" t="s">
        <v>48</v>
      </c>
      <c r="N60" s="282" t="s">
        <v>48</v>
      </c>
      <c r="O60" s="282" t="s">
        <v>48</v>
      </c>
      <c r="P60" s="284" t="s">
        <v>48</v>
      </c>
      <c r="Q60" s="312" t="s">
        <v>48</v>
      </c>
    </row>
    <row r="61" ht="15.75" customHeight="1">
      <c r="A61" s="286">
        <v>15.0</v>
      </c>
      <c r="B61" s="270" t="s">
        <v>185</v>
      </c>
      <c r="C61" s="270" t="s">
        <v>273</v>
      </c>
      <c r="D61" s="287">
        <v>1.0</v>
      </c>
      <c r="E61" s="287">
        <v>0.0</v>
      </c>
      <c r="F61" s="287">
        <f t="shared" si="3"/>
        <v>1</v>
      </c>
      <c r="G61" s="288">
        <v>27489.0</v>
      </c>
      <c r="H61" s="288">
        <f>'90060_2024'!$D61*'90060_2024'!$G61</f>
        <v>27489</v>
      </c>
      <c r="I61" s="270" t="s">
        <v>111</v>
      </c>
      <c r="J61" s="270" t="s">
        <v>633</v>
      </c>
      <c r="K61" s="270" t="s">
        <v>634</v>
      </c>
      <c r="L61" s="270" t="s">
        <v>635</v>
      </c>
      <c r="M61" s="270" t="s">
        <v>636</v>
      </c>
      <c r="N61" s="289" t="s">
        <v>792</v>
      </c>
      <c r="O61" s="270">
        <v>1193.0</v>
      </c>
      <c r="P61" s="290">
        <v>45834.0</v>
      </c>
      <c r="Q61" s="291"/>
    </row>
    <row r="62" ht="15.75" customHeight="1">
      <c r="A62" s="286">
        <v>15.0</v>
      </c>
      <c r="B62" s="270" t="s">
        <v>185</v>
      </c>
      <c r="C62" s="270" t="s">
        <v>273</v>
      </c>
      <c r="D62" s="287">
        <v>1.0</v>
      </c>
      <c r="E62" s="287">
        <v>0.0</v>
      </c>
      <c r="F62" s="287">
        <f t="shared" si="3"/>
        <v>1</v>
      </c>
      <c r="G62" s="288">
        <v>27489.0</v>
      </c>
      <c r="H62" s="288">
        <f>'90060_2024'!$D62*'90060_2024'!$G62</f>
        <v>27489</v>
      </c>
      <c r="I62" s="270" t="s">
        <v>134</v>
      </c>
      <c r="J62" s="270" t="s">
        <v>633</v>
      </c>
      <c r="K62" s="270" t="s">
        <v>634</v>
      </c>
      <c r="L62" s="270" t="s">
        <v>635</v>
      </c>
      <c r="M62" s="270" t="s">
        <v>793</v>
      </c>
      <c r="N62" s="289" t="s">
        <v>792</v>
      </c>
      <c r="O62" s="270">
        <v>1193.0</v>
      </c>
      <c r="P62" s="290">
        <v>45834.0</v>
      </c>
      <c r="Q62" s="291"/>
    </row>
    <row r="63" ht="15.75" customHeight="1">
      <c r="A63" s="281">
        <v>16.0</v>
      </c>
      <c r="B63" s="282" t="s">
        <v>149</v>
      </c>
      <c r="C63" s="282" t="s">
        <v>482</v>
      </c>
      <c r="D63" s="282">
        <v>1.0</v>
      </c>
      <c r="E63" s="282">
        <v>0.0</v>
      </c>
      <c r="F63" s="282">
        <f t="shared" si="3"/>
        <v>1</v>
      </c>
      <c r="G63" s="283" t="s">
        <v>499</v>
      </c>
      <c r="H63" s="283" t="s">
        <v>499</v>
      </c>
      <c r="I63" s="282" t="s">
        <v>134</v>
      </c>
      <c r="J63" s="282" t="s">
        <v>48</v>
      </c>
      <c r="K63" s="282" t="s">
        <v>48</v>
      </c>
      <c r="L63" s="282" t="s">
        <v>48</v>
      </c>
      <c r="M63" s="282" t="s">
        <v>48</v>
      </c>
      <c r="N63" s="282" t="s">
        <v>48</v>
      </c>
      <c r="O63" s="282" t="s">
        <v>48</v>
      </c>
      <c r="P63" s="284" t="s">
        <v>48</v>
      </c>
      <c r="Q63" s="285" t="s">
        <v>48</v>
      </c>
    </row>
    <row r="64" ht="15.75" customHeight="1">
      <c r="A64" s="286">
        <v>17.0</v>
      </c>
      <c r="B64" s="270" t="s">
        <v>152</v>
      </c>
      <c r="C64" s="270" t="s">
        <v>419</v>
      </c>
      <c r="D64" s="287">
        <v>1.0</v>
      </c>
      <c r="E64" s="287">
        <v>1.0</v>
      </c>
      <c r="F64" s="287">
        <f t="shared" si="3"/>
        <v>0</v>
      </c>
      <c r="G64" s="288">
        <v>202990.0</v>
      </c>
      <c r="H64" s="288">
        <f>'90060_2024'!$D64*'90060_2024'!$G64</f>
        <v>202990</v>
      </c>
      <c r="I64" s="270" t="s">
        <v>58</v>
      </c>
      <c r="J64" s="270" t="s">
        <v>639</v>
      </c>
      <c r="K64" s="270" t="s">
        <v>640</v>
      </c>
      <c r="L64" s="270" t="s">
        <v>641</v>
      </c>
      <c r="M64" s="322" t="s">
        <v>642</v>
      </c>
      <c r="N64" s="289" t="s">
        <v>643</v>
      </c>
      <c r="O64" s="270">
        <v>1191.0</v>
      </c>
      <c r="P64" s="290">
        <v>45834.0</v>
      </c>
      <c r="Q64" s="291"/>
    </row>
    <row r="65" ht="15.75" customHeight="1">
      <c r="A65" s="286">
        <v>17.0</v>
      </c>
      <c r="B65" s="270" t="s">
        <v>152</v>
      </c>
      <c r="C65" s="270" t="s">
        <v>419</v>
      </c>
      <c r="D65" s="287">
        <v>1.0</v>
      </c>
      <c r="E65" s="287">
        <v>1.0</v>
      </c>
      <c r="F65" s="287">
        <f t="shared" si="3"/>
        <v>0</v>
      </c>
      <c r="G65" s="288">
        <v>202990.0</v>
      </c>
      <c r="H65" s="288">
        <f>'90060_2024'!$D65*'90060_2024'!$G65</f>
        <v>202990</v>
      </c>
      <c r="I65" s="270" t="s">
        <v>232</v>
      </c>
      <c r="J65" s="270" t="s">
        <v>639</v>
      </c>
      <c r="K65" s="270" t="s">
        <v>640</v>
      </c>
      <c r="L65" s="270" t="s">
        <v>641</v>
      </c>
      <c r="M65" s="322" t="s">
        <v>642</v>
      </c>
      <c r="N65" s="289" t="s">
        <v>643</v>
      </c>
      <c r="O65" s="270">
        <v>1191.0</v>
      </c>
      <c r="P65" s="290">
        <v>45834.0</v>
      </c>
      <c r="Q65" s="291"/>
    </row>
    <row r="66" ht="15.75" customHeight="1">
      <c r="A66" s="286">
        <v>17.0</v>
      </c>
      <c r="B66" s="270" t="s">
        <v>152</v>
      </c>
      <c r="C66" s="270" t="s">
        <v>419</v>
      </c>
      <c r="D66" s="287">
        <v>1.0</v>
      </c>
      <c r="E66" s="287">
        <v>1.0</v>
      </c>
      <c r="F66" s="287">
        <f t="shared" si="3"/>
        <v>0</v>
      </c>
      <c r="G66" s="288">
        <v>202990.0</v>
      </c>
      <c r="H66" s="288">
        <f>'90060_2024'!$D66*'90060_2024'!$G66</f>
        <v>202990</v>
      </c>
      <c r="I66" s="270" t="s">
        <v>113</v>
      </c>
      <c r="J66" s="270" t="s">
        <v>639</v>
      </c>
      <c r="K66" s="270" t="s">
        <v>640</v>
      </c>
      <c r="L66" s="270" t="s">
        <v>641</v>
      </c>
      <c r="M66" s="322" t="s">
        <v>642</v>
      </c>
      <c r="N66" s="289" t="s">
        <v>643</v>
      </c>
      <c r="O66" s="270">
        <v>1191.0</v>
      </c>
      <c r="P66" s="290">
        <v>45834.0</v>
      </c>
      <c r="Q66" s="291"/>
    </row>
    <row r="67" ht="15.75" customHeight="1">
      <c r="A67" s="286">
        <v>17.0</v>
      </c>
      <c r="B67" s="270" t="s">
        <v>152</v>
      </c>
      <c r="C67" s="270" t="s">
        <v>419</v>
      </c>
      <c r="D67" s="287">
        <v>8.0</v>
      </c>
      <c r="E67" s="287">
        <v>8.0</v>
      </c>
      <c r="F67" s="287">
        <f t="shared" si="3"/>
        <v>0</v>
      </c>
      <c r="G67" s="288">
        <v>202990.0</v>
      </c>
      <c r="H67" s="288">
        <f>'90060_2024'!$D67*'90060_2024'!$G67</f>
        <v>1623920</v>
      </c>
      <c r="I67" s="270" t="s">
        <v>134</v>
      </c>
      <c r="J67" s="270" t="s">
        <v>639</v>
      </c>
      <c r="K67" s="270" t="s">
        <v>640</v>
      </c>
      <c r="L67" s="270" t="s">
        <v>641</v>
      </c>
      <c r="M67" s="322" t="s">
        <v>642</v>
      </c>
      <c r="N67" s="289" t="s">
        <v>643</v>
      </c>
      <c r="O67" s="270">
        <v>1191.0</v>
      </c>
      <c r="P67" s="290">
        <v>45834.0</v>
      </c>
      <c r="Q67" s="291"/>
    </row>
    <row r="68" ht="15.75" customHeight="1">
      <c r="A68" s="286">
        <v>17.0</v>
      </c>
      <c r="B68" s="270" t="s">
        <v>152</v>
      </c>
      <c r="C68" s="270" t="s">
        <v>419</v>
      </c>
      <c r="D68" s="287">
        <v>1.0</v>
      </c>
      <c r="E68" s="287">
        <v>1.0</v>
      </c>
      <c r="F68" s="287">
        <f t="shared" si="3"/>
        <v>0</v>
      </c>
      <c r="G68" s="288">
        <v>202990.0</v>
      </c>
      <c r="H68" s="288">
        <f>'90060_2024'!$D68*'90060_2024'!$G68</f>
        <v>202990</v>
      </c>
      <c r="I68" s="270" t="s">
        <v>142</v>
      </c>
      <c r="J68" s="270" t="s">
        <v>639</v>
      </c>
      <c r="K68" s="270" t="s">
        <v>640</v>
      </c>
      <c r="L68" s="270" t="s">
        <v>641</v>
      </c>
      <c r="M68" s="322" t="s">
        <v>642</v>
      </c>
      <c r="N68" s="289" t="s">
        <v>643</v>
      </c>
      <c r="O68" s="270">
        <v>1191.0</v>
      </c>
      <c r="P68" s="290">
        <v>45834.0</v>
      </c>
      <c r="Q68" s="291"/>
    </row>
    <row r="69" ht="15.75" customHeight="1">
      <c r="A69" s="286">
        <v>17.0</v>
      </c>
      <c r="B69" s="270" t="s">
        <v>152</v>
      </c>
      <c r="C69" s="270" t="s">
        <v>419</v>
      </c>
      <c r="D69" s="287">
        <v>1.0</v>
      </c>
      <c r="E69" s="287">
        <v>1.0</v>
      </c>
      <c r="F69" s="287">
        <f t="shared" si="3"/>
        <v>0</v>
      </c>
      <c r="G69" s="288">
        <v>202990.0</v>
      </c>
      <c r="H69" s="288">
        <f>'90060_2024'!$D69*'90060_2024'!$G69</f>
        <v>202990</v>
      </c>
      <c r="I69" s="270" t="s">
        <v>179</v>
      </c>
      <c r="J69" s="270" t="s">
        <v>639</v>
      </c>
      <c r="K69" s="270" t="s">
        <v>640</v>
      </c>
      <c r="L69" s="270" t="s">
        <v>641</v>
      </c>
      <c r="M69" s="322" t="s">
        <v>642</v>
      </c>
      <c r="N69" s="289" t="s">
        <v>643</v>
      </c>
      <c r="O69" s="270">
        <v>1191.0</v>
      </c>
      <c r="P69" s="290">
        <v>45834.0</v>
      </c>
      <c r="Q69" s="291"/>
    </row>
    <row r="70" ht="15.75" customHeight="1">
      <c r="A70" s="286">
        <v>17.0</v>
      </c>
      <c r="B70" s="270" t="s">
        <v>152</v>
      </c>
      <c r="C70" s="270" t="s">
        <v>419</v>
      </c>
      <c r="D70" s="287">
        <v>8.0</v>
      </c>
      <c r="E70" s="287">
        <v>8.0</v>
      </c>
      <c r="F70" s="287">
        <f t="shared" si="3"/>
        <v>0</v>
      </c>
      <c r="G70" s="288">
        <v>202990.0</v>
      </c>
      <c r="H70" s="288">
        <f>'90060_2024'!$D70*'90060_2024'!$G70</f>
        <v>1623920</v>
      </c>
      <c r="I70" s="270" t="s">
        <v>167</v>
      </c>
      <c r="J70" s="270" t="s">
        <v>639</v>
      </c>
      <c r="K70" s="270" t="s">
        <v>640</v>
      </c>
      <c r="L70" s="270" t="s">
        <v>641</v>
      </c>
      <c r="M70" s="322" t="s">
        <v>642</v>
      </c>
      <c r="N70" s="289" t="s">
        <v>643</v>
      </c>
      <c r="O70" s="270">
        <v>1191.0</v>
      </c>
      <c r="P70" s="290">
        <v>45834.0</v>
      </c>
      <c r="Q70" s="291"/>
    </row>
    <row r="71" ht="15.75" customHeight="1">
      <c r="A71" s="286">
        <v>17.0</v>
      </c>
      <c r="B71" s="270" t="s">
        <v>152</v>
      </c>
      <c r="C71" s="270" t="s">
        <v>419</v>
      </c>
      <c r="D71" s="287">
        <v>4.0</v>
      </c>
      <c r="E71" s="287">
        <v>4.0</v>
      </c>
      <c r="F71" s="287">
        <f t="shared" si="3"/>
        <v>0</v>
      </c>
      <c r="G71" s="288">
        <v>202990.0</v>
      </c>
      <c r="H71" s="288">
        <f>'90060_2024'!$D71*'90060_2024'!$G71</f>
        <v>811960</v>
      </c>
      <c r="I71" s="270" t="s">
        <v>202</v>
      </c>
      <c r="J71" s="270" t="s">
        <v>639</v>
      </c>
      <c r="K71" s="270" t="s">
        <v>640</v>
      </c>
      <c r="L71" s="270" t="s">
        <v>641</v>
      </c>
      <c r="M71" s="322" t="s">
        <v>642</v>
      </c>
      <c r="N71" s="289" t="s">
        <v>643</v>
      </c>
      <c r="O71" s="270">
        <v>1191.0</v>
      </c>
      <c r="P71" s="290">
        <v>45834.0</v>
      </c>
      <c r="Q71" s="291"/>
    </row>
    <row r="72" ht="15.75" customHeight="1">
      <c r="A72" s="286">
        <v>17.0</v>
      </c>
      <c r="B72" s="270" t="s">
        <v>152</v>
      </c>
      <c r="C72" s="270" t="s">
        <v>419</v>
      </c>
      <c r="D72" s="287">
        <v>1.0</v>
      </c>
      <c r="E72" s="287">
        <v>1.0</v>
      </c>
      <c r="F72" s="287">
        <f t="shared" si="3"/>
        <v>0</v>
      </c>
      <c r="G72" s="288">
        <v>202990.0</v>
      </c>
      <c r="H72" s="288">
        <f>'90060_2024'!$D72*'90060_2024'!$G72</f>
        <v>202990</v>
      </c>
      <c r="I72" s="270" t="s">
        <v>188</v>
      </c>
      <c r="J72" s="270" t="s">
        <v>639</v>
      </c>
      <c r="K72" s="270" t="s">
        <v>640</v>
      </c>
      <c r="L72" s="270" t="s">
        <v>641</v>
      </c>
      <c r="M72" s="322" t="s">
        <v>642</v>
      </c>
      <c r="N72" s="289" t="s">
        <v>643</v>
      </c>
      <c r="O72" s="270">
        <v>1191.0</v>
      </c>
      <c r="P72" s="290">
        <v>45834.0</v>
      </c>
      <c r="Q72" s="291"/>
    </row>
    <row r="73" ht="15.75" customHeight="1">
      <c r="A73" s="286">
        <v>17.0</v>
      </c>
      <c r="B73" s="270" t="s">
        <v>152</v>
      </c>
      <c r="C73" s="270" t="s">
        <v>419</v>
      </c>
      <c r="D73" s="287">
        <v>1.0</v>
      </c>
      <c r="E73" s="287">
        <v>1.0</v>
      </c>
      <c r="F73" s="287">
        <f t="shared" si="3"/>
        <v>0</v>
      </c>
      <c r="G73" s="288">
        <v>202990.0</v>
      </c>
      <c r="H73" s="288">
        <f>'90060_2024'!$D73*'90060_2024'!$G73</f>
        <v>202990</v>
      </c>
      <c r="I73" s="270" t="s">
        <v>197</v>
      </c>
      <c r="J73" s="270" t="s">
        <v>639</v>
      </c>
      <c r="K73" s="270" t="s">
        <v>640</v>
      </c>
      <c r="L73" s="270" t="s">
        <v>641</v>
      </c>
      <c r="M73" s="322" t="s">
        <v>642</v>
      </c>
      <c r="N73" s="289" t="s">
        <v>643</v>
      </c>
      <c r="O73" s="270">
        <v>1191.0</v>
      </c>
      <c r="P73" s="290">
        <v>45834.0</v>
      </c>
      <c r="Q73" s="291"/>
    </row>
    <row r="74" ht="15.75" customHeight="1">
      <c r="A74" s="286">
        <v>17.0</v>
      </c>
      <c r="B74" s="270" t="s">
        <v>152</v>
      </c>
      <c r="C74" s="270" t="s">
        <v>419</v>
      </c>
      <c r="D74" s="287">
        <v>1.0</v>
      </c>
      <c r="E74" s="287">
        <v>1.0</v>
      </c>
      <c r="F74" s="287">
        <f t="shared" si="3"/>
        <v>0</v>
      </c>
      <c r="G74" s="288">
        <v>202990.0</v>
      </c>
      <c r="H74" s="288">
        <f>'90060_2024'!$D74*'90060_2024'!$G74</f>
        <v>202990</v>
      </c>
      <c r="I74" s="270" t="s">
        <v>196</v>
      </c>
      <c r="J74" s="270" t="s">
        <v>639</v>
      </c>
      <c r="K74" s="270" t="s">
        <v>640</v>
      </c>
      <c r="L74" s="270" t="s">
        <v>641</v>
      </c>
      <c r="M74" s="322" t="s">
        <v>642</v>
      </c>
      <c r="N74" s="289" t="s">
        <v>643</v>
      </c>
      <c r="O74" s="270">
        <v>1191.0</v>
      </c>
      <c r="P74" s="290">
        <v>45834.0</v>
      </c>
      <c r="Q74" s="291"/>
    </row>
    <row r="75" ht="15.75" customHeight="1">
      <c r="A75" s="286">
        <v>17.0</v>
      </c>
      <c r="B75" s="270" t="s">
        <v>152</v>
      </c>
      <c r="C75" s="270" t="s">
        <v>419</v>
      </c>
      <c r="D75" s="287">
        <v>1.0</v>
      </c>
      <c r="E75" s="287">
        <v>1.0</v>
      </c>
      <c r="F75" s="287">
        <f t="shared" si="3"/>
        <v>0</v>
      </c>
      <c r="G75" s="288">
        <v>202990.0</v>
      </c>
      <c r="H75" s="288">
        <f>'90060_2024'!$D75*'90060_2024'!$G75</f>
        <v>202990</v>
      </c>
      <c r="I75" s="270" t="s">
        <v>178</v>
      </c>
      <c r="J75" s="270" t="s">
        <v>639</v>
      </c>
      <c r="K75" s="270" t="s">
        <v>640</v>
      </c>
      <c r="L75" s="270" t="s">
        <v>641</v>
      </c>
      <c r="M75" s="322" t="s">
        <v>642</v>
      </c>
      <c r="N75" s="289" t="s">
        <v>643</v>
      </c>
      <c r="O75" s="270">
        <v>1191.0</v>
      </c>
      <c r="P75" s="290">
        <v>45834.0</v>
      </c>
      <c r="Q75" s="291"/>
    </row>
    <row r="76" ht="15.75" customHeight="1">
      <c r="A76" s="286">
        <v>17.0</v>
      </c>
      <c r="B76" s="270" t="s">
        <v>152</v>
      </c>
      <c r="C76" s="270" t="s">
        <v>419</v>
      </c>
      <c r="D76" s="287">
        <v>1.0</v>
      </c>
      <c r="E76" s="287">
        <v>1.0</v>
      </c>
      <c r="F76" s="287">
        <f t="shared" si="3"/>
        <v>0</v>
      </c>
      <c r="G76" s="288">
        <v>202990.0</v>
      </c>
      <c r="H76" s="288">
        <f>'90060_2024'!$D76*'90060_2024'!$G76</f>
        <v>202990</v>
      </c>
      <c r="I76" s="270" t="s">
        <v>199</v>
      </c>
      <c r="J76" s="270" t="s">
        <v>639</v>
      </c>
      <c r="K76" s="270" t="s">
        <v>640</v>
      </c>
      <c r="L76" s="270" t="s">
        <v>641</v>
      </c>
      <c r="M76" s="322" t="s">
        <v>642</v>
      </c>
      <c r="N76" s="289" t="s">
        <v>643</v>
      </c>
      <c r="O76" s="270">
        <v>1191.0</v>
      </c>
      <c r="P76" s="290">
        <v>45834.0</v>
      </c>
      <c r="Q76" s="291"/>
    </row>
    <row r="77" ht="15.75" customHeight="1">
      <c r="A77" s="286">
        <v>18.0</v>
      </c>
      <c r="B77" s="270" t="s">
        <v>157</v>
      </c>
      <c r="C77" s="270" t="s">
        <v>479</v>
      </c>
      <c r="D77" s="287">
        <v>2.0</v>
      </c>
      <c r="E77" s="287">
        <v>0.0</v>
      </c>
      <c r="F77" s="287">
        <f t="shared" si="3"/>
        <v>2</v>
      </c>
      <c r="G77" s="288">
        <v>246000.0</v>
      </c>
      <c r="H77" s="288">
        <f>'90060_2024'!$D77*'90060_2024'!$G77</f>
        <v>492000</v>
      </c>
      <c r="I77" s="270" t="s">
        <v>134</v>
      </c>
      <c r="J77" s="270" t="s">
        <v>639</v>
      </c>
      <c r="K77" s="270" t="s">
        <v>640</v>
      </c>
      <c r="L77" s="270" t="s">
        <v>641</v>
      </c>
      <c r="M77" s="322" t="s">
        <v>642</v>
      </c>
      <c r="N77" s="289" t="s">
        <v>643</v>
      </c>
      <c r="O77" s="270">
        <v>1191.0</v>
      </c>
      <c r="P77" s="290">
        <v>45834.0</v>
      </c>
      <c r="Q77" s="291"/>
    </row>
    <row r="78" ht="15.75" customHeight="1">
      <c r="A78" s="286">
        <v>18.0</v>
      </c>
      <c r="B78" s="270" t="s">
        <v>157</v>
      </c>
      <c r="C78" s="270" t="s">
        <v>479</v>
      </c>
      <c r="D78" s="287">
        <v>1.0</v>
      </c>
      <c r="E78" s="287">
        <v>0.0</v>
      </c>
      <c r="F78" s="287">
        <f t="shared" si="3"/>
        <v>1</v>
      </c>
      <c r="G78" s="288">
        <v>246000.0</v>
      </c>
      <c r="H78" s="288">
        <f>'90060_2024'!$D78*'90060_2024'!$G78</f>
        <v>246000</v>
      </c>
      <c r="I78" s="270" t="s">
        <v>160</v>
      </c>
      <c r="J78" s="270" t="s">
        <v>639</v>
      </c>
      <c r="K78" s="270" t="s">
        <v>640</v>
      </c>
      <c r="L78" s="270" t="s">
        <v>641</v>
      </c>
      <c r="M78" s="322" t="s">
        <v>642</v>
      </c>
      <c r="N78" s="289" t="s">
        <v>643</v>
      </c>
      <c r="O78" s="270">
        <v>1191.0</v>
      </c>
      <c r="P78" s="290">
        <v>45834.0</v>
      </c>
      <c r="Q78" s="291"/>
    </row>
    <row r="79" ht="15.75" customHeight="1">
      <c r="A79" s="286">
        <v>18.0</v>
      </c>
      <c r="B79" s="270" t="s">
        <v>157</v>
      </c>
      <c r="C79" s="270" t="s">
        <v>479</v>
      </c>
      <c r="D79" s="287">
        <v>1.0</v>
      </c>
      <c r="E79" s="287">
        <v>0.0</v>
      </c>
      <c r="F79" s="287">
        <f t="shared" si="3"/>
        <v>1</v>
      </c>
      <c r="G79" s="288">
        <v>246000.0</v>
      </c>
      <c r="H79" s="288">
        <f>'90060_2024'!$D79*'90060_2024'!$G79</f>
        <v>246000</v>
      </c>
      <c r="I79" s="270" t="s">
        <v>196</v>
      </c>
      <c r="J79" s="270" t="s">
        <v>639</v>
      </c>
      <c r="K79" s="270" t="s">
        <v>640</v>
      </c>
      <c r="L79" s="270" t="s">
        <v>641</v>
      </c>
      <c r="M79" s="322" t="s">
        <v>642</v>
      </c>
      <c r="N79" s="289" t="s">
        <v>643</v>
      </c>
      <c r="O79" s="270">
        <v>1191.0</v>
      </c>
      <c r="P79" s="290">
        <v>45834.0</v>
      </c>
      <c r="Q79" s="291"/>
    </row>
    <row r="80" ht="15.75" customHeight="1">
      <c r="A80" s="286">
        <v>18.0</v>
      </c>
      <c r="B80" s="270" t="s">
        <v>157</v>
      </c>
      <c r="C80" s="270" t="s">
        <v>479</v>
      </c>
      <c r="D80" s="287">
        <v>1.0</v>
      </c>
      <c r="E80" s="287">
        <v>1.0</v>
      </c>
      <c r="F80" s="287">
        <f t="shared" si="3"/>
        <v>0</v>
      </c>
      <c r="G80" s="288">
        <v>246000.0</v>
      </c>
      <c r="H80" s="288">
        <f>'90060_2024'!$D80*'90060_2024'!$G80</f>
        <v>246000</v>
      </c>
      <c r="I80" s="270" t="s">
        <v>178</v>
      </c>
      <c r="J80" s="270" t="s">
        <v>639</v>
      </c>
      <c r="K80" s="270" t="s">
        <v>640</v>
      </c>
      <c r="L80" s="270" t="s">
        <v>641</v>
      </c>
      <c r="M80" s="322" t="s">
        <v>642</v>
      </c>
      <c r="N80" s="289" t="s">
        <v>643</v>
      </c>
      <c r="O80" s="270">
        <v>1191.0</v>
      </c>
      <c r="P80" s="290">
        <v>45834.0</v>
      </c>
      <c r="Q80" s="291"/>
    </row>
    <row r="81" ht="15.75" customHeight="1">
      <c r="A81" s="286">
        <v>18.0</v>
      </c>
      <c r="B81" s="270" t="s">
        <v>157</v>
      </c>
      <c r="C81" s="270" t="s">
        <v>479</v>
      </c>
      <c r="D81" s="287">
        <v>1.0</v>
      </c>
      <c r="E81" s="287">
        <v>0.0</v>
      </c>
      <c r="F81" s="287">
        <f t="shared" si="3"/>
        <v>1</v>
      </c>
      <c r="G81" s="288">
        <v>246000.0</v>
      </c>
      <c r="H81" s="288">
        <f>'90060_2024'!$D81*'90060_2024'!$G81</f>
        <v>246000</v>
      </c>
      <c r="I81" s="270" t="s">
        <v>192</v>
      </c>
      <c r="J81" s="270" t="s">
        <v>639</v>
      </c>
      <c r="K81" s="270" t="s">
        <v>640</v>
      </c>
      <c r="L81" s="270" t="s">
        <v>641</v>
      </c>
      <c r="M81" s="322" t="s">
        <v>642</v>
      </c>
      <c r="N81" s="289" t="s">
        <v>643</v>
      </c>
      <c r="O81" s="270">
        <v>1191.0</v>
      </c>
      <c r="P81" s="290">
        <v>45834.0</v>
      </c>
      <c r="Q81" s="291"/>
    </row>
    <row r="82" ht="15.75" customHeight="1">
      <c r="A82" s="286">
        <v>18.0</v>
      </c>
      <c r="B82" s="270" t="s">
        <v>157</v>
      </c>
      <c r="C82" s="270" t="s">
        <v>479</v>
      </c>
      <c r="D82" s="287">
        <v>1.0</v>
      </c>
      <c r="E82" s="287">
        <v>0.0</v>
      </c>
      <c r="F82" s="287">
        <f t="shared" si="3"/>
        <v>1</v>
      </c>
      <c r="G82" s="288">
        <v>246000.0</v>
      </c>
      <c r="H82" s="288">
        <f>'90060_2024'!$D82*'90060_2024'!$G82</f>
        <v>246000</v>
      </c>
      <c r="I82" s="270" t="s">
        <v>304</v>
      </c>
      <c r="J82" s="270" t="s">
        <v>639</v>
      </c>
      <c r="K82" s="270" t="s">
        <v>640</v>
      </c>
      <c r="L82" s="270" t="s">
        <v>641</v>
      </c>
      <c r="M82" s="322" t="s">
        <v>642</v>
      </c>
      <c r="N82" s="289" t="s">
        <v>643</v>
      </c>
      <c r="O82" s="270">
        <v>1191.0</v>
      </c>
      <c r="P82" s="290">
        <v>45834.0</v>
      </c>
      <c r="Q82" s="291"/>
    </row>
    <row r="83" ht="15.75" customHeight="1">
      <c r="A83" s="286">
        <v>18.0</v>
      </c>
      <c r="B83" s="270" t="s">
        <v>157</v>
      </c>
      <c r="C83" s="270" t="s">
        <v>479</v>
      </c>
      <c r="D83" s="287">
        <v>1.0</v>
      </c>
      <c r="E83" s="287">
        <v>0.0</v>
      </c>
      <c r="F83" s="287">
        <f t="shared" si="3"/>
        <v>1</v>
      </c>
      <c r="G83" s="288">
        <v>246000.0</v>
      </c>
      <c r="H83" s="288">
        <f>'90060_2024'!$D83*'90060_2024'!$G83</f>
        <v>246000</v>
      </c>
      <c r="I83" s="270" t="s">
        <v>272</v>
      </c>
      <c r="J83" s="270" t="s">
        <v>639</v>
      </c>
      <c r="K83" s="270" t="s">
        <v>640</v>
      </c>
      <c r="L83" s="270" t="s">
        <v>641</v>
      </c>
      <c r="M83" s="322" t="s">
        <v>642</v>
      </c>
      <c r="N83" s="289" t="s">
        <v>643</v>
      </c>
      <c r="O83" s="270">
        <v>1191.0</v>
      </c>
      <c r="P83" s="290">
        <v>45834.0</v>
      </c>
      <c r="Q83" s="291"/>
    </row>
    <row r="84" ht="15.75" customHeight="1">
      <c r="A84" s="286">
        <v>18.0</v>
      </c>
      <c r="B84" s="270" t="s">
        <v>157</v>
      </c>
      <c r="C84" s="270" t="s">
        <v>479</v>
      </c>
      <c r="D84" s="287">
        <v>1.0</v>
      </c>
      <c r="E84" s="287">
        <v>0.0</v>
      </c>
      <c r="F84" s="287">
        <f t="shared" si="3"/>
        <v>1</v>
      </c>
      <c r="G84" s="288">
        <v>246000.0</v>
      </c>
      <c r="H84" s="288">
        <f>'90060_2024'!$D84*'90060_2024'!$G84</f>
        <v>246000</v>
      </c>
      <c r="I84" s="270" t="s">
        <v>199</v>
      </c>
      <c r="J84" s="270" t="s">
        <v>639</v>
      </c>
      <c r="K84" s="270" t="s">
        <v>640</v>
      </c>
      <c r="L84" s="270" t="s">
        <v>641</v>
      </c>
      <c r="M84" s="322" t="s">
        <v>642</v>
      </c>
      <c r="N84" s="289" t="s">
        <v>643</v>
      </c>
      <c r="O84" s="270">
        <v>1191.0</v>
      </c>
      <c r="P84" s="290">
        <v>45834.0</v>
      </c>
      <c r="Q84" s="291"/>
    </row>
    <row r="85" ht="15.75" customHeight="1">
      <c r="A85" s="286">
        <v>18.0</v>
      </c>
      <c r="B85" s="270" t="s">
        <v>157</v>
      </c>
      <c r="C85" s="270" t="s">
        <v>479</v>
      </c>
      <c r="D85" s="287">
        <v>1.0</v>
      </c>
      <c r="E85" s="287">
        <v>0.0</v>
      </c>
      <c r="F85" s="287">
        <f t="shared" si="3"/>
        <v>1</v>
      </c>
      <c r="G85" s="288">
        <v>246000.0</v>
      </c>
      <c r="H85" s="288">
        <f>'90060_2024'!$D85*'90060_2024'!$G85</f>
        <v>246000</v>
      </c>
      <c r="I85" s="270" t="s">
        <v>210</v>
      </c>
      <c r="J85" s="270" t="s">
        <v>639</v>
      </c>
      <c r="K85" s="270" t="s">
        <v>640</v>
      </c>
      <c r="L85" s="270" t="s">
        <v>641</v>
      </c>
      <c r="M85" s="322" t="s">
        <v>642</v>
      </c>
      <c r="N85" s="289" t="s">
        <v>643</v>
      </c>
      <c r="O85" s="270">
        <v>1191.0</v>
      </c>
      <c r="P85" s="290">
        <v>45834.0</v>
      </c>
      <c r="Q85" s="291"/>
    </row>
    <row r="86" ht="15.75" customHeight="1">
      <c r="A86" s="286">
        <v>18.0</v>
      </c>
      <c r="B86" s="270" t="s">
        <v>157</v>
      </c>
      <c r="C86" s="270" t="s">
        <v>479</v>
      </c>
      <c r="D86" s="287">
        <v>3.0</v>
      </c>
      <c r="E86" s="287">
        <v>0.0</v>
      </c>
      <c r="F86" s="287">
        <f t="shared" si="3"/>
        <v>3</v>
      </c>
      <c r="G86" s="288">
        <v>246000.0</v>
      </c>
      <c r="H86" s="288">
        <f>'90060_2024'!$D86*'90060_2024'!$G86</f>
        <v>738000</v>
      </c>
      <c r="I86" s="270" t="s">
        <v>214</v>
      </c>
      <c r="J86" s="270" t="s">
        <v>639</v>
      </c>
      <c r="K86" s="270" t="s">
        <v>640</v>
      </c>
      <c r="L86" s="270" t="s">
        <v>641</v>
      </c>
      <c r="M86" s="322" t="s">
        <v>642</v>
      </c>
      <c r="N86" s="289" t="s">
        <v>643</v>
      </c>
      <c r="O86" s="270">
        <v>1191.0</v>
      </c>
      <c r="P86" s="290">
        <v>45834.0</v>
      </c>
      <c r="Q86" s="291"/>
    </row>
    <row r="87" ht="15.75" customHeight="1">
      <c r="A87" s="286">
        <v>19.0</v>
      </c>
      <c r="B87" s="270" t="s">
        <v>158</v>
      </c>
      <c r="C87" s="270" t="s">
        <v>488</v>
      </c>
      <c r="D87" s="287">
        <v>3.0</v>
      </c>
      <c r="E87" s="287">
        <v>3.0</v>
      </c>
      <c r="F87" s="287">
        <f t="shared" si="3"/>
        <v>0</v>
      </c>
      <c r="G87" s="288">
        <v>295000.0</v>
      </c>
      <c r="H87" s="288">
        <f>'90060_2024'!$D87*'90060_2024'!$G87</f>
        <v>885000</v>
      </c>
      <c r="I87" s="270" t="s">
        <v>221</v>
      </c>
      <c r="J87" s="270" t="s">
        <v>659</v>
      </c>
      <c r="K87" s="270" t="s">
        <v>389</v>
      </c>
      <c r="L87" s="270" t="s">
        <v>535</v>
      </c>
      <c r="M87" s="270" t="s">
        <v>536</v>
      </c>
      <c r="N87" s="299" t="s">
        <v>537</v>
      </c>
      <c r="O87" s="270">
        <v>1191.0</v>
      </c>
      <c r="P87" s="290">
        <v>45834.0</v>
      </c>
      <c r="Q87" s="291"/>
    </row>
    <row r="88" ht="15.75" customHeight="1">
      <c r="A88" s="286">
        <v>19.0</v>
      </c>
      <c r="B88" s="270" t="s">
        <v>158</v>
      </c>
      <c r="C88" s="270" t="s">
        <v>488</v>
      </c>
      <c r="D88" s="287">
        <v>1.0</v>
      </c>
      <c r="E88" s="287">
        <v>1.0</v>
      </c>
      <c r="F88" s="287">
        <f t="shared" si="3"/>
        <v>0</v>
      </c>
      <c r="G88" s="288">
        <v>295000.0</v>
      </c>
      <c r="H88" s="288">
        <f>'90060_2024'!$D88*'90060_2024'!$G88</f>
        <v>295000</v>
      </c>
      <c r="I88" s="270" t="s">
        <v>96</v>
      </c>
      <c r="J88" s="270" t="s">
        <v>659</v>
      </c>
      <c r="K88" s="270" t="s">
        <v>389</v>
      </c>
      <c r="L88" s="270" t="s">
        <v>535</v>
      </c>
      <c r="M88" s="270" t="s">
        <v>536</v>
      </c>
      <c r="N88" s="299" t="s">
        <v>537</v>
      </c>
      <c r="O88" s="270">
        <v>1191.0</v>
      </c>
      <c r="P88" s="290">
        <v>45834.0</v>
      </c>
      <c r="Q88" s="291"/>
    </row>
    <row r="89" ht="15.75" customHeight="1">
      <c r="A89" s="286">
        <v>19.0</v>
      </c>
      <c r="B89" s="270" t="s">
        <v>158</v>
      </c>
      <c r="C89" s="270" t="s">
        <v>488</v>
      </c>
      <c r="D89" s="287">
        <v>1.0</v>
      </c>
      <c r="E89" s="287">
        <v>1.0</v>
      </c>
      <c r="F89" s="287">
        <f t="shared" si="3"/>
        <v>0</v>
      </c>
      <c r="G89" s="288">
        <v>295000.0</v>
      </c>
      <c r="H89" s="288">
        <f>'90060_2024'!$D89*'90060_2024'!$G89</f>
        <v>295000</v>
      </c>
      <c r="I89" s="270" t="s">
        <v>286</v>
      </c>
      <c r="J89" s="270" t="s">
        <v>659</v>
      </c>
      <c r="K89" s="270" t="s">
        <v>389</v>
      </c>
      <c r="L89" s="270" t="s">
        <v>535</v>
      </c>
      <c r="M89" s="270" t="s">
        <v>536</v>
      </c>
      <c r="N89" s="299" t="s">
        <v>537</v>
      </c>
      <c r="O89" s="270" t="s">
        <v>538</v>
      </c>
      <c r="P89" s="290">
        <v>45834.0</v>
      </c>
      <c r="Q89" s="291"/>
    </row>
    <row r="90" ht="15.75" customHeight="1">
      <c r="A90" s="286">
        <v>19.0</v>
      </c>
      <c r="B90" s="270" t="s">
        <v>158</v>
      </c>
      <c r="C90" s="270" t="s">
        <v>488</v>
      </c>
      <c r="D90" s="287">
        <v>4.0</v>
      </c>
      <c r="E90" s="287">
        <v>4.0</v>
      </c>
      <c r="F90" s="287">
        <f t="shared" si="3"/>
        <v>0</v>
      </c>
      <c r="G90" s="288">
        <v>295000.0</v>
      </c>
      <c r="H90" s="288">
        <f>'90060_2024'!$D90*'90060_2024'!$G90</f>
        <v>1180000</v>
      </c>
      <c r="I90" s="270" t="s">
        <v>89</v>
      </c>
      <c r="J90" s="270" t="s">
        <v>659</v>
      </c>
      <c r="K90" s="270" t="s">
        <v>389</v>
      </c>
      <c r="L90" s="270" t="s">
        <v>535</v>
      </c>
      <c r="M90" s="270" t="s">
        <v>536</v>
      </c>
      <c r="N90" s="299" t="s">
        <v>537</v>
      </c>
      <c r="O90" s="270" t="s">
        <v>538</v>
      </c>
      <c r="P90" s="290">
        <v>45834.0</v>
      </c>
      <c r="Q90" s="291"/>
    </row>
    <row r="91" ht="15.75" customHeight="1">
      <c r="A91" s="286">
        <v>19.0</v>
      </c>
      <c r="B91" s="270" t="s">
        <v>158</v>
      </c>
      <c r="C91" s="270" t="s">
        <v>488</v>
      </c>
      <c r="D91" s="287">
        <v>1.0</v>
      </c>
      <c r="E91" s="287">
        <v>1.0</v>
      </c>
      <c r="F91" s="287">
        <f t="shared" si="3"/>
        <v>0</v>
      </c>
      <c r="G91" s="288">
        <v>295000.0</v>
      </c>
      <c r="H91" s="288">
        <f>'90060_2024'!$D91*'90060_2024'!$G91</f>
        <v>295000</v>
      </c>
      <c r="I91" s="270" t="s">
        <v>179</v>
      </c>
      <c r="J91" s="270" t="s">
        <v>659</v>
      </c>
      <c r="K91" s="270" t="s">
        <v>389</v>
      </c>
      <c r="L91" s="270" t="s">
        <v>535</v>
      </c>
      <c r="M91" s="270" t="s">
        <v>536</v>
      </c>
      <c r="N91" s="299" t="s">
        <v>537</v>
      </c>
      <c r="O91" s="270" t="s">
        <v>538</v>
      </c>
      <c r="P91" s="290">
        <v>45834.0</v>
      </c>
      <c r="Q91" s="291"/>
    </row>
    <row r="92" ht="15.75" customHeight="1">
      <c r="A92" s="286">
        <v>19.0</v>
      </c>
      <c r="B92" s="270" t="s">
        <v>158</v>
      </c>
      <c r="C92" s="270" t="s">
        <v>488</v>
      </c>
      <c r="D92" s="287">
        <v>2.0</v>
      </c>
      <c r="E92" s="287">
        <v>2.0</v>
      </c>
      <c r="F92" s="287">
        <f t="shared" si="3"/>
        <v>0</v>
      </c>
      <c r="G92" s="288">
        <v>295000.0</v>
      </c>
      <c r="H92" s="288">
        <f>'90060_2024'!$D92*'90060_2024'!$G92</f>
        <v>590000</v>
      </c>
      <c r="I92" s="270" t="s">
        <v>134</v>
      </c>
      <c r="J92" s="270" t="s">
        <v>659</v>
      </c>
      <c r="K92" s="270" t="s">
        <v>389</v>
      </c>
      <c r="L92" s="270" t="s">
        <v>535</v>
      </c>
      <c r="M92" s="270" t="s">
        <v>536</v>
      </c>
      <c r="N92" s="299" t="s">
        <v>537</v>
      </c>
      <c r="O92" s="270" t="s">
        <v>538</v>
      </c>
      <c r="P92" s="290">
        <v>45834.0</v>
      </c>
      <c r="Q92" s="291"/>
    </row>
    <row r="93" ht="15.75" customHeight="1">
      <c r="A93" s="286">
        <v>19.0</v>
      </c>
      <c r="B93" s="270" t="s">
        <v>158</v>
      </c>
      <c r="C93" s="270" t="s">
        <v>488</v>
      </c>
      <c r="D93" s="287">
        <v>3.0</v>
      </c>
      <c r="E93" s="287">
        <v>3.0</v>
      </c>
      <c r="F93" s="287">
        <f t="shared" si="3"/>
        <v>0</v>
      </c>
      <c r="G93" s="288">
        <v>295000.0</v>
      </c>
      <c r="H93" s="288">
        <f>'90060_2024'!$D93*'90060_2024'!$G93</f>
        <v>885000</v>
      </c>
      <c r="I93" s="270" t="s">
        <v>202</v>
      </c>
      <c r="J93" s="270" t="s">
        <v>659</v>
      </c>
      <c r="K93" s="270" t="s">
        <v>389</v>
      </c>
      <c r="L93" s="270" t="s">
        <v>535</v>
      </c>
      <c r="M93" s="270" t="s">
        <v>536</v>
      </c>
      <c r="N93" s="299" t="s">
        <v>537</v>
      </c>
      <c r="O93" s="270" t="s">
        <v>538</v>
      </c>
      <c r="P93" s="290">
        <v>45834.0</v>
      </c>
      <c r="Q93" s="291"/>
    </row>
    <row r="94" ht="15.75" customHeight="1">
      <c r="A94" s="286">
        <v>19.0</v>
      </c>
      <c r="B94" s="270" t="s">
        <v>158</v>
      </c>
      <c r="C94" s="270" t="s">
        <v>488</v>
      </c>
      <c r="D94" s="287">
        <v>2.0</v>
      </c>
      <c r="E94" s="287">
        <v>2.0</v>
      </c>
      <c r="F94" s="287">
        <f t="shared" si="3"/>
        <v>0</v>
      </c>
      <c r="G94" s="288">
        <v>295000.0</v>
      </c>
      <c r="H94" s="288">
        <f>'90060_2024'!$D94*'90060_2024'!$G94</f>
        <v>590000</v>
      </c>
      <c r="I94" s="270" t="s">
        <v>191</v>
      </c>
      <c r="J94" s="270" t="s">
        <v>659</v>
      </c>
      <c r="K94" s="270" t="s">
        <v>389</v>
      </c>
      <c r="L94" s="270" t="s">
        <v>535</v>
      </c>
      <c r="M94" s="270" t="s">
        <v>536</v>
      </c>
      <c r="N94" s="299" t="s">
        <v>537</v>
      </c>
      <c r="O94" s="270" t="s">
        <v>538</v>
      </c>
      <c r="P94" s="290">
        <v>45834.0</v>
      </c>
      <c r="Q94" s="291"/>
    </row>
    <row r="95" ht="15.75" customHeight="1">
      <c r="A95" s="286">
        <v>19.0</v>
      </c>
      <c r="B95" s="270" t="s">
        <v>158</v>
      </c>
      <c r="C95" s="270" t="s">
        <v>488</v>
      </c>
      <c r="D95" s="287">
        <v>1.0</v>
      </c>
      <c r="E95" s="287">
        <v>1.0</v>
      </c>
      <c r="F95" s="287">
        <f t="shared" si="3"/>
        <v>0</v>
      </c>
      <c r="G95" s="288">
        <v>295000.0</v>
      </c>
      <c r="H95" s="288">
        <f>'90060_2024'!$D95*'90060_2024'!$G95</f>
        <v>295000</v>
      </c>
      <c r="I95" s="270" t="s">
        <v>201</v>
      </c>
      <c r="J95" s="270" t="s">
        <v>659</v>
      </c>
      <c r="K95" s="270" t="s">
        <v>389</v>
      </c>
      <c r="L95" s="270" t="s">
        <v>535</v>
      </c>
      <c r="M95" s="270" t="s">
        <v>536</v>
      </c>
      <c r="N95" s="299" t="s">
        <v>537</v>
      </c>
      <c r="O95" s="270" t="s">
        <v>538</v>
      </c>
      <c r="P95" s="290">
        <v>45834.0</v>
      </c>
      <c r="Q95" s="291"/>
    </row>
    <row r="96" ht="15.75" customHeight="1">
      <c r="A96" s="286">
        <v>20.0</v>
      </c>
      <c r="B96" s="270" t="s">
        <v>159</v>
      </c>
      <c r="C96" s="270" t="s">
        <v>500</v>
      </c>
      <c r="D96" s="287">
        <v>1.0</v>
      </c>
      <c r="E96" s="287">
        <v>1.0</v>
      </c>
      <c r="F96" s="287">
        <f t="shared" si="3"/>
        <v>0</v>
      </c>
      <c r="G96" s="288">
        <v>219990.0</v>
      </c>
      <c r="H96" s="288">
        <f>'90060_2024'!$D96*'90060_2024'!$G96</f>
        <v>219990</v>
      </c>
      <c r="I96" s="270" t="s">
        <v>179</v>
      </c>
      <c r="J96" s="270" t="s">
        <v>639</v>
      </c>
      <c r="K96" s="270" t="s">
        <v>640</v>
      </c>
      <c r="L96" s="270" t="s">
        <v>641</v>
      </c>
      <c r="M96" s="322" t="s">
        <v>642</v>
      </c>
      <c r="N96" s="289" t="s">
        <v>643</v>
      </c>
      <c r="O96" s="270">
        <v>1191.0</v>
      </c>
      <c r="P96" s="290">
        <v>45834.0</v>
      </c>
      <c r="Q96" s="291"/>
    </row>
    <row r="97" ht="15.75" customHeight="1">
      <c r="A97" s="286">
        <v>20.0</v>
      </c>
      <c r="B97" s="270" t="s">
        <v>159</v>
      </c>
      <c r="C97" s="270" t="s">
        <v>500</v>
      </c>
      <c r="D97" s="287">
        <v>1.0</v>
      </c>
      <c r="E97" s="287">
        <v>0.0</v>
      </c>
      <c r="F97" s="287">
        <f t="shared" si="3"/>
        <v>1</v>
      </c>
      <c r="G97" s="288">
        <v>219990.0</v>
      </c>
      <c r="H97" s="288">
        <f>'90060_2024'!$D97*'90060_2024'!$G97</f>
        <v>219990</v>
      </c>
      <c r="I97" s="270" t="s">
        <v>58</v>
      </c>
      <c r="J97" s="270" t="s">
        <v>639</v>
      </c>
      <c r="K97" s="270" t="s">
        <v>640</v>
      </c>
      <c r="L97" s="270" t="s">
        <v>641</v>
      </c>
      <c r="M97" s="322" t="s">
        <v>642</v>
      </c>
      <c r="N97" s="289" t="s">
        <v>643</v>
      </c>
      <c r="O97" s="270">
        <v>1191.0</v>
      </c>
      <c r="P97" s="290">
        <v>45834.0</v>
      </c>
      <c r="Q97" s="291"/>
    </row>
    <row r="98" ht="15.75" customHeight="1">
      <c r="A98" s="286">
        <v>20.0</v>
      </c>
      <c r="B98" s="270" t="s">
        <v>159</v>
      </c>
      <c r="C98" s="270" t="s">
        <v>500</v>
      </c>
      <c r="D98" s="287">
        <v>1.0</v>
      </c>
      <c r="E98" s="287">
        <v>0.0</v>
      </c>
      <c r="F98" s="287">
        <f t="shared" si="3"/>
        <v>1</v>
      </c>
      <c r="G98" s="288">
        <v>219990.0</v>
      </c>
      <c r="H98" s="288">
        <f>'90060_2024'!$D98*'90060_2024'!$G98</f>
        <v>219990</v>
      </c>
      <c r="I98" s="270" t="s">
        <v>85</v>
      </c>
      <c r="J98" s="270" t="s">
        <v>639</v>
      </c>
      <c r="K98" s="270" t="s">
        <v>640</v>
      </c>
      <c r="L98" s="270" t="s">
        <v>641</v>
      </c>
      <c r="M98" s="322" t="s">
        <v>642</v>
      </c>
      <c r="N98" s="289" t="s">
        <v>643</v>
      </c>
      <c r="O98" s="270">
        <v>1191.0</v>
      </c>
      <c r="P98" s="290">
        <v>45834.0</v>
      </c>
      <c r="Q98" s="291"/>
    </row>
    <row r="99" ht="15.75" customHeight="1">
      <c r="A99" s="286">
        <v>20.0</v>
      </c>
      <c r="B99" s="270" t="s">
        <v>159</v>
      </c>
      <c r="C99" s="270" t="s">
        <v>500</v>
      </c>
      <c r="D99" s="287">
        <v>1.0</v>
      </c>
      <c r="E99" s="287">
        <v>0.0</v>
      </c>
      <c r="F99" s="287">
        <f t="shared" si="3"/>
        <v>1</v>
      </c>
      <c r="G99" s="288">
        <v>219990.0</v>
      </c>
      <c r="H99" s="288">
        <f>'90060_2024'!$D99*'90060_2024'!$G99</f>
        <v>219990</v>
      </c>
      <c r="I99" s="270" t="s">
        <v>232</v>
      </c>
      <c r="J99" s="270" t="s">
        <v>639</v>
      </c>
      <c r="K99" s="270" t="s">
        <v>640</v>
      </c>
      <c r="L99" s="270" t="s">
        <v>641</v>
      </c>
      <c r="M99" s="322" t="s">
        <v>642</v>
      </c>
      <c r="N99" s="289" t="s">
        <v>643</v>
      </c>
      <c r="O99" s="270">
        <v>1191.0</v>
      </c>
      <c r="P99" s="290">
        <v>45834.0</v>
      </c>
      <c r="Q99" s="291"/>
    </row>
    <row r="100" ht="15.75" customHeight="1">
      <c r="A100" s="286">
        <v>20.0</v>
      </c>
      <c r="B100" s="270" t="s">
        <v>159</v>
      </c>
      <c r="C100" s="270" t="s">
        <v>500</v>
      </c>
      <c r="D100" s="287">
        <v>1.0</v>
      </c>
      <c r="E100" s="287">
        <v>0.0</v>
      </c>
      <c r="F100" s="287">
        <f t="shared" si="3"/>
        <v>1</v>
      </c>
      <c r="G100" s="288">
        <v>219990.0</v>
      </c>
      <c r="H100" s="288">
        <f>'90060_2024'!$D100*'90060_2024'!$G100</f>
        <v>219990</v>
      </c>
      <c r="I100" s="270" t="s">
        <v>103</v>
      </c>
      <c r="J100" s="270" t="s">
        <v>639</v>
      </c>
      <c r="K100" s="270" t="s">
        <v>640</v>
      </c>
      <c r="L100" s="270" t="s">
        <v>641</v>
      </c>
      <c r="M100" s="322" t="s">
        <v>642</v>
      </c>
      <c r="N100" s="289" t="s">
        <v>643</v>
      </c>
      <c r="O100" s="270">
        <v>1191.0</v>
      </c>
      <c r="P100" s="290">
        <v>45834.0</v>
      </c>
      <c r="Q100" s="291"/>
    </row>
    <row r="101" ht="15.75" customHeight="1">
      <c r="A101" s="286">
        <v>20.0</v>
      </c>
      <c r="B101" s="270" t="s">
        <v>159</v>
      </c>
      <c r="C101" s="270" t="s">
        <v>500</v>
      </c>
      <c r="D101" s="287">
        <v>1.0</v>
      </c>
      <c r="E101" s="287">
        <v>0.0</v>
      </c>
      <c r="F101" s="287">
        <f t="shared" si="3"/>
        <v>1</v>
      </c>
      <c r="G101" s="288">
        <v>219990.0</v>
      </c>
      <c r="H101" s="288">
        <f>'90060_2024'!$D101*'90060_2024'!$G101</f>
        <v>219990</v>
      </c>
      <c r="I101" s="270" t="s">
        <v>96</v>
      </c>
      <c r="J101" s="270" t="s">
        <v>639</v>
      </c>
      <c r="K101" s="270" t="s">
        <v>640</v>
      </c>
      <c r="L101" s="270" t="s">
        <v>641</v>
      </c>
      <c r="M101" s="322" t="s">
        <v>642</v>
      </c>
      <c r="N101" s="289" t="s">
        <v>643</v>
      </c>
      <c r="O101" s="270">
        <v>1191.0</v>
      </c>
      <c r="P101" s="290">
        <v>45834.0</v>
      </c>
      <c r="Q101" s="291"/>
    </row>
    <row r="102" ht="15.75" customHeight="1">
      <c r="A102" s="286">
        <v>20.0</v>
      </c>
      <c r="B102" s="270" t="s">
        <v>159</v>
      </c>
      <c r="C102" s="270" t="s">
        <v>500</v>
      </c>
      <c r="D102" s="287">
        <v>1.0</v>
      </c>
      <c r="E102" s="287">
        <v>0.0</v>
      </c>
      <c r="F102" s="287">
        <f t="shared" si="3"/>
        <v>1</v>
      </c>
      <c r="G102" s="288">
        <v>219990.0</v>
      </c>
      <c r="H102" s="288">
        <f>'90060_2024'!$D102*'90060_2024'!$G102</f>
        <v>219990</v>
      </c>
      <c r="I102" s="270" t="s">
        <v>113</v>
      </c>
      <c r="J102" s="270" t="s">
        <v>639</v>
      </c>
      <c r="K102" s="270" t="s">
        <v>640</v>
      </c>
      <c r="L102" s="270" t="s">
        <v>641</v>
      </c>
      <c r="M102" s="322" t="s">
        <v>642</v>
      </c>
      <c r="N102" s="289" t="s">
        <v>643</v>
      </c>
      <c r="O102" s="270">
        <v>1191.0</v>
      </c>
      <c r="P102" s="290">
        <v>45834.0</v>
      </c>
      <c r="Q102" s="291"/>
    </row>
    <row r="103" ht="15.75" customHeight="1">
      <c r="A103" s="286">
        <v>20.0</v>
      </c>
      <c r="B103" s="270" t="s">
        <v>159</v>
      </c>
      <c r="C103" s="270" t="s">
        <v>500</v>
      </c>
      <c r="D103" s="287">
        <v>2.0</v>
      </c>
      <c r="E103" s="287">
        <v>0.0</v>
      </c>
      <c r="F103" s="287">
        <f t="shared" si="3"/>
        <v>2</v>
      </c>
      <c r="G103" s="288">
        <v>219990.0</v>
      </c>
      <c r="H103" s="288">
        <f>'90060_2024'!$D103*'90060_2024'!$G103</f>
        <v>439980</v>
      </c>
      <c r="I103" s="270" t="s">
        <v>134</v>
      </c>
      <c r="J103" s="270" t="s">
        <v>639</v>
      </c>
      <c r="K103" s="270" t="s">
        <v>640</v>
      </c>
      <c r="L103" s="270" t="s">
        <v>641</v>
      </c>
      <c r="M103" s="322" t="s">
        <v>642</v>
      </c>
      <c r="N103" s="289" t="s">
        <v>643</v>
      </c>
      <c r="O103" s="270">
        <v>1191.0</v>
      </c>
      <c r="P103" s="290">
        <v>45834.0</v>
      </c>
      <c r="Q103" s="291"/>
    </row>
    <row r="104" ht="15.75" customHeight="1">
      <c r="A104" s="286">
        <v>20.0</v>
      </c>
      <c r="B104" s="270" t="s">
        <v>159</v>
      </c>
      <c r="C104" s="270" t="s">
        <v>500</v>
      </c>
      <c r="D104" s="287">
        <v>1.0</v>
      </c>
      <c r="E104" s="287">
        <v>0.0</v>
      </c>
      <c r="F104" s="287">
        <f t="shared" si="3"/>
        <v>1</v>
      </c>
      <c r="G104" s="288">
        <v>219990.0</v>
      </c>
      <c r="H104" s="288">
        <f>'90060_2024'!$D104*'90060_2024'!$G104</f>
        <v>219990</v>
      </c>
      <c r="I104" s="270" t="s">
        <v>161</v>
      </c>
      <c r="J104" s="270" t="s">
        <v>639</v>
      </c>
      <c r="K104" s="270" t="s">
        <v>640</v>
      </c>
      <c r="L104" s="270" t="s">
        <v>641</v>
      </c>
      <c r="M104" s="322" t="s">
        <v>642</v>
      </c>
      <c r="N104" s="289" t="s">
        <v>643</v>
      </c>
      <c r="O104" s="270">
        <v>1191.0</v>
      </c>
      <c r="P104" s="290">
        <v>45834.0</v>
      </c>
      <c r="Q104" s="291"/>
    </row>
    <row r="105" ht="15.75" customHeight="1">
      <c r="A105" s="286">
        <v>20.0</v>
      </c>
      <c r="B105" s="270" t="s">
        <v>159</v>
      </c>
      <c r="C105" s="270" t="s">
        <v>500</v>
      </c>
      <c r="D105" s="287">
        <v>1.0</v>
      </c>
      <c r="E105" s="287">
        <v>0.0</v>
      </c>
      <c r="F105" s="287">
        <f t="shared" si="3"/>
        <v>1</v>
      </c>
      <c r="G105" s="288">
        <v>219990.0</v>
      </c>
      <c r="H105" s="288">
        <f>'90060_2024'!$D105*'90060_2024'!$G105</f>
        <v>219990</v>
      </c>
      <c r="I105" s="270" t="s">
        <v>175</v>
      </c>
      <c r="J105" s="270" t="s">
        <v>639</v>
      </c>
      <c r="K105" s="270" t="s">
        <v>640</v>
      </c>
      <c r="L105" s="270" t="s">
        <v>641</v>
      </c>
      <c r="M105" s="322" t="s">
        <v>642</v>
      </c>
      <c r="N105" s="289" t="s">
        <v>643</v>
      </c>
      <c r="O105" s="270">
        <v>1191.0</v>
      </c>
      <c r="P105" s="290">
        <v>45834.0</v>
      </c>
      <c r="Q105" s="291"/>
    </row>
    <row r="106" ht="15.75" customHeight="1">
      <c r="A106" s="286">
        <v>20.0</v>
      </c>
      <c r="B106" s="270" t="s">
        <v>159</v>
      </c>
      <c r="C106" s="270" t="s">
        <v>500</v>
      </c>
      <c r="D106" s="287">
        <v>1.0</v>
      </c>
      <c r="E106" s="287">
        <v>0.0</v>
      </c>
      <c r="F106" s="287">
        <f t="shared" si="3"/>
        <v>1</v>
      </c>
      <c r="G106" s="288">
        <v>219990.0</v>
      </c>
      <c r="H106" s="288">
        <f>'90060_2024'!$D106*'90060_2024'!$G106</f>
        <v>219990</v>
      </c>
      <c r="I106" s="270" t="s">
        <v>188</v>
      </c>
      <c r="J106" s="270" t="s">
        <v>639</v>
      </c>
      <c r="K106" s="270" t="s">
        <v>640</v>
      </c>
      <c r="L106" s="270" t="s">
        <v>641</v>
      </c>
      <c r="M106" s="322" t="s">
        <v>642</v>
      </c>
      <c r="N106" s="289" t="s">
        <v>643</v>
      </c>
      <c r="O106" s="270">
        <v>1191.0</v>
      </c>
      <c r="P106" s="290">
        <v>45834.0</v>
      </c>
      <c r="Q106" s="291"/>
    </row>
    <row r="107" ht="15.75" customHeight="1">
      <c r="A107" s="286">
        <v>20.0</v>
      </c>
      <c r="B107" s="270" t="s">
        <v>159</v>
      </c>
      <c r="C107" s="270" t="s">
        <v>500</v>
      </c>
      <c r="D107" s="287">
        <v>1.0</v>
      </c>
      <c r="E107" s="287">
        <v>0.0</v>
      </c>
      <c r="F107" s="287">
        <f t="shared" si="3"/>
        <v>1</v>
      </c>
      <c r="G107" s="288">
        <v>219990.0</v>
      </c>
      <c r="H107" s="288">
        <f>'90060_2024'!$D107*'90060_2024'!$G107</f>
        <v>219990</v>
      </c>
      <c r="I107" s="270" t="s">
        <v>189</v>
      </c>
      <c r="J107" s="270" t="s">
        <v>639</v>
      </c>
      <c r="K107" s="270" t="s">
        <v>640</v>
      </c>
      <c r="L107" s="270" t="s">
        <v>641</v>
      </c>
      <c r="M107" s="322" t="s">
        <v>642</v>
      </c>
      <c r="N107" s="289" t="s">
        <v>643</v>
      </c>
      <c r="O107" s="270">
        <v>1191.0</v>
      </c>
      <c r="P107" s="290">
        <v>45834.0</v>
      </c>
      <c r="Q107" s="291"/>
    </row>
    <row r="108" ht="15.75" customHeight="1">
      <c r="A108" s="286">
        <v>20.0</v>
      </c>
      <c r="B108" s="270" t="s">
        <v>159</v>
      </c>
      <c r="C108" s="270" t="s">
        <v>500</v>
      </c>
      <c r="D108" s="287">
        <v>1.0</v>
      </c>
      <c r="E108" s="287">
        <v>0.0</v>
      </c>
      <c r="F108" s="287">
        <f t="shared" si="3"/>
        <v>1</v>
      </c>
      <c r="G108" s="288">
        <v>219990.0</v>
      </c>
      <c r="H108" s="288">
        <f>'90060_2024'!$D108*'90060_2024'!$G108</f>
        <v>219990</v>
      </c>
      <c r="I108" s="270" t="s">
        <v>194</v>
      </c>
      <c r="J108" s="270" t="s">
        <v>639</v>
      </c>
      <c r="K108" s="270" t="s">
        <v>640</v>
      </c>
      <c r="L108" s="270" t="s">
        <v>641</v>
      </c>
      <c r="M108" s="322" t="s">
        <v>642</v>
      </c>
      <c r="N108" s="289" t="s">
        <v>643</v>
      </c>
      <c r="O108" s="270">
        <v>1191.0</v>
      </c>
      <c r="P108" s="290">
        <v>45834.0</v>
      </c>
      <c r="Q108" s="291"/>
    </row>
    <row r="109" ht="15.75" customHeight="1">
      <c r="A109" s="286">
        <v>20.0</v>
      </c>
      <c r="B109" s="270" t="s">
        <v>159</v>
      </c>
      <c r="C109" s="270" t="s">
        <v>500</v>
      </c>
      <c r="D109" s="287">
        <v>1.0</v>
      </c>
      <c r="E109" s="287">
        <v>0.0</v>
      </c>
      <c r="F109" s="287">
        <f t="shared" si="3"/>
        <v>1</v>
      </c>
      <c r="G109" s="288">
        <v>219990.0</v>
      </c>
      <c r="H109" s="288">
        <f>'90060_2024'!$D109*'90060_2024'!$G109</f>
        <v>219990</v>
      </c>
      <c r="I109" s="270" t="s">
        <v>199</v>
      </c>
      <c r="J109" s="270" t="s">
        <v>639</v>
      </c>
      <c r="K109" s="270" t="s">
        <v>640</v>
      </c>
      <c r="L109" s="270" t="s">
        <v>641</v>
      </c>
      <c r="M109" s="322" t="s">
        <v>642</v>
      </c>
      <c r="N109" s="289" t="s">
        <v>643</v>
      </c>
      <c r="O109" s="270">
        <v>1191.0</v>
      </c>
      <c r="P109" s="290">
        <v>45834.0</v>
      </c>
      <c r="Q109" s="291"/>
    </row>
    <row r="110" ht="15.75" customHeight="1">
      <c r="A110" s="286">
        <v>20.0</v>
      </c>
      <c r="B110" s="270" t="s">
        <v>159</v>
      </c>
      <c r="C110" s="270" t="s">
        <v>500</v>
      </c>
      <c r="D110" s="287">
        <v>1.0</v>
      </c>
      <c r="E110" s="287">
        <v>0.0</v>
      </c>
      <c r="F110" s="287">
        <f t="shared" si="3"/>
        <v>1</v>
      </c>
      <c r="G110" s="288">
        <v>219990.0</v>
      </c>
      <c r="H110" s="288">
        <f>'90060_2024'!$D110*'90060_2024'!$G110</f>
        <v>219990</v>
      </c>
      <c r="I110" s="270" t="s">
        <v>214</v>
      </c>
      <c r="J110" s="270" t="s">
        <v>639</v>
      </c>
      <c r="K110" s="270" t="s">
        <v>640</v>
      </c>
      <c r="L110" s="270" t="s">
        <v>641</v>
      </c>
      <c r="M110" s="322" t="s">
        <v>642</v>
      </c>
      <c r="N110" s="289" t="s">
        <v>643</v>
      </c>
      <c r="O110" s="270">
        <v>1191.0</v>
      </c>
      <c r="P110" s="290">
        <v>45834.0</v>
      </c>
      <c r="Q110" s="291"/>
    </row>
    <row r="111" ht="15.75" customHeight="1">
      <c r="A111" s="327">
        <v>21.0</v>
      </c>
      <c r="B111" s="328" t="s">
        <v>164</v>
      </c>
      <c r="C111" s="328" t="s">
        <v>583</v>
      </c>
      <c r="D111" s="328">
        <v>1.0</v>
      </c>
      <c r="E111" s="328">
        <v>0.0</v>
      </c>
      <c r="F111" s="287">
        <f t="shared" si="3"/>
        <v>1</v>
      </c>
      <c r="G111" s="329">
        <v>1490000.0</v>
      </c>
      <c r="H111" s="329">
        <f>'90060_2024'!$D111*'90060_2024'!$G111</f>
        <v>1490000</v>
      </c>
      <c r="I111" s="328" t="s">
        <v>134</v>
      </c>
      <c r="J111" s="328" t="s">
        <v>692</v>
      </c>
      <c r="K111" s="328" t="s">
        <v>389</v>
      </c>
      <c r="L111" s="328" t="s">
        <v>535</v>
      </c>
      <c r="M111" s="328" t="s">
        <v>536</v>
      </c>
      <c r="N111" s="331" t="s">
        <v>537</v>
      </c>
      <c r="O111" s="328"/>
      <c r="P111" s="332">
        <v>45906.0</v>
      </c>
      <c r="Q111" s="333"/>
    </row>
    <row r="112" ht="15.75" customHeight="1">
      <c r="A112" s="274"/>
      <c r="B112" s="274"/>
      <c r="C112" s="274"/>
      <c r="D112" s="274"/>
      <c r="E112" s="274"/>
      <c r="F112" s="274"/>
      <c r="G112" s="334"/>
      <c r="H112" s="334"/>
      <c r="I112" s="274"/>
      <c r="J112" s="335"/>
      <c r="K112" s="274"/>
      <c r="L112" s="274"/>
      <c r="M112" s="336"/>
      <c r="N112" s="338"/>
      <c r="O112" s="274"/>
      <c r="P112" s="274"/>
      <c r="Q112" s="274"/>
    </row>
    <row r="113" ht="15.75" customHeight="1">
      <c r="A113" s="274"/>
      <c r="B113" s="274"/>
      <c r="C113" s="274"/>
      <c r="D113" s="274"/>
      <c r="E113" s="274"/>
      <c r="F113" s="274"/>
      <c r="G113" s="334"/>
      <c r="H113" s="334"/>
      <c r="I113" s="274"/>
      <c r="J113" s="335"/>
      <c r="K113" s="274"/>
      <c r="L113" s="274"/>
      <c r="M113" s="336"/>
      <c r="N113" s="338"/>
      <c r="O113" s="274"/>
      <c r="P113" s="274"/>
      <c r="Q113" s="274"/>
    </row>
    <row r="114" ht="15.75" customHeight="1">
      <c r="A114" s="274"/>
      <c r="B114" s="274"/>
      <c r="C114" s="274"/>
      <c r="D114" s="274"/>
      <c r="E114" s="274"/>
      <c r="F114" s="274"/>
      <c r="G114" s="334"/>
      <c r="H114" s="334"/>
      <c r="I114" s="274"/>
      <c r="J114" s="335"/>
      <c r="K114" s="274"/>
      <c r="L114" s="274"/>
      <c r="M114" s="336"/>
      <c r="N114" s="338"/>
      <c r="O114" s="274"/>
      <c r="P114" s="274"/>
      <c r="Q114" s="274"/>
    </row>
    <row r="115" ht="15.75" customHeight="1">
      <c r="G115" s="339"/>
      <c r="H115" s="339"/>
      <c r="J115" s="340"/>
      <c r="M115" s="19"/>
      <c r="N115" s="280"/>
    </row>
    <row r="116" ht="15.75" customHeight="1">
      <c r="G116" s="339"/>
      <c r="H116" s="339"/>
      <c r="J116" s="340"/>
      <c r="M116" s="19"/>
      <c r="N116" s="280"/>
    </row>
    <row r="117" ht="15.75" customHeight="1">
      <c r="A117" s="341" t="s">
        <v>790</v>
      </c>
      <c r="B117" s="342"/>
      <c r="C117" s="343"/>
      <c r="D117" s="343">
        <f>SUM(D2:D111)</f>
        <v>186</v>
      </c>
      <c r="E117" s="343"/>
      <c r="F117" s="343"/>
      <c r="G117" s="344">
        <f t="shared" ref="G117:H117" si="4">SUM(G2:G111)</f>
        <v>17633899.74</v>
      </c>
      <c r="H117" s="344">
        <f t="shared" si="4"/>
        <v>26620815.06</v>
      </c>
      <c r="I117" s="345"/>
      <c r="J117" s="346"/>
      <c r="K117" s="345"/>
      <c r="L117" s="345"/>
      <c r="M117" s="347"/>
      <c r="N117" s="348"/>
      <c r="O117" s="345"/>
      <c r="P117" s="345"/>
      <c r="Q117" s="349"/>
    </row>
    <row r="118" ht="15.75" customHeight="1">
      <c r="A118" s="341" t="s">
        <v>791</v>
      </c>
      <c r="B118" s="342"/>
      <c r="C118" s="343"/>
      <c r="D118" s="350">
        <f>SUM(D32:D60,D63,D19,D13,D2)</f>
        <v>56</v>
      </c>
      <c r="E118" s="343"/>
      <c r="F118" s="343"/>
      <c r="G118" s="344"/>
      <c r="H118" s="344"/>
      <c r="I118" s="345"/>
      <c r="J118" s="346"/>
      <c r="K118" s="345"/>
      <c r="L118" s="345"/>
      <c r="M118" s="347"/>
      <c r="N118" s="348"/>
      <c r="O118" s="345"/>
      <c r="P118" s="345"/>
      <c r="Q118" s="349"/>
    </row>
    <row r="119" ht="15.75" customHeight="1">
      <c r="A119" s="351" t="s">
        <v>367</v>
      </c>
      <c r="B119" s="352"/>
      <c r="C119" s="353"/>
      <c r="D119" s="354">
        <f>SUM(D117-D118)</f>
        <v>130</v>
      </c>
      <c r="E119" s="353"/>
      <c r="F119" s="353"/>
      <c r="G119" s="355"/>
      <c r="H119" s="355"/>
      <c r="I119" s="356"/>
      <c r="J119" s="357"/>
      <c r="K119" s="356"/>
      <c r="L119" s="356"/>
      <c r="M119" s="358"/>
      <c r="N119" s="359"/>
      <c r="O119" s="356"/>
      <c r="P119" s="356"/>
      <c r="Q119" s="360"/>
    </row>
    <row r="120" ht="15.75" customHeight="1">
      <c r="G120" s="339"/>
      <c r="H120" s="339"/>
      <c r="J120" s="340"/>
      <c r="M120" s="19"/>
      <c r="N120" s="280"/>
    </row>
    <row r="121" ht="15.75" customHeight="1">
      <c r="G121" s="339"/>
      <c r="H121" s="339"/>
      <c r="J121" s="340"/>
      <c r="M121" s="19"/>
      <c r="N121" s="280"/>
    </row>
    <row r="122" ht="15.75" customHeight="1">
      <c r="G122" s="339"/>
      <c r="H122" s="339"/>
      <c r="J122" s="340"/>
      <c r="M122" s="19"/>
      <c r="N122" s="280"/>
    </row>
    <row r="123" ht="15.75" customHeight="1">
      <c r="G123" s="339"/>
      <c r="H123" s="339"/>
      <c r="J123" s="340"/>
      <c r="M123" s="19"/>
      <c r="N123" s="280"/>
    </row>
    <row r="124" ht="15.75" customHeight="1">
      <c r="G124" s="339"/>
      <c r="H124" s="339"/>
      <c r="J124" s="340"/>
      <c r="M124" s="19"/>
      <c r="N124" s="280"/>
    </row>
    <row r="125" ht="15.75" customHeight="1">
      <c r="G125" s="339"/>
      <c r="H125" s="339"/>
      <c r="J125" s="340"/>
      <c r="M125" s="19"/>
      <c r="N125" s="280"/>
    </row>
    <row r="126" ht="15.75" customHeight="1">
      <c r="G126" s="339"/>
      <c r="H126" s="339"/>
      <c r="J126" s="340"/>
      <c r="M126" s="19"/>
      <c r="N126" s="280"/>
    </row>
    <row r="127" ht="15.75" customHeight="1">
      <c r="G127" s="339"/>
      <c r="H127" s="339"/>
      <c r="J127" s="340"/>
      <c r="M127" s="19"/>
      <c r="N127" s="280"/>
    </row>
    <row r="128" ht="15.75" customHeight="1">
      <c r="G128" s="339"/>
      <c r="H128" s="339"/>
      <c r="J128" s="340"/>
      <c r="M128" s="19"/>
      <c r="N128" s="280"/>
    </row>
    <row r="129" ht="15.75" customHeight="1">
      <c r="G129" s="339"/>
      <c r="H129" s="339"/>
      <c r="J129" s="340"/>
      <c r="M129" s="19"/>
      <c r="N129" s="280"/>
    </row>
    <row r="130" ht="15.75" customHeight="1">
      <c r="G130" s="339"/>
      <c r="H130" s="339"/>
      <c r="J130" s="340"/>
      <c r="M130" s="19"/>
      <c r="N130" s="280"/>
    </row>
    <row r="131" ht="15.75" customHeight="1">
      <c r="G131" s="339"/>
      <c r="H131" s="339"/>
      <c r="J131" s="340"/>
      <c r="M131" s="19"/>
      <c r="N131" s="280"/>
    </row>
    <row r="132" ht="15.75" customHeight="1">
      <c r="G132" s="339"/>
      <c r="H132" s="339"/>
      <c r="J132" s="340"/>
      <c r="M132" s="19"/>
      <c r="N132" s="280"/>
    </row>
    <row r="133" ht="15.75" customHeight="1">
      <c r="G133" s="339"/>
      <c r="H133" s="339"/>
      <c r="J133" s="340"/>
      <c r="M133" s="19"/>
      <c r="N133" s="280"/>
    </row>
    <row r="134" ht="15.75" customHeight="1">
      <c r="G134" s="339"/>
      <c r="H134" s="339"/>
      <c r="J134" s="340"/>
      <c r="M134" s="19"/>
      <c r="N134" s="280"/>
    </row>
    <row r="135" ht="15.75" customHeight="1">
      <c r="G135" s="339"/>
      <c r="H135" s="339"/>
      <c r="J135" s="340"/>
      <c r="M135" s="19"/>
      <c r="N135" s="280"/>
    </row>
    <row r="136" ht="15.75" customHeight="1">
      <c r="G136" s="339"/>
      <c r="H136" s="339"/>
      <c r="J136" s="340"/>
      <c r="M136" s="19"/>
      <c r="N136" s="280"/>
    </row>
    <row r="137" ht="15.75" customHeight="1">
      <c r="G137" s="339"/>
      <c r="H137" s="339"/>
      <c r="J137" s="340"/>
      <c r="M137" s="19"/>
      <c r="N137" s="280"/>
    </row>
    <row r="138" ht="15.75" customHeight="1">
      <c r="G138" s="339"/>
      <c r="H138" s="339"/>
      <c r="J138" s="340"/>
      <c r="M138" s="19"/>
      <c r="N138" s="280"/>
    </row>
    <row r="139" ht="15.75" customHeight="1">
      <c r="G139" s="339"/>
      <c r="H139" s="339"/>
      <c r="J139" s="340"/>
      <c r="M139" s="19"/>
      <c r="N139" s="280"/>
    </row>
    <row r="140" ht="15.75" customHeight="1">
      <c r="G140" s="339"/>
      <c r="H140" s="339"/>
      <c r="J140" s="340"/>
      <c r="M140" s="19"/>
      <c r="N140" s="280"/>
    </row>
    <row r="141" ht="15.75" customHeight="1">
      <c r="G141" s="339"/>
      <c r="H141" s="339"/>
      <c r="J141" s="340"/>
      <c r="M141" s="19"/>
      <c r="N141" s="280"/>
    </row>
    <row r="142" ht="15.75" customHeight="1">
      <c r="G142" s="339"/>
      <c r="H142" s="339"/>
      <c r="J142" s="340"/>
      <c r="M142" s="19"/>
      <c r="N142" s="280"/>
    </row>
    <row r="143" ht="15.75" customHeight="1">
      <c r="G143" s="339"/>
      <c r="H143" s="339"/>
      <c r="J143" s="340"/>
      <c r="M143" s="19"/>
      <c r="N143" s="280"/>
    </row>
    <row r="144" ht="15.75" customHeight="1">
      <c r="G144" s="339"/>
      <c r="H144" s="339"/>
      <c r="J144" s="340"/>
      <c r="M144" s="19"/>
      <c r="N144" s="280"/>
    </row>
    <row r="145" ht="15.75" customHeight="1">
      <c r="G145" s="339"/>
      <c r="H145" s="339"/>
      <c r="J145" s="340"/>
      <c r="M145" s="19"/>
      <c r="N145" s="280"/>
    </row>
    <row r="146" ht="15.75" customHeight="1">
      <c r="G146" s="339"/>
      <c r="H146" s="339"/>
      <c r="J146" s="340"/>
      <c r="M146" s="19"/>
      <c r="N146" s="280"/>
    </row>
    <row r="147" ht="15.75" customHeight="1">
      <c r="G147" s="339"/>
      <c r="H147" s="339"/>
      <c r="J147" s="340"/>
      <c r="M147" s="19"/>
      <c r="N147" s="280"/>
    </row>
    <row r="148" ht="15.75" customHeight="1">
      <c r="G148" s="339"/>
      <c r="H148" s="339"/>
      <c r="J148" s="340"/>
      <c r="M148" s="19"/>
      <c r="N148" s="280"/>
    </row>
    <row r="149" ht="15.75" customHeight="1">
      <c r="G149" s="339"/>
      <c r="H149" s="339"/>
      <c r="J149" s="340"/>
      <c r="M149" s="19"/>
      <c r="N149" s="280"/>
    </row>
    <row r="150" ht="15.75" customHeight="1">
      <c r="G150" s="339"/>
      <c r="H150" s="339"/>
      <c r="J150" s="340"/>
      <c r="M150" s="19"/>
      <c r="N150" s="280"/>
    </row>
    <row r="151" ht="15.75" customHeight="1">
      <c r="G151" s="339"/>
      <c r="H151" s="339"/>
      <c r="J151" s="340"/>
      <c r="M151" s="19"/>
      <c r="N151" s="280"/>
    </row>
    <row r="152" ht="15.75" customHeight="1">
      <c r="G152" s="339"/>
      <c r="H152" s="339"/>
      <c r="J152" s="340"/>
      <c r="M152" s="19"/>
      <c r="N152" s="280"/>
    </row>
    <row r="153" ht="15.75" customHeight="1">
      <c r="G153" s="339"/>
      <c r="H153" s="339"/>
      <c r="J153" s="340"/>
      <c r="M153" s="19"/>
      <c r="N153" s="280"/>
    </row>
    <row r="154" ht="15.75" customHeight="1">
      <c r="G154" s="339"/>
      <c r="H154" s="339"/>
      <c r="J154" s="340"/>
      <c r="M154" s="19"/>
      <c r="N154" s="280"/>
    </row>
    <row r="155" ht="15.75" customHeight="1">
      <c r="G155" s="339"/>
      <c r="H155" s="339"/>
      <c r="J155" s="340"/>
      <c r="M155" s="19"/>
      <c r="N155" s="280"/>
    </row>
    <row r="156" ht="15.75" customHeight="1">
      <c r="G156" s="339"/>
      <c r="H156" s="339"/>
      <c r="J156" s="340"/>
      <c r="M156" s="19"/>
      <c r="N156" s="280"/>
    </row>
    <row r="157" ht="15.75" customHeight="1">
      <c r="G157" s="339"/>
      <c r="H157" s="339"/>
      <c r="J157" s="340"/>
      <c r="M157" s="19"/>
      <c r="N157" s="280"/>
    </row>
    <row r="158" ht="15.75" customHeight="1">
      <c r="G158" s="339"/>
      <c r="H158" s="339"/>
      <c r="J158" s="340"/>
      <c r="M158" s="19"/>
      <c r="N158" s="280"/>
    </row>
    <row r="159" ht="15.75" customHeight="1">
      <c r="G159" s="339"/>
      <c r="H159" s="339"/>
      <c r="J159" s="340"/>
      <c r="M159" s="19"/>
      <c r="N159" s="280"/>
    </row>
    <row r="160" ht="15.75" customHeight="1">
      <c r="G160" s="339"/>
      <c r="H160" s="339"/>
      <c r="J160" s="340"/>
      <c r="M160" s="19"/>
      <c r="N160" s="280"/>
    </row>
    <row r="161" ht="15.75" customHeight="1">
      <c r="G161" s="339"/>
      <c r="H161" s="339"/>
      <c r="J161" s="340"/>
      <c r="M161" s="19"/>
      <c r="N161" s="280"/>
    </row>
    <row r="162" ht="15.75" customHeight="1">
      <c r="G162" s="339"/>
      <c r="H162" s="339"/>
      <c r="J162" s="340"/>
      <c r="M162" s="19"/>
      <c r="N162" s="280"/>
    </row>
    <row r="163" ht="15.75" customHeight="1">
      <c r="G163" s="339"/>
      <c r="H163" s="339"/>
      <c r="J163" s="340"/>
      <c r="M163" s="19"/>
      <c r="N163" s="280"/>
    </row>
    <row r="164" ht="15.75" customHeight="1">
      <c r="G164" s="339"/>
      <c r="H164" s="339"/>
      <c r="J164" s="340"/>
      <c r="M164" s="19"/>
      <c r="N164" s="280"/>
    </row>
    <row r="165" ht="15.75" customHeight="1">
      <c r="G165" s="339"/>
      <c r="H165" s="339"/>
      <c r="J165" s="340"/>
      <c r="M165" s="19"/>
      <c r="N165" s="280"/>
    </row>
    <row r="166" ht="15.75" customHeight="1">
      <c r="G166" s="339"/>
      <c r="H166" s="339"/>
      <c r="J166" s="340"/>
      <c r="M166" s="19"/>
      <c r="N166" s="280"/>
    </row>
    <row r="167" ht="15.75" customHeight="1">
      <c r="G167" s="339"/>
      <c r="H167" s="339"/>
      <c r="J167" s="340"/>
      <c r="M167" s="19"/>
      <c r="N167" s="280"/>
    </row>
    <row r="168" ht="15.75" customHeight="1">
      <c r="G168" s="339"/>
      <c r="H168" s="339"/>
      <c r="J168" s="340"/>
      <c r="M168" s="19"/>
      <c r="N168" s="280"/>
    </row>
    <row r="169" ht="15.75" customHeight="1">
      <c r="G169" s="339"/>
      <c r="H169" s="339"/>
      <c r="J169" s="340"/>
      <c r="M169" s="19"/>
      <c r="N169" s="280"/>
    </row>
    <row r="170" ht="15.75" customHeight="1">
      <c r="G170" s="339"/>
      <c r="H170" s="339"/>
      <c r="J170" s="340"/>
      <c r="M170" s="19"/>
      <c r="N170" s="280"/>
    </row>
    <row r="171" ht="15.75" customHeight="1">
      <c r="G171" s="339"/>
      <c r="H171" s="339"/>
      <c r="J171" s="340"/>
      <c r="M171" s="19"/>
      <c r="N171" s="280"/>
    </row>
    <row r="172" ht="15.75" customHeight="1">
      <c r="G172" s="339"/>
      <c r="H172" s="339"/>
      <c r="J172" s="340"/>
      <c r="M172" s="19"/>
      <c r="N172" s="280"/>
    </row>
    <row r="173" ht="15.75" customHeight="1">
      <c r="G173" s="339"/>
      <c r="H173" s="339"/>
      <c r="J173" s="340"/>
      <c r="M173" s="19"/>
      <c r="N173" s="280"/>
    </row>
    <row r="174" ht="15.75" customHeight="1">
      <c r="G174" s="339"/>
      <c r="H174" s="339"/>
      <c r="J174" s="340"/>
      <c r="M174" s="19"/>
      <c r="N174" s="280"/>
    </row>
    <row r="175" ht="15.75" customHeight="1">
      <c r="G175" s="339"/>
      <c r="H175" s="339"/>
      <c r="J175" s="340"/>
      <c r="M175" s="19"/>
      <c r="N175" s="280"/>
    </row>
    <row r="176" ht="15.75" customHeight="1">
      <c r="G176" s="339"/>
      <c r="H176" s="339"/>
      <c r="J176" s="340"/>
      <c r="M176" s="19"/>
      <c r="N176" s="280"/>
    </row>
    <row r="177" ht="15.75" customHeight="1">
      <c r="G177" s="339"/>
      <c r="H177" s="339"/>
      <c r="J177" s="340"/>
      <c r="M177" s="19"/>
      <c r="N177" s="280"/>
    </row>
    <row r="178" ht="15.75" customHeight="1">
      <c r="G178" s="339"/>
      <c r="H178" s="339"/>
      <c r="J178" s="340"/>
      <c r="M178" s="19"/>
      <c r="N178" s="280"/>
    </row>
    <row r="179" ht="15.75" customHeight="1">
      <c r="G179" s="339"/>
      <c r="H179" s="339"/>
      <c r="J179" s="340"/>
      <c r="M179" s="19"/>
      <c r="N179" s="280"/>
    </row>
    <row r="180" ht="15.75" customHeight="1">
      <c r="G180" s="339"/>
      <c r="H180" s="339"/>
      <c r="J180" s="340"/>
      <c r="M180" s="19"/>
      <c r="N180" s="280"/>
    </row>
    <row r="181" ht="15.75" customHeight="1">
      <c r="G181" s="339"/>
      <c r="H181" s="339"/>
      <c r="J181" s="340"/>
      <c r="M181" s="19"/>
      <c r="N181" s="280"/>
    </row>
    <row r="182" ht="15.75" customHeight="1">
      <c r="G182" s="339"/>
      <c r="H182" s="339"/>
      <c r="J182" s="340"/>
      <c r="M182" s="19"/>
      <c r="N182" s="280"/>
    </row>
    <row r="183" ht="15.75" customHeight="1">
      <c r="G183" s="339"/>
      <c r="H183" s="339"/>
      <c r="J183" s="340"/>
      <c r="M183" s="19"/>
      <c r="N183" s="280"/>
    </row>
    <row r="184" ht="15.75" customHeight="1">
      <c r="G184" s="339"/>
      <c r="H184" s="339"/>
      <c r="J184" s="340"/>
      <c r="M184" s="19"/>
      <c r="N184" s="280"/>
    </row>
    <row r="185" ht="15.75" customHeight="1">
      <c r="G185" s="339"/>
      <c r="H185" s="339"/>
      <c r="J185" s="340"/>
      <c r="M185" s="19"/>
      <c r="N185" s="280"/>
    </row>
    <row r="186" ht="15.75" customHeight="1">
      <c r="G186" s="339"/>
      <c r="H186" s="339"/>
      <c r="J186" s="340"/>
      <c r="M186" s="19"/>
      <c r="N186" s="280"/>
    </row>
    <row r="187" ht="15.75" customHeight="1">
      <c r="G187" s="339"/>
      <c r="H187" s="339"/>
      <c r="J187" s="340"/>
      <c r="M187" s="19"/>
      <c r="N187" s="280"/>
    </row>
    <row r="188" ht="15.75" customHeight="1">
      <c r="G188" s="339"/>
      <c r="H188" s="339"/>
      <c r="J188" s="340"/>
      <c r="M188" s="19"/>
      <c r="N188" s="280"/>
    </row>
    <row r="189" ht="15.75" customHeight="1">
      <c r="G189" s="339"/>
      <c r="H189" s="339"/>
      <c r="J189" s="340"/>
      <c r="M189" s="19"/>
      <c r="N189" s="280"/>
    </row>
    <row r="190" ht="15.75" customHeight="1">
      <c r="G190" s="339"/>
      <c r="H190" s="339"/>
      <c r="J190" s="340"/>
      <c r="M190" s="19"/>
      <c r="N190" s="280"/>
    </row>
    <row r="191" ht="15.75" customHeight="1">
      <c r="G191" s="339"/>
      <c r="H191" s="339"/>
      <c r="J191" s="340"/>
      <c r="M191" s="19"/>
      <c r="N191" s="280"/>
    </row>
    <row r="192" ht="15.75" customHeight="1">
      <c r="G192" s="339"/>
      <c r="H192" s="339"/>
      <c r="J192" s="340"/>
      <c r="M192" s="19"/>
      <c r="N192" s="280"/>
    </row>
    <row r="193" ht="15.75" customHeight="1">
      <c r="G193" s="339"/>
      <c r="H193" s="339"/>
      <c r="J193" s="340"/>
      <c r="M193" s="19"/>
      <c r="N193" s="280"/>
    </row>
    <row r="194" ht="15.75" customHeight="1">
      <c r="G194" s="339"/>
      <c r="H194" s="339"/>
      <c r="J194" s="340"/>
      <c r="M194" s="19"/>
      <c r="N194" s="280"/>
    </row>
    <row r="195" ht="15.75" customHeight="1">
      <c r="G195" s="339"/>
      <c r="H195" s="339"/>
      <c r="J195" s="340"/>
      <c r="M195" s="19"/>
      <c r="N195" s="280"/>
    </row>
    <row r="196" ht="15.75" customHeight="1">
      <c r="G196" s="339"/>
      <c r="H196" s="339"/>
      <c r="J196" s="340"/>
      <c r="M196" s="19"/>
      <c r="N196" s="280"/>
    </row>
    <row r="197" ht="15.75" customHeight="1">
      <c r="G197" s="339"/>
      <c r="H197" s="339"/>
      <c r="J197" s="340"/>
      <c r="M197" s="19"/>
      <c r="N197" s="280"/>
    </row>
    <row r="198" ht="15.75" customHeight="1">
      <c r="G198" s="339"/>
      <c r="H198" s="339"/>
      <c r="J198" s="340"/>
      <c r="M198" s="19"/>
      <c r="N198" s="280"/>
    </row>
    <row r="199" ht="15.75" customHeight="1">
      <c r="G199" s="339"/>
      <c r="H199" s="339"/>
      <c r="J199" s="340"/>
      <c r="M199" s="19"/>
      <c r="N199" s="280"/>
    </row>
    <row r="200" ht="15.75" customHeight="1">
      <c r="G200" s="339"/>
      <c r="H200" s="339"/>
      <c r="J200" s="340"/>
      <c r="M200" s="19"/>
      <c r="N200" s="280"/>
    </row>
    <row r="201" ht="15.75" customHeight="1">
      <c r="G201" s="339"/>
      <c r="H201" s="339"/>
      <c r="J201" s="340"/>
      <c r="M201" s="19"/>
      <c r="N201" s="280"/>
    </row>
    <row r="202" ht="15.75" customHeight="1">
      <c r="G202" s="339"/>
      <c r="H202" s="339"/>
      <c r="J202" s="340"/>
      <c r="M202" s="19"/>
      <c r="N202" s="280"/>
    </row>
    <row r="203" ht="15.75" customHeight="1">
      <c r="G203" s="339"/>
      <c r="H203" s="339"/>
      <c r="J203" s="340"/>
      <c r="M203" s="19"/>
      <c r="N203" s="280"/>
    </row>
    <row r="204" ht="15.75" customHeight="1">
      <c r="G204" s="339"/>
      <c r="H204" s="339"/>
      <c r="J204" s="340"/>
      <c r="M204" s="19"/>
      <c r="N204" s="280"/>
    </row>
    <row r="205" ht="15.75" customHeight="1">
      <c r="G205" s="339"/>
      <c r="H205" s="339"/>
      <c r="J205" s="340"/>
      <c r="M205" s="19"/>
      <c r="N205" s="280"/>
    </row>
    <row r="206" ht="15.75" customHeight="1">
      <c r="G206" s="339"/>
      <c r="H206" s="339"/>
      <c r="J206" s="340"/>
      <c r="M206" s="19"/>
      <c r="N206" s="280"/>
    </row>
    <row r="207" ht="15.75" customHeight="1">
      <c r="G207" s="339"/>
      <c r="H207" s="339"/>
      <c r="J207" s="340"/>
      <c r="M207" s="19"/>
      <c r="N207" s="280"/>
    </row>
    <row r="208" ht="15.75" customHeight="1">
      <c r="G208" s="339"/>
      <c r="H208" s="339"/>
      <c r="J208" s="340"/>
      <c r="M208" s="19"/>
      <c r="N208" s="280"/>
    </row>
    <row r="209" ht="15.75" customHeight="1">
      <c r="G209" s="339"/>
      <c r="H209" s="339"/>
      <c r="J209" s="340"/>
      <c r="M209" s="19"/>
      <c r="N209" s="280"/>
    </row>
    <row r="210" ht="15.75" customHeight="1">
      <c r="G210" s="339"/>
      <c r="H210" s="339"/>
      <c r="J210" s="340"/>
      <c r="M210" s="19"/>
      <c r="N210" s="280"/>
    </row>
    <row r="211" ht="15.75" customHeight="1">
      <c r="G211" s="339"/>
      <c r="H211" s="339"/>
      <c r="J211" s="340"/>
      <c r="M211" s="19"/>
      <c r="N211" s="280"/>
    </row>
    <row r="212" ht="15.75" customHeight="1">
      <c r="G212" s="339"/>
      <c r="H212" s="339"/>
      <c r="J212" s="340"/>
      <c r="M212" s="19"/>
      <c r="N212" s="280"/>
    </row>
    <row r="213" ht="15.75" customHeight="1">
      <c r="G213" s="339"/>
      <c r="H213" s="339"/>
      <c r="J213" s="340"/>
      <c r="M213" s="19"/>
      <c r="N213" s="280"/>
    </row>
    <row r="214" ht="15.75" customHeight="1">
      <c r="G214" s="339"/>
      <c r="H214" s="339"/>
      <c r="J214" s="340"/>
      <c r="M214" s="19"/>
      <c r="N214" s="280"/>
    </row>
    <row r="215" ht="15.75" customHeight="1">
      <c r="G215" s="339"/>
      <c r="H215" s="339"/>
      <c r="J215" s="340"/>
      <c r="M215" s="19"/>
      <c r="N215" s="280"/>
    </row>
    <row r="216" ht="15.75" customHeight="1">
      <c r="G216" s="339"/>
      <c r="H216" s="339"/>
      <c r="J216" s="340"/>
      <c r="M216" s="19"/>
      <c r="N216" s="280"/>
    </row>
    <row r="217" ht="15.75" customHeight="1">
      <c r="G217" s="339"/>
      <c r="H217" s="339"/>
      <c r="J217" s="340"/>
      <c r="M217" s="19"/>
      <c r="N217" s="280"/>
    </row>
    <row r="218" ht="15.75" customHeight="1">
      <c r="G218" s="339"/>
      <c r="H218" s="339"/>
      <c r="J218" s="340"/>
      <c r="M218" s="19"/>
      <c r="N218" s="280"/>
    </row>
    <row r="219" ht="15.75" customHeight="1">
      <c r="G219" s="339"/>
      <c r="H219" s="339"/>
      <c r="J219" s="340"/>
      <c r="M219" s="19"/>
      <c r="N219" s="280"/>
    </row>
    <row r="220" ht="15.75" customHeight="1">
      <c r="G220" s="339"/>
      <c r="H220" s="339"/>
      <c r="J220" s="340"/>
      <c r="M220" s="19"/>
      <c r="N220" s="280"/>
    </row>
    <row r="221" ht="15.75" customHeight="1">
      <c r="G221" s="339"/>
      <c r="H221" s="339"/>
      <c r="J221" s="340"/>
      <c r="M221" s="19"/>
      <c r="N221" s="280"/>
    </row>
    <row r="222" ht="15.75" customHeight="1">
      <c r="G222" s="339"/>
      <c r="H222" s="339"/>
      <c r="J222" s="340"/>
      <c r="M222" s="19"/>
      <c r="N222" s="280"/>
    </row>
    <row r="223" ht="15.75" customHeight="1">
      <c r="G223" s="339"/>
      <c r="H223" s="339"/>
      <c r="J223" s="340"/>
      <c r="M223" s="19"/>
      <c r="N223" s="280"/>
    </row>
    <row r="224" ht="15.75" customHeight="1">
      <c r="G224" s="339"/>
      <c r="H224" s="339"/>
      <c r="J224" s="340"/>
      <c r="M224" s="19"/>
      <c r="N224" s="280"/>
    </row>
    <row r="225" ht="15.75" customHeight="1">
      <c r="G225" s="339"/>
      <c r="H225" s="339"/>
      <c r="J225" s="340"/>
      <c r="M225" s="19"/>
      <c r="N225" s="280"/>
    </row>
    <row r="226" ht="15.75" customHeight="1">
      <c r="G226" s="339"/>
      <c r="H226" s="339"/>
      <c r="J226" s="340"/>
      <c r="M226" s="19"/>
      <c r="N226" s="280"/>
    </row>
    <row r="227" ht="15.75" customHeight="1">
      <c r="G227" s="339"/>
      <c r="H227" s="339"/>
      <c r="J227" s="340"/>
      <c r="M227" s="19"/>
      <c r="N227" s="280"/>
    </row>
    <row r="228" ht="15.75" customHeight="1">
      <c r="G228" s="339"/>
      <c r="H228" s="339"/>
      <c r="J228" s="340"/>
      <c r="M228" s="19"/>
      <c r="N228" s="280"/>
    </row>
    <row r="229" ht="15.75" customHeight="1">
      <c r="G229" s="339"/>
      <c r="H229" s="339"/>
      <c r="J229" s="340"/>
      <c r="M229" s="19"/>
      <c r="N229" s="280"/>
    </row>
    <row r="230" ht="15.75" customHeight="1">
      <c r="G230" s="339"/>
      <c r="H230" s="339"/>
      <c r="J230" s="340"/>
      <c r="M230" s="19"/>
      <c r="N230" s="280"/>
    </row>
    <row r="231" ht="15.75" customHeight="1">
      <c r="G231" s="339"/>
      <c r="H231" s="339"/>
      <c r="J231" s="340"/>
      <c r="M231" s="19"/>
      <c r="N231" s="280"/>
    </row>
    <row r="232" ht="15.75" customHeight="1">
      <c r="G232" s="339"/>
      <c r="H232" s="339"/>
      <c r="J232" s="340"/>
      <c r="M232" s="19"/>
      <c r="N232" s="280"/>
    </row>
    <row r="233" ht="15.75" customHeight="1">
      <c r="G233" s="339"/>
      <c r="H233" s="339"/>
      <c r="J233" s="340"/>
      <c r="M233" s="19"/>
      <c r="N233" s="280"/>
    </row>
    <row r="234" ht="15.75" customHeight="1">
      <c r="G234" s="339"/>
      <c r="H234" s="339"/>
      <c r="J234" s="340"/>
      <c r="M234" s="19"/>
      <c r="N234" s="280"/>
    </row>
    <row r="235" ht="15.75" customHeight="1">
      <c r="G235" s="339"/>
      <c r="H235" s="339"/>
      <c r="J235" s="340"/>
      <c r="M235" s="19"/>
      <c r="N235" s="280"/>
    </row>
    <row r="236" ht="15.75" customHeight="1">
      <c r="G236" s="339"/>
      <c r="H236" s="339"/>
      <c r="J236" s="340"/>
      <c r="M236" s="19"/>
      <c r="N236" s="280"/>
    </row>
    <row r="237" ht="15.75" customHeight="1">
      <c r="G237" s="339"/>
      <c r="H237" s="339"/>
      <c r="J237" s="340"/>
      <c r="M237" s="19"/>
      <c r="N237" s="280"/>
    </row>
    <row r="238" ht="15.75" customHeight="1">
      <c r="G238" s="339"/>
      <c r="H238" s="339"/>
      <c r="J238" s="340"/>
      <c r="M238" s="19"/>
      <c r="N238" s="280"/>
    </row>
    <row r="239" ht="15.75" customHeight="1">
      <c r="G239" s="339"/>
      <c r="H239" s="339"/>
      <c r="J239" s="340"/>
      <c r="M239" s="19"/>
      <c r="N239" s="280"/>
    </row>
    <row r="240" ht="15.75" customHeight="1">
      <c r="G240" s="339"/>
      <c r="H240" s="339"/>
      <c r="J240" s="340"/>
      <c r="M240" s="19"/>
      <c r="N240" s="280"/>
    </row>
    <row r="241" ht="15.75" customHeight="1">
      <c r="G241" s="339"/>
      <c r="H241" s="339"/>
      <c r="J241" s="340"/>
      <c r="M241" s="19"/>
      <c r="N241" s="280"/>
    </row>
    <row r="242" ht="15.75" customHeight="1">
      <c r="G242" s="339"/>
      <c r="H242" s="339"/>
      <c r="J242" s="340"/>
      <c r="M242" s="19"/>
      <c r="N242" s="280"/>
    </row>
    <row r="243" ht="15.75" customHeight="1">
      <c r="G243" s="339"/>
      <c r="H243" s="339"/>
      <c r="J243" s="340"/>
      <c r="M243" s="19"/>
      <c r="N243" s="280"/>
    </row>
    <row r="244" ht="15.75" customHeight="1">
      <c r="G244" s="339"/>
      <c r="H244" s="339"/>
      <c r="J244" s="340"/>
      <c r="M244" s="19"/>
      <c r="N244" s="280"/>
    </row>
    <row r="245" ht="15.75" customHeight="1">
      <c r="G245" s="339"/>
      <c r="H245" s="339"/>
      <c r="J245" s="340"/>
      <c r="M245" s="19"/>
      <c r="N245" s="280"/>
    </row>
    <row r="246" ht="15.75" customHeight="1">
      <c r="G246" s="339"/>
      <c r="H246" s="339"/>
      <c r="J246" s="340"/>
      <c r="M246" s="19"/>
      <c r="N246" s="280"/>
    </row>
    <row r="247" ht="15.75" customHeight="1">
      <c r="G247" s="339"/>
      <c r="H247" s="339"/>
      <c r="J247" s="340"/>
      <c r="M247" s="19"/>
      <c r="N247" s="280"/>
    </row>
    <row r="248" ht="15.75" customHeight="1">
      <c r="G248" s="339"/>
      <c r="H248" s="339"/>
      <c r="J248" s="340"/>
      <c r="M248" s="19"/>
      <c r="N248" s="280"/>
    </row>
    <row r="249" ht="15.75" customHeight="1">
      <c r="G249" s="339"/>
      <c r="H249" s="339"/>
      <c r="J249" s="340"/>
      <c r="M249" s="19"/>
      <c r="N249" s="280"/>
    </row>
    <row r="250" ht="15.75" customHeight="1">
      <c r="G250" s="339"/>
      <c r="H250" s="339"/>
      <c r="J250" s="340"/>
      <c r="M250" s="19"/>
      <c r="N250" s="280"/>
    </row>
    <row r="251" ht="15.75" customHeight="1">
      <c r="G251" s="339"/>
      <c r="H251" s="339"/>
      <c r="J251" s="340"/>
      <c r="M251" s="19"/>
      <c r="N251" s="280"/>
    </row>
    <row r="252" ht="15.75" customHeight="1">
      <c r="G252" s="339"/>
      <c r="H252" s="339"/>
      <c r="J252" s="340"/>
      <c r="M252" s="19"/>
      <c r="N252" s="280"/>
    </row>
    <row r="253" ht="15.75" customHeight="1">
      <c r="G253" s="339"/>
      <c r="H253" s="339"/>
      <c r="J253" s="340"/>
      <c r="M253" s="19"/>
      <c r="N253" s="280"/>
    </row>
    <row r="254" ht="15.75" customHeight="1">
      <c r="G254" s="339"/>
      <c r="H254" s="339"/>
      <c r="J254" s="340"/>
      <c r="M254" s="19"/>
      <c r="N254" s="280"/>
    </row>
    <row r="255" ht="15.75" customHeight="1">
      <c r="G255" s="339"/>
      <c r="H255" s="339"/>
      <c r="J255" s="340"/>
      <c r="M255" s="19"/>
      <c r="N255" s="280"/>
    </row>
    <row r="256" ht="15.75" customHeight="1">
      <c r="G256" s="339"/>
      <c r="H256" s="339"/>
      <c r="J256" s="340"/>
      <c r="M256" s="19"/>
      <c r="N256" s="280"/>
    </row>
    <row r="257" ht="15.75" customHeight="1">
      <c r="G257" s="339"/>
      <c r="H257" s="339"/>
      <c r="J257" s="340"/>
      <c r="M257" s="19"/>
      <c r="N257" s="280"/>
    </row>
    <row r="258" ht="15.75" customHeight="1">
      <c r="G258" s="339"/>
      <c r="H258" s="339"/>
      <c r="J258" s="340"/>
      <c r="M258" s="19"/>
      <c r="N258" s="280"/>
    </row>
    <row r="259" ht="15.75" customHeight="1">
      <c r="G259" s="339"/>
      <c r="H259" s="339"/>
      <c r="J259" s="340"/>
      <c r="M259" s="19"/>
      <c r="N259" s="280"/>
    </row>
    <row r="260" ht="15.75" customHeight="1">
      <c r="G260" s="339"/>
      <c r="H260" s="339"/>
      <c r="J260" s="340"/>
      <c r="M260" s="19"/>
      <c r="N260" s="280"/>
    </row>
    <row r="261" ht="15.75" customHeight="1">
      <c r="G261" s="339"/>
      <c r="H261" s="339"/>
      <c r="J261" s="340"/>
      <c r="M261" s="19"/>
      <c r="N261" s="280"/>
    </row>
    <row r="262" ht="15.75" customHeight="1">
      <c r="G262" s="339"/>
      <c r="H262" s="339"/>
      <c r="J262" s="340"/>
      <c r="M262" s="19"/>
      <c r="N262" s="280"/>
    </row>
    <row r="263" ht="15.75" customHeight="1">
      <c r="G263" s="339"/>
      <c r="H263" s="339"/>
      <c r="J263" s="340"/>
      <c r="M263" s="19"/>
      <c r="N263" s="280"/>
    </row>
    <row r="264" ht="15.75" customHeight="1">
      <c r="G264" s="339"/>
      <c r="H264" s="339"/>
      <c r="J264" s="340"/>
      <c r="M264" s="19"/>
      <c r="N264" s="280"/>
    </row>
    <row r="265" ht="15.75" customHeight="1">
      <c r="G265" s="339"/>
      <c r="H265" s="339"/>
      <c r="J265" s="340"/>
      <c r="M265" s="19"/>
      <c r="N265" s="280"/>
    </row>
    <row r="266" ht="15.75" customHeight="1">
      <c r="G266" s="339"/>
      <c r="H266" s="339"/>
      <c r="J266" s="340"/>
      <c r="M266" s="19"/>
      <c r="N266" s="280"/>
    </row>
    <row r="267" ht="15.75" customHeight="1">
      <c r="G267" s="339"/>
      <c r="H267" s="339"/>
      <c r="J267" s="340"/>
      <c r="M267" s="19"/>
      <c r="N267" s="280"/>
    </row>
    <row r="268" ht="15.75" customHeight="1">
      <c r="G268" s="339"/>
      <c r="H268" s="339"/>
      <c r="J268" s="340"/>
      <c r="M268" s="19"/>
      <c r="N268" s="280"/>
    </row>
    <row r="269" ht="15.75" customHeight="1">
      <c r="G269" s="339"/>
      <c r="H269" s="339"/>
      <c r="J269" s="340"/>
      <c r="M269" s="19"/>
      <c r="N269" s="280"/>
    </row>
    <row r="270" ht="15.75" customHeight="1">
      <c r="G270" s="339"/>
      <c r="H270" s="339"/>
      <c r="J270" s="340"/>
      <c r="M270" s="19"/>
      <c r="N270" s="280"/>
    </row>
    <row r="271" ht="15.75" customHeight="1">
      <c r="G271" s="339"/>
      <c r="H271" s="339"/>
      <c r="J271" s="340"/>
      <c r="M271" s="19"/>
      <c r="N271" s="280"/>
    </row>
    <row r="272" ht="15.75" customHeight="1">
      <c r="G272" s="339"/>
      <c r="H272" s="339"/>
      <c r="J272" s="340"/>
      <c r="M272" s="19"/>
      <c r="N272" s="280"/>
    </row>
    <row r="273" ht="15.75" customHeight="1">
      <c r="G273" s="339"/>
      <c r="H273" s="339"/>
      <c r="J273" s="340"/>
      <c r="M273" s="19"/>
      <c r="N273" s="280"/>
    </row>
    <row r="274" ht="15.75" customHeight="1">
      <c r="G274" s="339"/>
      <c r="H274" s="339"/>
      <c r="J274" s="340"/>
      <c r="M274" s="19"/>
      <c r="N274" s="280"/>
    </row>
    <row r="275" ht="15.75" customHeight="1">
      <c r="G275" s="339"/>
      <c r="H275" s="339"/>
      <c r="J275" s="340"/>
      <c r="M275" s="19"/>
      <c r="N275" s="280"/>
    </row>
    <row r="276" ht="15.75" customHeight="1">
      <c r="G276" s="339"/>
      <c r="H276" s="339"/>
      <c r="J276" s="340"/>
      <c r="M276" s="19"/>
      <c r="N276" s="280"/>
    </row>
    <row r="277" ht="15.75" customHeight="1">
      <c r="G277" s="339"/>
      <c r="H277" s="339"/>
      <c r="J277" s="340"/>
      <c r="M277" s="19"/>
      <c r="N277" s="280"/>
    </row>
    <row r="278" ht="15.75" customHeight="1">
      <c r="G278" s="339"/>
      <c r="H278" s="339"/>
      <c r="J278" s="340"/>
      <c r="M278" s="19"/>
      <c r="N278" s="280"/>
    </row>
    <row r="279" ht="15.75" customHeight="1">
      <c r="G279" s="339"/>
      <c r="H279" s="339"/>
      <c r="J279" s="340"/>
      <c r="M279" s="19"/>
      <c r="N279" s="280"/>
    </row>
    <row r="280" ht="15.75" customHeight="1">
      <c r="G280" s="339"/>
      <c r="H280" s="339"/>
      <c r="J280" s="340"/>
      <c r="M280" s="19"/>
      <c r="N280" s="280"/>
    </row>
    <row r="281" ht="15.75" customHeight="1">
      <c r="G281" s="339"/>
      <c r="H281" s="339"/>
      <c r="J281" s="340"/>
      <c r="M281" s="19"/>
      <c r="N281" s="280"/>
    </row>
    <row r="282" ht="15.75" customHeight="1">
      <c r="G282" s="339"/>
      <c r="H282" s="339"/>
      <c r="J282" s="340"/>
      <c r="M282" s="19"/>
      <c r="N282" s="280"/>
    </row>
    <row r="283" ht="15.75" customHeight="1">
      <c r="G283" s="339"/>
      <c r="H283" s="339"/>
      <c r="J283" s="340"/>
      <c r="M283" s="19"/>
      <c r="N283" s="280"/>
    </row>
    <row r="284" ht="15.75" customHeight="1">
      <c r="G284" s="339"/>
      <c r="H284" s="339"/>
      <c r="J284" s="340"/>
      <c r="M284" s="19"/>
      <c r="N284" s="280"/>
    </row>
    <row r="285" ht="15.75" customHeight="1">
      <c r="G285" s="339"/>
      <c r="H285" s="339"/>
      <c r="J285" s="340"/>
      <c r="M285" s="19"/>
      <c r="N285" s="280"/>
    </row>
    <row r="286" ht="15.75" customHeight="1">
      <c r="G286" s="339"/>
      <c r="H286" s="339"/>
      <c r="J286" s="340"/>
      <c r="M286" s="19"/>
      <c r="N286" s="280"/>
    </row>
    <row r="287" ht="15.75" customHeight="1">
      <c r="G287" s="339"/>
      <c r="H287" s="339"/>
      <c r="J287" s="340"/>
      <c r="M287" s="19"/>
      <c r="N287" s="280"/>
    </row>
    <row r="288" ht="15.75" customHeight="1">
      <c r="G288" s="339"/>
      <c r="H288" s="339"/>
      <c r="J288" s="340"/>
      <c r="M288" s="19"/>
      <c r="N288" s="280"/>
    </row>
    <row r="289" ht="15.75" customHeight="1">
      <c r="G289" s="339"/>
      <c r="H289" s="339"/>
      <c r="J289" s="340"/>
      <c r="M289" s="19"/>
      <c r="N289" s="280"/>
    </row>
    <row r="290" ht="15.75" customHeight="1">
      <c r="G290" s="339"/>
      <c r="H290" s="339"/>
      <c r="J290" s="340"/>
      <c r="M290" s="19"/>
      <c r="N290" s="280"/>
    </row>
    <row r="291" ht="15.75" customHeight="1">
      <c r="G291" s="339"/>
      <c r="H291" s="339"/>
      <c r="J291" s="340"/>
      <c r="M291" s="19"/>
      <c r="N291" s="280"/>
    </row>
    <row r="292" ht="15.75" customHeight="1">
      <c r="G292" s="339"/>
      <c r="H292" s="339"/>
      <c r="J292" s="340"/>
      <c r="M292" s="19"/>
      <c r="N292" s="280"/>
    </row>
    <row r="293" ht="15.75" customHeight="1">
      <c r="G293" s="339"/>
      <c r="H293" s="339"/>
      <c r="J293" s="340"/>
      <c r="M293" s="19"/>
      <c r="N293" s="280"/>
    </row>
    <row r="294" ht="15.75" customHeight="1">
      <c r="G294" s="339"/>
      <c r="H294" s="339"/>
      <c r="J294" s="340"/>
      <c r="M294" s="19"/>
      <c r="N294" s="280"/>
    </row>
    <row r="295" ht="15.75" customHeight="1">
      <c r="G295" s="339"/>
      <c r="H295" s="339"/>
      <c r="J295" s="340"/>
      <c r="M295" s="19"/>
      <c r="N295" s="280"/>
    </row>
    <row r="296" ht="15.75" customHeight="1">
      <c r="G296" s="339"/>
      <c r="H296" s="339"/>
      <c r="J296" s="340"/>
      <c r="M296" s="19"/>
      <c r="N296" s="280"/>
    </row>
    <row r="297" ht="15.75" customHeight="1">
      <c r="G297" s="339"/>
      <c r="H297" s="339"/>
      <c r="J297" s="340"/>
      <c r="M297" s="19"/>
      <c r="N297" s="280"/>
    </row>
    <row r="298" ht="15.75" customHeight="1">
      <c r="G298" s="339"/>
      <c r="H298" s="339"/>
      <c r="J298" s="340"/>
      <c r="M298" s="19"/>
      <c r="N298" s="280"/>
    </row>
    <row r="299" ht="15.75" customHeight="1">
      <c r="G299" s="339"/>
      <c r="H299" s="339"/>
      <c r="J299" s="340"/>
      <c r="M299" s="19"/>
      <c r="N299" s="280"/>
    </row>
    <row r="300" ht="15.75" customHeight="1">
      <c r="G300" s="339"/>
      <c r="H300" s="339"/>
      <c r="J300" s="340"/>
      <c r="M300" s="19"/>
      <c r="N300" s="280"/>
    </row>
    <row r="301" ht="15.75" customHeight="1">
      <c r="G301" s="339"/>
      <c r="H301" s="339"/>
      <c r="J301" s="340"/>
      <c r="M301" s="19"/>
      <c r="N301" s="280"/>
    </row>
    <row r="302" ht="15.75" customHeight="1">
      <c r="G302" s="339"/>
      <c r="H302" s="339"/>
      <c r="J302" s="340"/>
      <c r="M302" s="19"/>
      <c r="N302" s="280"/>
    </row>
    <row r="303" ht="15.75" customHeight="1">
      <c r="G303" s="339"/>
      <c r="H303" s="339"/>
      <c r="J303" s="340"/>
      <c r="M303" s="19"/>
      <c r="N303" s="280"/>
    </row>
    <row r="304" ht="15.75" customHeight="1">
      <c r="G304" s="339"/>
      <c r="H304" s="339"/>
      <c r="J304" s="340"/>
      <c r="M304" s="19"/>
      <c r="N304" s="280"/>
    </row>
    <row r="305" ht="15.75" customHeight="1">
      <c r="G305" s="339"/>
      <c r="H305" s="339"/>
      <c r="J305" s="340"/>
      <c r="M305" s="19"/>
      <c r="N305" s="280"/>
    </row>
    <row r="306" ht="15.75" customHeight="1">
      <c r="G306" s="339"/>
      <c r="H306" s="339"/>
      <c r="J306" s="340"/>
      <c r="M306" s="19"/>
      <c r="N306" s="280"/>
    </row>
    <row r="307" ht="15.75" customHeight="1">
      <c r="G307" s="339"/>
      <c r="H307" s="339"/>
      <c r="J307" s="340"/>
      <c r="M307" s="19"/>
      <c r="N307" s="280"/>
    </row>
    <row r="308" ht="15.75" customHeight="1">
      <c r="G308" s="339"/>
      <c r="H308" s="339"/>
      <c r="J308" s="340"/>
      <c r="M308" s="19"/>
      <c r="N308" s="280"/>
    </row>
    <row r="309" ht="15.75" customHeight="1">
      <c r="G309" s="339"/>
      <c r="H309" s="339"/>
      <c r="J309" s="340"/>
      <c r="M309" s="19"/>
      <c r="N309" s="280"/>
    </row>
    <row r="310" ht="15.75" customHeight="1">
      <c r="G310" s="339"/>
      <c r="H310" s="339"/>
      <c r="J310" s="340"/>
      <c r="M310" s="19"/>
      <c r="N310" s="280"/>
    </row>
    <row r="311" ht="15.75" customHeight="1">
      <c r="G311" s="339"/>
      <c r="H311" s="339"/>
      <c r="J311" s="340"/>
      <c r="M311" s="19"/>
      <c r="N311" s="280"/>
    </row>
    <row r="312" ht="15.75" customHeight="1">
      <c r="G312" s="339"/>
      <c r="H312" s="339"/>
      <c r="J312" s="340"/>
      <c r="M312" s="19"/>
      <c r="N312" s="280"/>
    </row>
    <row r="313" ht="15.75" customHeight="1">
      <c r="G313" s="339"/>
      <c r="H313" s="339"/>
      <c r="J313" s="340"/>
      <c r="M313" s="19"/>
      <c r="N313" s="280"/>
    </row>
    <row r="314" ht="15.75" customHeight="1">
      <c r="G314" s="339"/>
      <c r="H314" s="339"/>
      <c r="J314" s="340"/>
      <c r="M314" s="19"/>
      <c r="N314" s="280"/>
    </row>
    <row r="315" ht="15.75" customHeight="1">
      <c r="G315" s="339"/>
      <c r="H315" s="339"/>
      <c r="J315" s="340"/>
      <c r="M315" s="19"/>
      <c r="N315" s="280"/>
    </row>
    <row r="316" ht="15.75" customHeight="1">
      <c r="G316" s="339"/>
      <c r="H316" s="339"/>
      <c r="J316" s="340"/>
      <c r="M316" s="19"/>
      <c r="N316" s="280"/>
    </row>
    <row r="317" ht="15.75" customHeight="1">
      <c r="G317" s="339"/>
      <c r="H317" s="339"/>
      <c r="J317" s="340"/>
      <c r="M317" s="19"/>
      <c r="N317" s="280"/>
    </row>
    <row r="318" ht="15.75" customHeight="1">
      <c r="G318" s="339"/>
      <c r="H318" s="339"/>
      <c r="J318" s="340"/>
      <c r="M318" s="19"/>
      <c r="N318" s="280"/>
    </row>
    <row r="319" ht="15.75" customHeight="1">
      <c r="G319" s="339"/>
      <c r="H319" s="339"/>
      <c r="J319" s="340"/>
      <c r="M319" s="19"/>
      <c r="N319" s="280"/>
    </row>
    <row r="320" ht="15.75" customHeight="1">
      <c r="G320" s="339"/>
      <c r="H320" s="339"/>
      <c r="J320" s="340"/>
      <c r="M320" s="19"/>
      <c r="N320" s="280"/>
    </row>
    <row r="321" ht="15.75" customHeight="1">
      <c r="G321" s="339"/>
      <c r="H321" s="339"/>
      <c r="J321" s="340"/>
      <c r="M321" s="19"/>
      <c r="N321" s="280"/>
    </row>
    <row r="322" ht="15.75" customHeight="1">
      <c r="G322" s="339"/>
      <c r="H322" s="339"/>
      <c r="J322" s="340"/>
      <c r="M322" s="19"/>
      <c r="N322" s="280"/>
    </row>
    <row r="323" ht="15.75" customHeight="1">
      <c r="G323" s="339"/>
      <c r="H323" s="339"/>
      <c r="J323" s="340"/>
      <c r="M323" s="19"/>
      <c r="N323" s="280"/>
    </row>
    <row r="324" ht="15.75" customHeight="1">
      <c r="G324" s="339"/>
      <c r="H324" s="339"/>
      <c r="J324" s="340"/>
      <c r="M324" s="19"/>
      <c r="N324" s="280"/>
    </row>
    <row r="325" ht="15.75" customHeight="1">
      <c r="G325" s="339"/>
      <c r="H325" s="339"/>
      <c r="J325" s="340"/>
      <c r="M325" s="19"/>
      <c r="N325" s="280"/>
    </row>
    <row r="326" ht="15.75" customHeight="1">
      <c r="G326" s="339"/>
      <c r="H326" s="339"/>
      <c r="J326" s="340"/>
      <c r="M326" s="19"/>
      <c r="N326" s="280"/>
    </row>
    <row r="327" ht="15.75" customHeight="1">
      <c r="G327" s="339"/>
      <c r="H327" s="339"/>
      <c r="J327" s="340"/>
      <c r="M327" s="19"/>
      <c r="N327" s="280"/>
    </row>
    <row r="328" ht="15.75" customHeight="1">
      <c r="G328" s="339"/>
      <c r="H328" s="339"/>
      <c r="J328" s="340"/>
      <c r="M328" s="19"/>
      <c r="N328" s="280"/>
    </row>
    <row r="329" ht="15.75" customHeight="1">
      <c r="G329" s="339"/>
      <c r="H329" s="339"/>
      <c r="J329" s="340"/>
      <c r="M329" s="19"/>
      <c r="N329" s="280"/>
    </row>
    <row r="330" ht="15.75" customHeight="1">
      <c r="G330" s="339"/>
      <c r="H330" s="339"/>
      <c r="J330" s="340"/>
      <c r="M330" s="19"/>
      <c r="N330" s="280"/>
    </row>
    <row r="331" ht="15.75" customHeight="1">
      <c r="G331" s="339"/>
      <c r="H331" s="339"/>
      <c r="J331" s="340"/>
      <c r="M331" s="19"/>
      <c r="N331" s="280"/>
    </row>
    <row r="332" ht="15.75" customHeight="1">
      <c r="G332" s="339"/>
      <c r="H332" s="339"/>
      <c r="J332" s="340"/>
      <c r="M332" s="19"/>
      <c r="N332" s="280"/>
    </row>
    <row r="333" ht="15.75" customHeight="1">
      <c r="G333" s="339"/>
      <c r="H333" s="339"/>
      <c r="J333" s="340"/>
      <c r="M333" s="19"/>
      <c r="N333" s="280"/>
    </row>
    <row r="334" ht="15.75" customHeight="1">
      <c r="G334" s="339"/>
      <c r="H334" s="339"/>
      <c r="J334" s="340"/>
      <c r="M334" s="19"/>
      <c r="N334" s="280"/>
    </row>
    <row r="335" ht="15.75" customHeight="1">
      <c r="G335" s="339"/>
      <c r="H335" s="339"/>
      <c r="J335" s="340"/>
      <c r="M335" s="19"/>
      <c r="N335" s="280"/>
    </row>
    <row r="336" ht="15.75" customHeight="1">
      <c r="G336" s="339"/>
      <c r="H336" s="339"/>
      <c r="J336" s="340"/>
      <c r="M336" s="19"/>
      <c r="N336" s="280"/>
    </row>
    <row r="337" ht="15.75" customHeight="1">
      <c r="G337" s="339"/>
      <c r="H337" s="339"/>
      <c r="J337" s="340"/>
      <c r="M337" s="19"/>
      <c r="N337" s="280"/>
    </row>
    <row r="338" ht="15.75" customHeight="1">
      <c r="G338" s="339"/>
      <c r="H338" s="339"/>
      <c r="J338" s="340"/>
      <c r="M338" s="19"/>
      <c r="N338" s="280"/>
    </row>
    <row r="339" ht="15.75" customHeight="1">
      <c r="G339" s="339"/>
      <c r="H339" s="339"/>
      <c r="J339" s="340"/>
      <c r="M339" s="19"/>
      <c r="N339" s="280"/>
    </row>
    <row r="340" ht="15.75" customHeight="1">
      <c r="G340" s="339"/>
      <c r="H340" s="339"/>
      <c r="J340" s="340"/>
      <c r="M340" s="19"/>
      <c r="N340" s="280"/>
    </row>
    <row r="341" ht="15.75" customHeight="1">
      <c r="G341" s="339"/>
      <c r="H341" s="339"/>
      <c r="J341" s="340"/>
      <c r="M341" s="19"/>
      <c r="N341" s="280"/>
    </row>
    <row r="342" ht="15.75" customHeight="1">
      <c r="G342" s="339"/>
      <c r="H342" s="339"/>
      <c r="J342" s="340"/>
      <c r="M342" s="19"/>
      <c r="N342" s="280"/>
    </row>
    <row r="343" ht="15.75" customHeight="1">
      <c r="G343" s="339"/>
      <c r="H343" s="339"/>
      <c r="J343" s="340"/>
      <c r="M343" s="19"/>
      <c r="N343" s="280"/>
    </row>
    <row r="344" ht="15.75" customHeight="1">
      <c r="G344" s="339"/>
      <c r="H344" s="339"/>
      <c r="J344" s="340"/>
      <c r="M344" s="19"/>
      <c r="N344" s="280"/>
    </row>
    <row r="345" ht="15.75" customHeight="1">
      <c r="G345" s="339"/>
      <c r="H345" s="339"/>
      <c r="J345" s="340"/>
      <c r="M345" s="19"/>
      <c r="N345" s="280"/>
    </row>
    <row r="346" ht="15.75" customHeight="1">
      <c r="G346" s="339"/>
      <c r="H346" s="339"/>
      <c r="J346" s="340"/>
      <c r="M346" s="19"/>
      <c r="N346" s="280"/>
    </row>
    <row r="347" ht="15.75" customHeight="1">
      <c r="G347" s="339"/>
      <c r="H347" s="339"/>
      <c r="J347" s="340"/>
      <c r="M347" s="19"/>
      <c r="N347" s="280"/>
    </row>
    <row r="348" ht="15.75" customHeight="1">
      <c r="G348" s="339"/>
      <c r="H348" s="339"/>
      <c r="J348" s="340"/>
      <c r="M348" s="19"/>
      <c r="N348" s="280"/>
    </row>
    <row r="349" ht="15.75" customHeight="1">
      <c r="G349" s="339"/>
      <c r="H349" s="339"/>
      <c r="J349" s="340"/>
      <c r="M349" s="19"/>
      <c r="N349" s="280"/>
    </row>
    <row r="350" ht="15.75" customHeight="1">
      <c r="G350" s="339"/>
      <c r="H350" s="339"/>
      <c r="J350" s="340"/>
      <c r="M350" s="19"/>
      <c r="N350" s="280"/>
    </row>
    <row r="351" ht="15.75" customHeight="1">
      <c r="G351" s="339"/>
      <c r="H351" s="339"/>
      <c r="J351" s="340"/>
      <c r="M351" s="19"/>
      <c r="N351" s="280"/>
    </row>
    <row r="352" ht="15.75" customHeight="1">
      <c r="G352" s="339"/>
      <c r="H352" s="339"/>
      <c r="J352" s="340"/>
      <c r="M352" s="19"/>
      <c r="N352" s="280"/>
    </row>
    <row r="353" ht="15.75" customHeight="1">
      <c r="G353" s="339"/>
      <c r="H353" s="339"/>
      <c r="J353" s="340"/>
      <c r="M353" s="19"/>
      <c r="N353" s="280"/>
    </row>
    <row r="354" ht="15.75" customHeight="1">
      <c r="G354" s="339"/>
      <c r="H354" s="339"/>
      <c r="J354" s="340"/>
      <c r="M354" s="19"/>
      <c r="N354" s="280"/>
    </row>
    <row r="355" ht="15.75" customHeight="1">
      <c r="G355" s="339"/>
      <c r="H355" s="339"/>
      <c r="J355" s="340"/>
      <c r="M355" s="19"/>
      <c r="N355" s="280"/>
    </row>
    <row r="356" ht="15.75" customHeight="1">
      <c r="G356" s="339"/>
      <c r="H356" s="339"/>
      <c r="J356" s="340"/>
      <c r="M356" s="19"/>
      <c r="N356" s="280"/>
    </row>
    <row r="357" ht="15.75" customHeight="1">
      <c r="G357" s="339"/>
      <c r="H357" s="339"/>
      <c r="J357" s="340"/>
      <c r="M357" s="19"/>
      <c r="N357" s="280"/>
    </row>
    <row r="358" ht="15.75" customHeight="1">
      <c r="G358" s="339"/>
      <c r="H358" s="339"/>
      <c r="J358" s="340"/>
      <c r="M358" s="19"/>
      <c r="N358" s="280"/>
    </row>
    <row r="359" ht="15.75" customHeight="1">
      <c r="G359" s="339"/>
      <c r="H359" s="339"/>
      <c r="J359" s="340"/>
      <c r="M359" s="19"/>
      <c r="N359" s="280"/>
    </row>
    <row r="360" ht="15.75" customHeight="1">
      <c r="G360" s="339"/>
      <c r="H360" s="339"/>
      <c r="J360" s="340"/>
      <c r="M360" s="19"/>
      <c r="N360" s="280"/>
    </row>
    <row r="361" ht="15.75" customHeight="1">
      <c r="G361" s="339"/>
      <c r="H361" s="339"/>
      <c r="J361" s="340"/>
      <c r="M361" s="19"/>
      <c r="N361" s="280"/>
    </row>
    <row r="362" ht="15.75" customHeight="1">
      <c r="G362" s="339"/>
      <c r="H362" s="339"/>
      <c r="J362" s="340"/>
      <c r="M362" s="19"/>
      <c r="N362" s="280"/>
    </row>
    <row r="363" ht="15.75" customHeight="1">
      <c r="G363" s="339"/>
      <c r="H363" s="339"/>
      <c r="J363" s="340"/>
      <c r="M363" s="19"/>
      <c r="N363" s="280"/>
    </row>
    <row r="364" ht="15.75" customHeight="1">
      <c r="G364" s="339"/>
      <c r="H364" s="339"/>
      <c r="J364" s="340"/>
      <c r="M364" s="19"/>
      <c r="N364" s="280"/>
    </row>
    <row r="365" ht="15.75" customHeight="1">
      <c r="G365" s="339"/>
      <c r="H365" s="339"/>
      <c r="J365" s="340"/>
      <c r="M365" s="19"/>
      <c r="N365" s="280"/>
    </row>
    <row r="366" ht="15.75" customHeight="1">
      <c r="G366" s="339"/>
      <c r="H366" s="339"/>
      <c r="J366" s="340"/>
      <c r="M366" s="19"/>
      <c r="N366" s="280"/>
    </row>
    <row r="367" ht="15.75" customHeight="1">
      <c r="G367" s="339"/>
      <c r="H367" s="339"/>
      <c r="J367" s="340"/>
      <c r="M367" s="19"/>
      <c r="N367" s="280"/>
    </row>
    <row r="368" ht="15.75" customHeight="1">
      <c r="G368" s="339"/>
      <c r="H368" s="339"/>
      <c r="J368" s="340"/>
      <c r="M368" s="19"/>
      <c r="N368" s="280"/>
    </row>
    <row r="369" ht="15.75" customHeight="1">
      <c r="G369" s="339"/>
      <c r="H369" s="339"/>
      <c r="J369" s="340"/>
      <c r="M369" s="19"/>
      <c r="N369" s="280"/>
    </row>
    <row r="370" ht="15.75" customHeight="1">
      <c r="G370" s="339"/>
      <c r="H370" s="339"/>
      <c r="J370" s="340"/>
      <c r="M370" s="19"/>
      <c r="N370" s="280"/>
    </row>
    <row r="371" ht="15.75" customHeight="1">
      <c r="G371" s="339"/>
      <c r="H371" s="339"/>
      <c r="J371" s="340"/>
      <c r="M371" s="19"/>
      <c r="N371" s="280"/>
    </row>
    <row r="372" ht="15.75" customHeight="1">
      <c r="G372" s="339"/>
      <c r="H372" s="339"/>
      <c r="J372" s="340"/>
      <c r="M372" s="19"/>
      <c r="N372" s="280"/>
    </row>
    <row r="373" ht="15.75" customHeight="1">
      <c r="G373" s="339"/>
      <c r="H373" s="339"/>
      <c r="J373" s="340"/>
      <c r="M373" s="19"/>
      <c r="N373" s="280"/>
    </row>
    <row r="374" ht="15.75" customHeight="1">
      <c r="G374" s="339"/>
      <c r="H374" s="339"/>
      <c r="J374" s="340"/>
      <c r="M374" s="19"/>
      <c r="N374" s="280"/>
    </row>
    <row r="375" ht="15.75" customHeight="1">
      <c r="G375" s="339"/>
      <c r="H375" s="339"/>
      <c r="J375" s="340"/>
      <c r="M375" s="19"/>
      <c r="N375" s="280"/>
    </row>
    <row r="376" ht="15.75" customHeight="1">
      <c r="G376" s="339"/>
      <c r="H376" s="339"/>
      <c r="J376" s="340"/>
      <c r="M376" s="19"/>
      <c r="N376" s="280"/>
    </row>
    <row r="377" ht="15.75" customHeight="1">
      <c r="G377" s="339"/>
      <c r="H377" s="339"/>
      <c r="J377" s="340"/>
      <c r="M377" s="19"/>
      <c r="N377" s="280"/>
    </row>
    <row r="378" ht="15.75" customHeight="1">
      <c r="G378" s="339"/>
      <c r="H378" s="339"/>
      <c r="J378" s="340"/>
      <c r="M378" s="19"/>
      <c r="N378" s="280"/>
    </row>
    <row r="379" ht="15.75" customHeight="1">
      <c r="G379" s="339"/>
      <c r="H379" s="339"/>
      <c r="J379" s="340"/>
      <c r="M379" s="19"/>
      <c r="N379" s="280"/>
    </row>
    <row r="380" ht="15.75" customHeight="1">
      <c r="G380" s="339"/>
      <c r="H380" s="339"/>
      <c r="J380" s="340"/>
      <c r="M380" s="19"/>
      <c r="N380" s="280"/>
    </row>
    <row r="381" ht="15.75" customHeight="1">
      <c r="G381" s="339"/>
      <c r="H381" s="339"/>
      <c r="J381" s="340"/>
      <c r="M381" s="19"/>
      <c r="N381" s="280"/>
    </row>
    <row r="382" ht="15.75" customHeight="1">
      <c r="G382" s="339"/>
      <c r="H382" s="339"/>
      <c r="J382" s="340"/>
      <c r="M382" s="19"/>
      <c r="N382" s="280"/>
    </row>
    <row r="383" ht="15.75" customHeight="1">
      <c r="G383" s="339"/>
      <c r="H383" s="339"/>
      <c r="J383" s="340"/>
      <c r="M383" s="19"/>
      <c r="N383" s="280"/>
    </row>
    <row r="384" ht="15.75" customHeight="1">
      <c r="G384" s="339"/>
      <c r="H384" s="339"/>
      <c r="J384" s="340"/>
      <c r="M384" s="19"/>
      <c r="N384" s="280"/>
    </row>
    <row r="385" ht="15.75" customHeight="1">
      <c r="G385" s="339"/>
      <c r="H385" s="339"/>
      <c r="J385" s="340"/>
      <c r="M385" s="19"/>
      <c r="N385" s="280"/>
    </row>
    <row r="386" ht="15.75" customHeight="1">
      <c r="G386" s="339"/>
      <c r="H386" s="339"/>
      <c r="J386" s="340"/>
      <c r="M386" s="19"/>
      <c r="N386" s="280"/>
    </row>
    <row r="387" ht="15.75" customHeight="1">
      <c r="G387" s="339"/>
      <c r="H387" s="339"/>
      <c r="J387" s="340"/>
      <c r="M387" s="19"/>
      <c r="N387" s="280"/>
    </row>
    <row r="388" ht="15.75" customHeight="1">
      <c r="G388" s="339"/>
      <c r="H388" s="339"/>
      <c r="J388" s="340"/>
      <c r="M388" s="19"/>
      <c r="N388" s="280"/>
    </row>
    <row r="389" ht="15.75" customHeight="1">
      <c r="G389" s="339"/>
      <c r="H389" s="339"/>
      <c r="J389" s="340"/>
      <c r="M389" s="19"/>
      <c r="N389" s="280"/>
    </row>
    <row r="390" ht="15.75" customHeight="1">
      <c r="G390" s="339"/>
      <c r="H390" s="339"/>
      <c r="J390" s="340"/>
      <c r="M390" s="19"/>
      <c r="N390" s="280"/>
    </row>
    <row r="391" ht="15.75" customHeight="1">
      <c r="G391" s="339"/>
      <c r="H391" s="339"/>
      <c r="J391" s="340"/>
      <c r="M391" s="19"/>
      <c r="N391" s="280"/>
    </row>
    <row r="392" ht="15.75" customHeight="1">
      <c r="G392" s="339"/>
      <c r="H392" s="339"/>
      <c r="J392" s="340"/>
      <c r="M392" s="19"/>
      <c r="N392" s="280"/>
    </row>
    <row r="393" ht="15.75" customHeight="1">
      <c r="G393" s="339"/>
      <c r="H393" s="339"/>
      <c r="J393" s="340"/>
      <c r="M393" s="19"/>
      <c r="N393" s="280"/>
    </row>
    <row r="394" ht="15.75" customHeight="1">
      <c r="G394" s="339"/>
      <c r="H394" s="339"/>
      <c r="J394" s="340"/>
      <c r="M394" s="19"/>
      <c r="N394" s="280"/>
    </row>
    <row r="395" ht="15.75" customHeight="1">
      <c r="G395" s="339"/>
      <c r="H395" s="339"/>
      <c r="J395" s="340"/>
      <c r="M395" s="19"/>
      <c r="N395" s="280"/>
    </row>
    <row r="396" ht="15.75" customHeight="1">
      <c r="G396" s="339"/>
      <c r="H396" s="339"/>
      <c r="J396" s="340"/>
      <c r="M396" s="19"/>
      <c r="N396" s="280"/>
    </row>
    <row r="397" ht="15.75" customHeight="1">
      <c r="G397" s="339"/>
      <c r="H397" s="339"/>
      <c r="J397" s="340"/>
      <c r="M397" s="19"/>
      <c r="N397" s="280"/>
    </row>
    <row r="398" ht="15.75" customHeight="1">
      <c r="G398" s="339"/>
      <c r="H398" s="339"/>
      <c r="J398" s="340"/>
      <c r="M398" s="19"/>
      <c r="N398" s="280"/>
    </row>
    <row r="399" ht="15.75" customHeight="1">
      <c r="G399" s="339"/>
      <c r="H399" s="339"/>
      <c r="J399" s="340"/>
      <c r="M399" s="19"/>
      <c r="N399" s="280"/>
    </row>
    <row r="400" ht="15.75" customHeight="1">
      <c r="G400" s="339"/>
      <c r="H400" s="339"/>
      <c r="J400" s="340"/>
      <c r="M400" s="19"/>
      <c r="N400" s="280"/>
    </row>
    <row r="401" ht="15.75" customHeight="1">
      <c r="G401" s="339"/>
      <c r="H401" s="339"/>
      <c r="J401" s="340"/>
      <c r="M401" s="19"/>
      <c r="N401" s="280"/>
    </row>
    <row r="402" ht="15.75" customHeight="1">
      <c r="G402" s="339"/>
      <c r="H402" s="339"/>
      <c r="J402" s="340"/>
      <c r="M402" s="19"/>
      <c r="N402" s="280"/>
    </row>
    <row r="403" ht="15.75" customHeight="1">
      <c r="G403" s="339"/>
      <c r="H403" s="339"/>
      <c r="J403" s="340"/>
      <c r="M403" s="19"/>
      <c r="N403" s="280"/>
    </row>
    <row r="404" ht="15.75" customHeight="1">
      <c r="G404" s="339"/>
      <c r="H404" s="339"/>
      <c r="J404" s="340"/>
      <c r="M404" s="19"/>
      <c r="N404" s="280"/>
    </row>
    <row r="405" ht="15.75" customHeight="1">
      <c r="G405" s="339"/>
      <c r="H405" s="339"/>
      <c r="J405" s="340"/>
      <c r="M405" s="19"/>
      <c r="N405" s="280"/>
    </row>
    <row r="406" ht="15.75" customHeight="1">
      <c r="G406" s="339"/>
      <c r="H406" s="339"/>
      <c r="J406" s="340"/>
      <c r="M406" s="19"/>
      <c r="N406" s="280"/>
    </row>
    <row r="407" ht="15.75" customHeight="1">
      <c r="G407" s="339"/>
      <c r="H407" s="339"/>
      <c r="J407" s="340"/>
      <c r="M407" s="19"/>
      <c r="N407" s="280"/>
    </row>
    <row r="408" ht="15.75" customHeight="1">
      <c r="G408" s="339"/>
      <c r="H408" s="339"/>
      <c r="J408" s="340"/>
      <c r="M408" s="19"/>
      <c r="N408" s="280"/>
    </row>
    <row r="409" ht="15.75" customHeight="1">
      <c r="G409" s="339"/>
      <c r="H409" s="339"/>
      <c r="J409" s="340"/>
      <c r="M409" s="19"/>
      <c r="N409" s="280"/>
    </row>
    <row r="410" ht="15.75" customHeight="1">
      <c r="G410" s="339"/>
      <c r="H410" s="339"/>
      <c r="J410" s="340"/>
      <c r="M410" s="19"/>
      <c r="N410" s="280"/>
    </row>
    <row r="411" ht="15.75" customHeight="1">
      <c r="G411" s="339"/>
      <c r="H411" s="339"/>
      <c r="J411" s="340"/>
      <c r="M411" s="19"/>
      <c r="N411" s="280"/>
    </row>
    <row r="412" ht="15.75" customHeight="1">
      <c r="G412" s="339"/>
      <c r="H412" s="339"/>
      <c r="J412" s="340"/>
      <c r="M412" s="19"/>
      <c r="N412" s="280"/>
    </row>
    <row r="413" ht="15.75" customHeight="1">
      <c r="G413" s="339"/>
      <c r="H413" s="339"/>
      <c r="J413" s="340"/>
      <c r="M413" s="19"/>
      <c r="N413" s="280"/>
    </row>
    <row r="414" ht="15.75" customHeight="1">
      <c r="G414" s="339"/>
      <c r="H414" s="339"/>
      <c r="J414" s="340"/>
      <c r="M414" s="19"/>
      <c r="N414" s="280"/>
    </row>
    <row r="415" ht="15.75" customHeight="1">
      <c r="G415" s="339"/>
      <c r="H415" s="339"/>
      <c r="J415" s="340"/>
      <c r="M415" s="19"/>
      <c r="N415" s="280"/>
    </row>
    <row r="416" ht="15.75" customHeight="1">
      <c r="G416" s="339"/>
      <c r="H416" s="339"/>
      <c r="J416" s="340"/>
      <c r="M416" s="19"/>
      <c r="N416" s="280"/>
    </row>
    <row r="417" ht="15.75" customHeight="1">
      <c r="G417" s="339"/>
      <c r="H417" s="339"/>
      <c r="J417" s="340"/>
      <c r="M417" s="19"/>
      <c r="N417" s="280"/>
    </row>
    <row r="418" ht="15.75" customHeight="1">
      <c r="G418" s="339"/>
      <c r="H418" s="339"/>
      <c r="J418" s="340"/>
      <c r="M418" s="19"/>
      <c r="N418" s="280"/>
    </row>
    <row r="419" ht="15.75" customHeight="1">
      <c r="G419" s="339"/>
      <c r="H419" s="339"/>
      <c r="J419" s="340"/>
      <c r="M419" s="19"/>
      <c r="N419" s="280"/>
    </row>
    <row r="420" ht="15.75" customHeight="1">
      <c r="G420" s="339"/>
      <c r="H420" s="339"/>
      <c r="J420" s="340"/>
      <c r="M420" s="19"/>
      <c r="N420" s="280"/>
    </row>
    <row r="421" ht="15.75" customHeight="1">
      <c r="G421" s="339"/>
      <c r="H421" s="339"/>
      <c r="J421" s="340"/>
      <c r="M421" s="19"/>
      <c r="N421" s="280"/>
    </row>
    <row r="422" ht="15.75" customHeight="1">
      <c r="G422" s="339"/>
      <c r="H422" s="339"/>
      <c r="J422" s="340"/>
      <c r="M422" s="19"/>
      <c r="N422" s="280"/>
    </row>
    <row r="423" ht="15.75" customHeight="1">
      <c r="G423" s="339"/>
      <c r="H423" s="339"/>
      <c r="J423" s="340"/>
      <c r="M423" s="19"/>
      <c r="N423" s="280"/>
    </row>
    <row r="424" ht="15.75" customHeight="1">
      <c r="G424" s="339"/>
      <c r="H424" s="339"/>
      <c r="J424" s="340"/>
      <c r="M424" s="19"/>
      <c r="N424" s="280"/>
    </row>
    <row r="425" ht="15.75" customHeight="1">
      <c r="G425" s="339"/>
      <c r="H425" s="339"/>
      <c r="J425" s="340"/>
      <c r="M425" s="19"/>
      <c r="N425" s="280"/>
    </row>
    <row r="426" ht="15.75" customHeight="1">
      <c r="G426" s="339"/>
      <c r="H426" s="339"/>
      <c r="J426" s="340"/>
      <c r="M426" s="19"/>
      <c r="N426" s="280"/>
    </row>
    <row r="427" ht="15.75" customHeight="1">
      <c r="G427" s="339"/>
      <c r="H427" s="339"/>
      <c r="J427" s="340"/>
      <c r="M427" s="19"/>
      <c r="N427" s="280"/>
    </row>
    <row r="428" ht="15.75" customHeight="1">
      <c r="G428" s="339"/>
      <c r="H428" s="339"/>
      <c r="J428" s="340"/>
      <c r="M428" s="19"/>
      <c r="N428" s="280"/>
    </row>
    <row r="429" ht="15.75" customHeight="1">
      <c r="G429" s="339"/>
      <c r="H429" s="339"/>
      <c r="J429" s="340"/>
      <c r="M429" s="19"/>
      <c r="N429" s="280"/>
    </row>
    <row r="430" ht="15.75" customHeight="1">
      <c r="G430" s="339"/>
      <c r="H430" s="339"/>
      <c r="J430" s="340"/>
      <c r="M430" s="19"/>
      <c r="N430" s="280"/>
    </row>
    <row r="431" ht="15.75" customHeight="1">
      <c r="G431" s="339"/>
      <c r="H431" s="339"/>
      <c r="J431" s="340"/>
      <c r="M431" s="19"/>
      <c r="N431" s="280"/>
    </row>
    <row r="432" ht="15.75" customHeight="1">
      <c r="G432" s="339"/>
      <c r="H432" s="339"/>
      <c r="J432" s="340"/>
      <c r="M432" s="19"/>
      <c r="N432" s="280"/>
    </row>
    <row r="433" ht="15.75" customHeight="1">
      <c r="G433" s="339"/>
      <c r="H433" s="339"/>
      <c r="J433" s="340"/>
      <c r="M433" s="19"/>
      <c r="N433" s="280"/>
    </row>
    <row r="434" ht="15.75" customHeight="1">
      <c r="G434" s="339"/>
      <c r="H434" s="339"/>
      <c r="J434" s="340"/>
      <c r="M434" s="19"/>
      <c r="N434" s="280"/>
    </row>
    <row r="435" ht="15.75" customHeight="1">
      <c r="G435" s="339"/>
      <c r="H435" s="339"/>
      <c r="J435" s="340"/>
      <c r="M435" s="19"/>
      <c r="N435" s="280"/>
    </row>
    <row r="436" ht="15.75" customHeight="1">
      <c r="G436" s="339"/>
      <c r="H436" s="339"/>
      <c r="J436" s="340"/>
      <c r="M436" s="19"/>
      <c r="N436" s="280"/>
    </row>
    <row r="437" ht="15.75" customHeight="1">
      <c r="G437" s="339"/>
      <c r="H437" s="339"/>
      <c r="J437" s="340"/>
      <c r="M437" s="19"/>
      <c r="N437" s="280"/>
    </row>
    <row r="438" ht="15.75" customHeight="1">
      <c r="G438" s="339"/>
      <c r="H438" s="339"/>
      <c r="J438" s="340"/>
      <c r="M438" s="19"/>
      <c r="N438" s="280"/>
    </row>
    <row r="439" ht="15.75" customHeight="1">
      <c r="G439" s="339"/>
      <c r="H439" s="339"/>
      <c r="J439" s="340"/>
      <c r="M439" s="19"/>
      <c r="N439" s="280"/>
    </row>
    <row r="440" ht="15.75" customHeight="1">
      <c r="G440" s="339"/>
      <c r="H440" s="339"/>
      <c r="J440" s="340"/>
      <c r="M440" s="19"/>
      <c r="N440" s="280"/>
    </row>
    <row r="441" ht="15.75" customHeight="1">
      <c r="G441" s="339"/>
      <c r="H441" s="339"/>
      <c r="J441" s="340"/>
      <c r="M441" s="19"/>
      <c r="N441" s="280"/>
    </row>
    <row r="442" ht="15.75" customHeight="1">
      <c r="G442" s="339"/>
      <c r="H442" s="339"/>
      <c r="J442" s="340"/>
      <c r="M442" s="19"/>
      <c r="N442" s="280"/>
    </row>
    <row r="443" ht="15.75" customHeight="1">
      <c r="G443" s="339"/>
      <c r="H443" s="339"/>
      <c r="J443" s="340"/>
      <c r="M443" s="19"/>
      <c r="N443" s="280"/>
    </row>
    <row r="444" ht="15.75" customHeight="1">
      <c r="G444" s="339"/>
      <c r="H444" s="339"/>
      <c r="J444" s="340"/>
      <c r="M444" s="19"/>
      <c r="N444" s="280"/>
    </row>
    <row r="445" ht="15.75" customHeight="1">
      <c r="G445" s="339"/>
      <c r="H445" s="339"/>
      <c r="J445" s="340"/>
      <c r="M445" s="19"/>
      <c r="N445" s="280"/>
    </row>
    <row r="446" ht="15.75" customHeight="1">
      <c r="G446" s="339"/>
      <c r="H446" s="339"/>
      <c r="J446" s="340"/>
      <c r="M446" s="19"/>
      <c r="N446" s="280"/>
    </row>
    <row r="447" ht="15.75" customHeight="1">
      <c r="G447" s="339"/>
      <c r="H447" s="339"/>
      <c r="J447" s="340"/>
      <c r="M447" s="19"/>
      <c r="N447" s="280"/>
    </row>
    <row r="448" ht="15.75" customHeight="1">
      <c r="G448" s="339"/>
      <c r="H448" s="339"/>
      <c r="J448" s="340"/>
      <c r="M448" s="19"/>
      <c r="N448" s="280"/>
    </row>
    <row r="449" ht="15.75" customHeight="1">
      <c r="G449" s="339"/>
      <c r="H449" s="339"/>
      <c r="J449" s="340"/>
      <c r="M449" s="19"/>
      <c r="N449" s="280"/>
    </row>
    <row r="450" ht="15.75" customHeight="1">
      <c r="G450" s="339"/>
      <c r="H450" s="339"/>
      <c r="J450" s="340"/>
      <c r="M450" s="19"/>
      <c r="N450" s="280"/>
    </row>
    <row r="451" ht="15.75" customHeight="1">
      <c r="G451" s="339"/>
      <c r="H451" s="339"/>
      <c r="J451" s="340"/>
      <c r="M451" s="19"/>
      <c r="N451" s="280"/>
    </row>
    <row r="452" ht="15.75" customHeight="1">
      <c r="G452" s="339"/>
      <c r="H452" s="339"/>
      <c r="J452" s="340"/>
      <c r="M452" s="19"/>
      <c r="N452" s="280"/>
    </row>
    <row r="453" ht="15.75" customHeight="1">
      <c r="G453" s="339"/>
      <c r="H453" s="339"/>
      <c r="J453" s="340"/>
      <c r="M453" s="19"/>
      <c r="N453" s="280"/>
    </row>
    <row r="454" ht="15.75" customHeight="1">
      <c r="G454" s="339"/>
      <c r="H454" s="339"/>
      <c r="J454" s="340"/>
      <c r="M454" s="19"/>
      <c r="N454" s="280"/>
    </row>
    <row r="455" ht="15.75" customHeight="1">
      <c r="G455" s="339"/>
      <c r="H455" s="339"/>
      <c r="J455" s="340"/>
      <c r="M455" s="19"/>
      <c r="N455" s="280"/>
    </row>
    <row r="456" ht="15.75" customHeight="1">
      <c r="G456" s="339"/>
      <c r="H456" s="339"/>
      <c r="J456" s="340"/>
      <c r="M456" s="19"/>
      <c r="N456" s="280"/>
    </row>
    <row r="457" ht="15.75" customHeight="1">
      <c r="G457" s="339"/>
      <c r="H457" s="339"/>
      <c r="J457" s="340"/>
      <c r="M457" s="19"/>
      <c r="N457" s="280"/>
    </row>
    <row r="458" ht="15.75" customHeight="1">
      <c r="G458" s="339"/>
      <c r="H458" s="339"/>
      <c r="J458" s="340"/>
      <c r="M458" s="19"/>
      <c r="N458" s="280"/>
    </row>
    <row r="459" ht="15.75" customHeight="1">
      <c r="G459" s="339"/>
      <c r="H459" s="339"/>
      <c r="J459" s="340"/>
      <c r="M459" s="19"/>
      <c r="N459" s="280"/>
    </row>
    <row r="460" ht="15.75" customHeight="1">
      <c r="G460" s="339"/>
      <c r="H460" s="339"/>
      <c r="J460" s="340"/>
      <c r="M460" s="19"/>
      <c r="N460" s="280"/>
    </row>
    <row r="461" ht="15.75" customHeight="1">
      <c r="G461" s="339"/>
      <c r="H461" s="339"/>
      <c r="J461" s="340"/>
      <c r="M461" s="19"/>
      <c r="N461" s="280"/>
    </row>
    <row r="462" ht="15.75" customHeight="1">
      <c r="G462" s="339"/>
      <c r="H462" s="339"/>
      <c r="J462" s="340"/>
      <c r="M462" s="19"/>
      <c r="N462" s="280"/>
    </row>
    <row r="463" ht="15.75" customHeight="1">
      <c r="G463" s="339"/>
      <c r="H463" s="339"/>
      <c r="J463" s="340"/>
      <c r="M463" s="19"/>
      <c r="N463" s="280"/>
    </row>
    <row r="464" ht="15.75" customHeight="1">
      <c r="G464" s="339"/>
      <c r="H464" s="339"/>
      <c r="J464" s="340"/>
      <c r="M464" s="19"/>
      <c r="N464" s="280"/>
    </row>
    <row r="465" ht="15.75" customHeight="1">
      <c r="G465" s="339"/>
      <c r="H465" s="339"/>
      <c r="J465" s="340"/>
      <c r="M465" s="19"/>
      <c r="N465" s="280"/>
    </row>
    <row r="466" ht="15.75" customHeight="1">
      <c r="G466" s="339"/>
      <c r="H466" s="339"/>
      <c r="J466" s="340"/>
      <c r="M466" s="19"/>
      <c r="N466" s="280"/>
    </row>
    <row r="467" ht="15.75" customHeight="1">
      <c r="G467" s="339"/>
      <c r="H467" s="339"/>
      <c r="J467" s="340"/>
      <c r="M467" s="19"/>
      <c r="N467" s="280"/>
    </row>
    <row r="468" ht="15.75" customHeight="1">
      <c r="G468" s="339"/>
      <c r="H468" s="339"/>
      <c r="J468" s="340"/>
      <c r="M468" s="19"/>
      <c r="N468" s="280"/>
    </row>
    <row r="469" ht="15.75" customHeight="1">
      <c r="G469" s="339"/>
      <c r="H469" s="339"/>
      <c r="J469" s="340"/>
      <c r="M469" s="19"/>
      <c r="N469" s="280"/>
    </row>
    <row r="470" ht="15.75" customHeight="1">
      <c r="G470" s="339"/>
      <c r="H470" s="339"/>
      <c r="J470" s="340"/>
      <c r="M470" s="19"/>
      <c r="N470" s="280"/>
    </row>
    <row r="471" ht="15.75" customHeight="1">
      <c r="G471" s="339"/>
      <c r="H471" s="339"/>
      <c r="J471" s="340"/>
      <c r="M471" s="19"/>
      <c r="N471" s="280"/>
    </row>
    <row r="472" ht="15.75" customHeight="1">
      <c r="G472" s="339"/>
      <c r="H472" s="339"/>
      <c r="J472" s="340"/>
      <c r="M472" s="19"/>
      <c r="N472" s="280"/>
    </row>
    <row r="473" ht="15.75" customHeight="1">
      <c r="G473" s="339"/>
      <c r="H473" s="339"/>
      <c r="J473" s="340"/>
      <c r="M473" s="19"/>
      <c r="N473" s="280"/>
    </row>
    <row r="474" ht="15.75" customHeight="1">
      <c r="G474" s="339"/>
      <c r="H474" s="339"/>
      <c r="J474" s="340"/>
      <c r="M474" s="19"/>
      <c r="N474" s="280"/>
    </row>
    <row r="475" ht="15.75" customHeight="1">
      <c r="G475" s="339"/>
      <c r="H475" s="339"/>
      <c r="J475" s="340"/>
      <c r="M475" s="19"/>
      <c r="N475" s="280"/>
    </row>
    <row r="476" ht="15.75" customHeight="1">
      <c r="G476" s="339"/>
      <c r="H476" s="339"/>
      <c r="J476" s="340"/>
      <c r="M476" s="19"/>
      <c r="N476" s="280"/>
    </row>
    <row r="477" ht="15.75" customHeight="1">
      <c r="G477" s="339"/>
      <c r="H477" s="339"/>
      <c r="J477" s="340"/>
      <c r="M477" s="19"/>
      <c r="N477" s="280"/>
    </row>
    <row r="478" ht="15.75" customHeight="1">
      <c r="G478" s="339"/>
      <c r="H478" s="339"/>
      <c r="J478" s="340"/>
      <c r="M478" s="19"/>
      <c r="N478" s="280"/>
    </row>
    <row r="479" ht="15.75" customHeight="1">
      <c r="G479" s="339"/>
      <c r="H479" s="339"/>
      <c r="J479" s="340"/>
      <c r="M479" s="19"/>
      <c r="N479" s="280"/>
    </row>
    <row r="480" ht="15.75" customHeight="1">
      <c r="G480" s="339"/>
      <c r="H480" s="339"/>
      <c r="J480" s="340"/>
      <c r="M480" s="19"/>
      <c r="N480" s="280"/>
    </row>
    <row r="481" ht="15.75" customHeight="1">
      <c r="G481" s="339"/>
      <c r="H481" s="339"/>
      <c r="J481" s="340"/>
      <c r="M481" s="19"/>
      <c r="N481" s="280"/>
    </row>
    <row r="482" ht="15.75" customHeight="1">
      <c r="G482" s="339"/>
      <c r="H482" s="339"/>
      <c r="J482" s="340"/>
      <c r="M482" s="19"/>
      <c r="N482" s="280"/>
    </row>
    <row r="483" ht="15.75" customHeight="1">
      <c r="G483" s="339"/>
      <c r="H483" s="339"/>
      <c r="J483" s="340"/>
      <c r="M483" s="19"/>
      <c r="N483" s="280"/>
    </row>
    <row r="484" ht="15.75" customHeight="1">
      <c r="G484" s="339"/>
      <c r="H484" s="339"/>
      <c r="J484" s="340"/>
      <c r="M484" s="19"/>
      <c r="N484" s="280"/>
    </row>
    <row r="485" ht="15.75" customHeight="1">
      <c r="G485" s="339"/>
      <c r="H485" s="339"/>
      <c r="J485" s="340"/>
      <c r="M485" s="19"/>
      <c r="N485" s="280"/>
    </row>
    <row r="486" ht="15.75" customHeight="1">
      <c r="G486" s="339"/>
      <c r="H486" s="339"/>
      <c r="J486" s="340"/>
      <c r="M486" s="19"/>
      <c r="N486" s="280"/>
    </row>
    <row r="487" ht="15.75" customHeight="1">
      <c r="G487" s="339"/>
      <c r="H487" s="339"/>
      <c r="J487" s="340"/>
      <c r="M487" s="19"/>
      <c r="N487" s="280"/>
    </row>
    <row r="488" ht="15.75" customHeight="1">
      <c r="G488" s="339"/>
      <c r="H488" s="339"/>
      <c r="J488" s="340"/>
      <c r="M488" s="19"/>
      <c r="N488" s="280"/>
    </row>
    <row r="489" ht="15.75" customHeight="1">
      <c r="G489" s="339"/>
      <c r="H489" s="339"/>
      <c r="J489" s="340"/>
      <c r="M489" s="19"/>
      <c r="N489" s="280"/>
    </row>
    <row r="490" ht="15.75" customHeight="1">
      <c r="G490" s="339"/>
      <c r="H490" s="339"/>
      <c r="J490" s="340"/>
      <c r="M490" s="19"/>
      <c r="N490" s="280"/>
    </row>
    <row r="491" ht="15.75" customHeight="1">
      <c r="G491" s="339"/>
      <c r="H491" s="339"/>
      <c r="J491" s="340"/>
      <c r="M491" s="19"/>
      <c r="N491" s="280"/>
    </row>
    <row r="492" ht="15.75" customHeight="1">
      <c r="G492" s="339"/>
      <c r="H492" s="339"/>
      <c r="J492" s="340"/>
      <c r="M492" s="19"/>
      <c r="N492" s="280"/>
    </row>
    <row r="493" ht="15.75" customHeight="1">
      <c r="G493" s="339"/>
      <c r="H493" s="339"/>
      <c r="J493" s="340"/>
      <c r="M493" s="19"/>
      <c r="N493" s="280"/>
    </row>
    <row r="494" ht="15.75" customHeight="1">
      <c r="G494" s="339"/>
      <c r="H494" s="339"/>
      <c r="J494" s="340"/>
      <c r="M494" s="19"/>
      <c r="N494" s="280"/>
    </row>
    <row r="495" ht="15.75" customHeight="1">
      <c r="G495" s="339"/>
      <c r="H495" s="339"/>
      <c r="J495" s="340"/>
      <c r="M495" s="19"/>
      <c r="N495" s="280"/>
    </row>
    <row r="496" ht="15.75" customHeight="1">
      <c r="G496" s="339"/>
      <c r="H496" s="339"/>
      <c r="J496" s="340"/>
      <c r="M496" s="19"/>
      <c r="N496" s="280"/>
    </row>
    <row r="497" ht="15.75" customHeight="1">
      <c r="G497" s="339"/>
      <c r="H497" s="339"/>
      <c r="J497" s="340"/>
      <c r="M497" s="19"/>
      <c r="N497" s="280"/>
    </row>
    <row r="498" ht="15.75" customHeight="1">
      <c r="G498" s="339"/>
      <c r="H498" s="339"/>
      <c r="J498" s="340"/>
      <c r="M498" s="19"/>
      <c r="N498" s="280"/>
    </row>
    <row r="499" ht="15.75" customHeight="1">
      <c r="G499" s="339"/>
      <c r="H499" s="339"/>
      <c r="J499" s="340"/>
      <c r="M499" s="19"/>
      <c r="N499" s="280"/>
    </row>
    <row r="500" ht="15.75" customHeight="1">
      <c r="G500" s="339"/>
      <c r="H500" s="339"/>
      <c r="J500" s="340"/>
      <c r="M500" s="19"/>
      <c r="N500" s="280"/>
    </row>
    <row r="501" ht="15.75" customHeight="1">
      <c r="G501" s="339"/>
      <c r="H501" s="339"/>
      <c r="J501" s="340"/>
      <c r="M501" s="19"/>
      <c r="N501" s="280"/>
    </row>
    <row r="502" ht="15.75" customHeight="1">
      <c r="G502" s="339"/>
      <c r="H502" s="339"/>
      <c r="J502" s="340"/>
      <c r="M502" s="19"/>
      <c r="N502" s="280"/>
    </row>
    <row r="503" ht="15.75" customHeight="1">
      <c r="G503" s="339"/>
      <c r="H503" s="339"/>
      <c r="J503" s="340"/>
      <c r="M503" s="19"/>
      <c r="N503" s="280"/>
    </row>
    <row r="504" ht="15.75" customHeight="1">
      <c r="G504" s="339"/>
      <c r="H504" s="339"/>
      <c r="J504" s="340"/>
      <c r="M504" s="19"/>
      <c r="N504" s="280"/>
    </row>
    <row r="505" ht="15.75" customHeight="1">
      <c r="G505" s="339"/>
      <c r="H505" s="339"/>
      <c r="J505" s="340"/>
      <c r="M505" s="19"/>
      <c r="N505" s="280"/>
    </row>
    <row r="506" ht="15.75" customHeight="1">
      <c r="G506" s="339"/>
      <c r="H506" s="339"/>
      <c r="J506" s="340"/>
      <c r="M506" s="19"/>
      <c r="N506" s="280"/>
    </row>
    <row r="507" ht="15.75" customHeight="1">
      <c r="G507" s="339"/>
      <c r="H507" s="339"/>
      <c r="J507" s="340"/>
      <c r="M507" s="19"/>
      <c r="N507" s="280"/>
    </row>
    <row r="508" ht="15.75" customHeight="1">
      <c r="G508" s="339"/>
      <c r="H508" s="339"/>
      <c r="J508" s="340"/>
      <c r="M508" s="19"/>
      <c r="N508" s="280"/>
    </row>
    <row r="509" ht="15.75" customHeight="1">
      <c r="G509" s="339"/>
      <c r="H509" s="339"/>
      <c r="J509" s="340"/>
      <c r="M509" s="19"/>
      <c r="N509" s="280"/>
    </row>
    <row r="510" ht="15.75" customHeight="1">
      <c r="G510" s="339"/>
      <c r="H510" s="339"/>
      <c r="J510" s="340"/>
      <c r="M510" s="19"/>
      <c r="N510" s="280"/>
    </row>
    <row r="511" ht="15.75" customHeight="1">
      <c r="G511" s="339"/>
      <c r="H511" s="339"/>
      <c r="J511" s="340"/>
      <c r="M511" s="19"/>
      <c r="N511" s="280"/>
    </row>
    <row r="512" ht="15.75" customHeight="1">
      <c r="G512" s="339"/>
      <c r="H512" s="339"/>
      <c r="J512" s="340"/>
      <c r="M512" s="19"/>
      <c r="N512" s="280"/>
    </row>
    <row r="513" ht="15.75" customHeight="1">
      <c r="G513" s="339"/>
      <c r="H513" s="339"/>
      <c r="J513" s="340"/>
      <c r="M513" s="19"/>
      <c r="N513" s="280"/>
    </row>
    <row r="514" ht="15.75" customHeight="1">
      <c r="G514" s="339"/>
      <c r="H514" s="339"/>
      <c r="J514" s="340"/>
      <c r="M514" s="19"/>
      <c r="N514" s="280"/>
    </row>
    <row r="515" ht="15.75" customHeight="1">
      <c r="G515" s="339"/>
      <c r="H515" s="339"/>
      <c r="J515" s="340"/>
      <c r="M515" s="19"/>
      <c r="N515" s="280"/>
    </row>
    <row r="516" ht="15.75" customHeight="1">
      <c r="G516" s="339"/>
      <c r="H516" s="339"/>
      <c r="J516" s="340"/>
      <c r="M516" s="19"/>
      <c r="N516" s="280"/>
    </row>
    <row r="517" ht="15.75" customHeight="1">
      <c r="G517" s="339"/>
      <c r="H517" s="339"/>
      <c r="J517" s="340"/>
      <c r="M517" s="19"/>
      <c r="N517" s="280"/>
    </row>
    <row r="518" ht="15.75" customHeight="1">
      <c r="G518" s="339"/>
      <c r="H518" s="339"/>
      <c r="J518" s="340"/>
      <c r="M518" s="19"/>
      <c r="N518" s="280"/>
    </row>
    <row r="519" ht="15.75" customHeight="1">
      <c r="G519" s="339"/>
      <c r="H519" s="339"/>
      <c r="J519" s="340"/>
      <c r="M519" s="19"/>
      <c r="N519" s="280"/>
    </row>
    <row r="520" ht="15.75" customHeight="1">
      <c r="G520" s="339"/>
      <c r="H520" s="339"/>
      <c r="J520" s="340"/>
      <c r="M520" s="19"/>
      <c r="N520" s="280"/>
    </row>
    <row r="521" ht="15.75" customHeight="1">
      <c r="G521" s="339"/>
      <c r="H521" s="339"/>
      <c r="J521" s="340"/>
      <c r="M521" s="19"/>
      <c r="N521" s="280"/>
    </row>
    <row r="522" ht="15.75" customHeight="1">
      <c r="G522" s="339"/>
      <c r="H522" s="339"/>
      <c r="J522" s="340"/>
      <c r="M522" s="19"/>
      <c r="N522" s="280"/>
    </row>
    <row r="523" ht="15.75" customHeight="1">
      <c r="G523" s="339"/>
      <c r="H523" s="339"/>
      <c r="J523" s="340"/>
      <c r="M523" s="19"/>
      <c r="N523" s="280"/>
    </row>
    <row r="524" ht="15.75" customHeight="1">
      <c r="G524" s="339"/>
      <c r="H524" s="339"/>
      <c r="J524" s="340"/>
      <c r="M524" s="19"/>
      <c r="N524" s="280"/>
    </row>
    <row r="525" ht="15.75" customHeight="1">
      <c r="G525" s="339"/>
      <c r="H525" s="339"/>
      <c r="J525" s="340"/>
      <c r="M525" s="19"/>
      <c r="N525" s="280"/>
    </row>
    <row r="526" ht="15.75" customHeight="1">
      <c r="G526" s="339"/>
      <c r="H526" s="339"/>
      <c r="J526" s="340"/>
      <c r="M526" s="19"/>
      <c r="N526" s="280"/>
    </row>
    <row r="527" ht="15.75" customHeight="1">
      <c r="G527" s="339"/>
      <c r="H527" s="339"/>
      <c r="J527" s="340"/>
      <c r="M527" s="19"/>
      <c r="N527" s="280"/>
    </row>
    <row r="528" ht="15.75" customHeight="1">
      <c r="G528" s="339"/>
      <c r="H528" s="339"/>
      <c r="J528" s="340"/>
      <c r="M528" s="19"/>
      <c r="N528" s="280"/>
    </row>
    <row r="529" ht="15.75" customHeight="1">
      <c r="G529" s="339"/>
      <c r="H529" s="339"/>
      <c r="J529" s="340"/>
      <c r="M529" s="19"/>
      <c r="N529" s="280"/>
    </row>
    <row r="530" ht="15.75" customHeight="1">
      <c r="G530" s="339"/>
      <c r="H530" s="339"/>
      <c r="J530" s="340"/>
      <c r="M530" s="19"/>
      <c r="N530" s="280"/>
    </row>
    <row r="531" ht="15.75" customHeight="1">
      <c r="G531" s="339"/>
      <c r="H531" s="339"/>
      <c r="J531" s="340"/>
      <c r="M531" s="19"/>
      <c r="N531" s="280"/>
    </row>
    <row r="532" ht="15.75" customHeight="1">
      <c r="G532" s="339"/>
      <c r="H532" s="339"/>
      <c r="J532" s="340"/>
      <c r="M532" s="19"/>
      <c r="N532" s="280"/>
    </row>
    <row r="533" ht="15.75" customHeight="1">
      <c r="G533" s="339"/>
      <c r="H533" s="339"/>
      <c r="J533" s="340"/>
      <c r="M533" s="19"/>
      <c r="N533" s="280"/>
    </row>
    <row r="534" ht="15.75" customHeight="1">
      <c r="G534" s="339"/>
      <c r="H534" s="339"/>
      <c r="J534" s="340"/>
      <c r="M534" s="19"/>
      <c r="N534" s="280"/>
    </row>
    <row r="535" ht="15.75" customHeight="1">
      <c r="G535" s="339"/>
      <c r="H535" s="339"/>
      <c r="J535" s="340"/>
      <c r="M535" s="19"/>
      <c r="N535" s="280"/>
    </row>
    <row r="536" ht="15.75" customHeight="1">
      <c r="G536" s="339"/>
      <c r="H536" s="339"/>
      <c r="J536" s="340"/>
      <c r="M536" s="19"/>
      <c r="N536" s="280"/>
    </row>
    <row r="537" ht="15.75" customHeight="1">
      <c r="G537" s="339"/>
      <c r="H537" s="339"/>
      <c r="J537" s="340"/>
      <c r="M537" s="19"/>
      <c r="N537" s="280"/>
    </row>
    <row r="538" ht="15.75" customHeight="1">
      <c r="G538" s="339"/>
      <c r="H538" s="339"/>
      <c r="J538" s="340"/>
      <c r="M538" s="19"/>
      <c r="N538" s="280"/>
    </row>
    <row r="539" ht="15.75" customHeight="1">
      <c r="G539" s="339"/>
      <c r="H539" s="339"/>
      <c r="J539" s="340"/>
      <c r="M539" s="19"/>
      <c r="N539" s="280"/>
    </row>
    <row r="540" ht="15.75" customHeight="1">
      <c r="G540" s="339"/>
      <c r="H540" s="339"/>
      <c r="J540" s="340"/>
      <c r="M540" s="19"/>
      <c r="N540" s="280"/>
    </row>
    <row r="541" ht="15.75" customHeight="1">
      <c r="G541" s="339"/>
      <c r="H541" s="339"/>
      <c r="J541" s="340"/>
      <c r="M541" s="19"/>
      <c r="N541" s="280"/>
    </row>
    <row r="542" ht="15.75" customHeight="1">
      <c r="G542" s="339"/>
      <c r="H542" s="339"/>
      <c r="J542" s="340"/>
      <c r="M542" s="19"/>
      <c r="N542" s="280"/>
    </row>
    <row r="543" ht="15.75" customHeight="1">
      <c r="G543" s="339"/>
      <c r="H543" s="339"/>
      <c r="J543" s="340"/>
      <c r="M543" s="19"/>
      <c r="N543" s="280"/>
    </row>
    <row r="544" ht="15.75" customHeight="1">
      <c r="G544" s="339"/>
      <c r="H544" s="339"/>
      <c r="J544" s="340"/>
      <c r="M544" s="19"/>
      <c r="N544" s="280"/>
    </row>
    <row r="545" ht="15.75" customHeight="1">
      <c r="G545" s="339"/>
      <c r="H545" s="339"/>
      <c r="J545" s="340"/>
      <c r="M545" s="19"/>
      <c r="N545" s="280"/>
    </row>
    <row r="546" ht="15.75" customHeight="1">
      <c r="G546" s="339"/>
      <c r="H546" s="339"/>
      <c r="J546" s="340"/>
      <c r="M546" s="19"/>
      <c r="N546" s="280"/>
    </row>
    <row r="547" ht="15.75" customHeight="1">
      <c r="G547" s="339"/>
      <c r="H547" s="339"/>
      <c r="J547" s="340"/>
      <c r="M547" s="19"/>
      <c r="N547" s="280"/>
    </row>
    <row r="548" ht="15.75" customHeight="1">
      <c r="G548" s="339"/>
      <c r="H548" s="339"/>
      <c r="J548" s="340"/>
      <c r="M548" s="19"/>
      <c r="N548" s="280"/>
    </row>
    <row r="549" ht="15.75" customHeight="1">
      <c r="G549" s="339"/>
      <c r="H549" s="339"/>
      <c r="J549" s="340"/>
      <c r="M549" s="19"/>
      <c r="N549" s="280"/>
    </row>
    <row r="550" ht="15.75" customHeight="1">
      <c r="G550" s="339"/>
      <c r="H550" s="339"/>
      <c r="J550" s="340"/>
      <c r="M550" s="19"/>
      <c r="N550" s="280"/>
    </row>
    <row r="551" ht="15.75" customHeight="1">
      <c r="G551" s="339"/>
      <c r="H551" s="339"/>
      <c r="J551" s="340"/>
      <c r="M551" s="19"/>
      <c r="N551" s="280"/>
    </row>
    <row r="552" ht="15.75" customHeight="1">
      <c r="G552" s="339"/>
      <c r="H552" s="339"/>
      <c r="J552" s="340"/>
      <c r="M552" s="19"/>
      <c r="N552" s="280"/>
    </row>
    <row r="553" ht="15.75" customHeight="1">
      <c r="G553" s="339"/>
      <c r="H553" s="339"/>
      <c r="J553" s="340"/>
      <c r="M553" s="19"/>
      <c r="N553" s="280"/>
    </row>
    <row r="554" ht="15.75" customHeight="1">
      <c r="G554" s="339"/>
      <c r="H554" s="339"/>
      <c r="J554" s="340"/>
      <c r="M554" s="19"/>
      <c r="N554" s="280"/>
    </row>
    <row r="555" ht="15.75" customHeight="1">
      <c r="G555" s="339"/>
      <c r="H555" s="339"/>
      <c r="J555" s="340"/>
      <c r="M555" s="19"/>
      <c r="N555" s="280"/>
    </row>
    <row r="556" ht="15.75" customHeight="1">
      <c r="G556" s="339"/>
      <c r="H556" s="339"/>
      <c r="J556" s="340"/>
      <c r="M556" s="19"/>
      <c r="N556" s="280"/>
    </row>
    <row r="557" ht="15.75" customHeight="1">
      <c r="G557" s="339"/>
      <c r="H557" s="339"/>
      <c r="J557" s="340"/>
      <c r="M557" s="19"/>
      <c r="N557" s="280"/>
    </row>
    <row r="558" ht="15.75" customHeight="1">
      <c r="G558" s="339"/>
      <c r="H558" s="339"/>
      <c r="J558" s="340"/>
      <c r="M558" s="19"/>
      <c r="N558" s="280"/>
    </row>
    <row r="559" ht="15.75" customHeight="1">
      <c r="G559" s="339"/>
      <c r="H559" s="339"/>
      <c r="J559" s="340"/>
      <c r="M559" s="19"/>
      <c r="N559" s="280"/>
    </row>
    <row r="560" ht="15.75" customHeight="1">
      <c r="G560" s="339"/>
      <c r="H560" s="339"/>
      <c r="J560" s="340"/>
      <c r="M560" s="19"/>
      <c r="N560" s="280"/>
    </row>
    <row r="561" ht="15.75" customHeight="1">
      <c r="G561" s="339"/>
      <c r="H561" s="339"/>
      <c r="J561" s="340"/>
      <c r="M561" s="19"/>
      <c r="N561" s="280"/>
    </row>
    <row r="562" ht="15.75" customHeight="1">
      <c r="G562" s="339"/>
      <c r="H562" s="339"/>
      <c r="J562" s="340"/>
      <c r="M562" s="19"/>
      <c r="N562" s="280"/>
    </row>
    <row r="563" ht="15.75" customHeight="1">
      <c r="G563" s="339"/>
      <c r="H563" s="339"/>
      <c r="J563" s="340"/>
      <c r="M563" s="19"/>
      <c r="N563" s="280"/>
    </row>
    <row r="564" ht="15.75" customHeight="1">
      <c r="G564" s="339"/>
      <c r="H564" s="339"/>
      <c r="J564" s="340"/>
      <c r="M564" s="19"/>
      <c r="N564" s="280"/>
    </row>
    <row r="565" ht="15.75" customHeight="1">
      <c r="G565" s="339"/>
      <c r="H565" s="339"/>
      <c r="J565" s="340"/>
      <c r="M565" s="19"/>
      <c r="N565" s="280"/>
    </row>
    <row r="566" ht="15.75" customHeight="1">
      <c r="G566" s="339"/>
      <c r="H566" s="339"/>
      <c r="J566" s="340"/>
      <c r="M566" s="19"/>
      <c r="N566" s="280"/>
    </row>
    <row r="567" ht="15.75" customHeight="1">
      <c r="G567" s="339"/>
      <c r="H567" s="339"/>
      <c r="J567" s="340"/>
      <c r="M567" s="19"/>
      <c r="N567" s="280"/>
    </row>
    <row r="568" ht="15.75" customHeight="1">
      <c r="G568" s="339"/>
      <c r="H568" s="339"/>
      <c r="J568" s="340"/>
      <c r="M568" s="19"/>
      <c r="N568" s="280"/>
    </row>
    <row r="569" ht="15.75" customHeight="1">
      <c r="G569" s="339"/>
      <c r="H569" s="339"/>
      <c r="J569" s="340"/>
      <c r="M569" s="19"/>
      <c r="N569" s="280"/>
    </row>
    <row r="570" ht="15.75" customHeight="1">
      <c r="G570" s="339"/>
      <c r="H570" s="339"/>
      <c r="J570" s="340"/>
      <c r="M570" s="19"/>
      <c r="N570" s="280"/>
    </row>
    <row r="571" ht="15.75" customHeight="1">
      <c r="G571" s="339"/>
      <c r="H571" s="339"/>
      <c r="J571" s="340"/>
      <c r="M571" s="19"/>
      <c r="N571" s="280"/>
    </row>
    <row r="572" ht="15.75" customHeight="1">
      <c r="G572" s="339"/>
      <c r="H572" s="339"/>
      <c r="J572" s="340"/>
      <c r="M572" s="19"/>
      <c r="N572" s="280"/>
    </row>
    <row r="573" ht="15.75" customHeight="1">
      <c r="G573" s="339"/>
      <c r="H573" s="339"/>
      <c r="J573" s="340"/>
      <c r="M573" s="19"/>
      <c r="N573" s="280"/>
    </row>
    <row r="574" ht="15.75" customHeight="1">
      <c r="G574" s="339"/>
      <c r="H574" s="339"/>
      <c r="J574" s="340"/>
      <c r="M574" s="19"/>
      <c r="N574" s="280"/>
    </row>
    <row r="575" ht="15.75" customHeight="1">
      <c r="G575" s="339"/>
      <c r="H575" s="339"/>
      <c r="J575" s="340"/>
      <c r="M575" s="19"/>
      <c r="N575" s="280"/>
    </row>
    <row r="576" ht="15.75" customHeight="1">
      <c r="G576" s="339"/>
      <c r="H576" s="339"/>
      <c r="J576" s="340"/>
      <c r="M576" s="19"/>
      <c r="N576" s="280"/>
    </row>
    <row r="577" ht="15.75" customHeight="1">
      <c r="G577" s="339"/>
      <c r="H577" s="339"/>
      <c r="J577" s="340"/>
      <c r="M577" s="19"/>
      <c r="N577" s="280"/>
    </row>
    <row r="578" ht="15.75" customHeight="1">
      <c r="G578" s="339"/>
      <c r="H578" s="339"/>
      <c r="J578" s="340"/>
      <c r="M578" s="19"/>
      <c r="N578" s="280"/>
    </row>
    <row r="579" ht="15.75" customHeight="1">
      <c r="G579" s="339"/>
      <c r="H579" s="339"/>
      <c r="J579" s="340"/>
      <c r="M579" s="19"/>
      <c r="N579" s="280"/>
    </row>
    <row r="580" ht="15.75" customHeight="1">
      <c r="G580" s="339"/>
      <c r="H580" s="339"/>
      <c r="J580" s="340"/>
      <c r="M580" s="19"/>
      <c r="N580" s="280"/>
    </row>
    <row r="581" ht="15.75" customHeight="1">
      <c r="G581" s="339"/>
      <c r="H581" s="339"/>
      <c r="J581" s="340"/>
      <c r="M581" s="19"/>
      <c r="N581" s="280"/>
    </row>
    <row r="582" ht="15.75" customHeight="1">
      <c r="G582" s="339"/>
      <c r="H582" s="339"/>
      <c r="J582" s="340"/>
      <c r="M582" s="19"/>
      <c r="N582" s="280"/>
    </row>
    <row r="583" ht="15.75" customHeight="1">
      <c r="G583" s="339"/>
      <c r="H583" s="339"/>
      <c r="J583" s="340"/>
      <c r="M583" s="19"/>
      <c r="N583" s="280"/>
    </row>
    <row r="584" ht="15.75" customHeight="1">
      <c r="G584" s="339"/>
      <c r="H584" s="339"/>
      <c r="J584" s="340"/>
      <c r="M584" s="19"/>
      <c r="N584" s="280"/>
    </row>
    <row r="585" ht="15.75" customHeight="1">
      <c r="G585" s="339"/>
      <c r="H585" s="339"/>
      <c r="J585" s="340"/>
      <c r="M585" s="19"/>
      <c r="N585" s="280"/>
    </row>
    <row r="586" ht="15.75" customHeight="1">
      <c r="G586" s="339"/>
      <c r="H586" s="339"/>
      <c r="J586" s="340"/>
      <c r="M586" s="19"/>
      <c r="N586" s="280"/>
    </row>
    <row r="587" ht="15.75" customHeight="1">
      <c r="G587" s="339"/>
      <c r="H587" s="339"/>
      <c r="J587" s="340"/>
      <c r="M587" s="19"/>
      <c r="N587" s="280"/>
    </row>
    <row r="588" ht="15.75" customHeight="1">
      <c r="G588" s="339"/>
      <c r="H588" s="339"/>
      <c r="J588" s="340"/>
      <c r="M588" s="19"/>
      <c r="N588" s="280"/>
    </row>
    <row r="589" ht="15.75" customHeight="1">
      <c r="G589" s="339"/>
      <c r="H589" s="339"/>
      <c r="J589" s="340"/>
      <c r="M589" s="19"/>
      <c r="N589" s="280"/>
    </row>
    <row r="590" ht="15.75" customHeight="1">
      <c r="G590" s="339"/>
      <c r="H590" s="339"/>
      <c r="J590" s="340"/>
      <c r="M590" s="19"/>
      <c r="N590" s="280"/>
    </row>
    <row r="591" ht="15.75" customHeight="1">
      <c r="G591" s="339"/>
      <c r="H591" s="339"/>
      <c r="J591" s="340"/>
      <c r="M591" s="19"/>
      <c r="N591" s="280"/>
    </row>
    <row r="592" ht="15.75" customHeight="1">
      <c r="G592" s="339"/>
      <c r="H592" s="339"/>
      <c r="J592" s="340"/>
      <c r="M592" s="19"/>
      <c r="N592" s="280"/>
    </row>
    <row r="593" ht="15.75" customHeight="1">
      <c r="G593" s="339"/>
      <c r="H593" s="339"/>
      <c r="J593" s="340"/>
      <c r="M593" s="19"/>
      <c r="N593" s="280"/>
    </row>
    <row r="594" ht="15.75" customHeight="1">
      <c r="G594" s="339"/>
      <c r="H594" s="339"/>
      <c r="J594" s="340"/>
      <c r="M594" s="19"/>
      <c r="N594" s="280"/>
    </row>
    <row r="595" ht="15.75" customHeight="1">
      <c r="G595" s="339"/>
      <c r="H595" s="339"/>
      <c r="J595" s="340"/>
      <c r="M595" s="19"/>
      <c r="N595" s="280"/>
    </row>
    <row r="596" ht="15.75" customHeight="1">
      <c r="G596" s="339"/>
      <c r="H596" s="339"/>
      <c r="J596" s="340"/>
      <c r="M596" s="19"/>
      <c r="N596" s="280"/>
    </row>
    <row r="597" ht="15.75" customHeight="1">
      <c r="G597" s="339"/>
      <c r="H597" s="339"/>
      <c r="J597" s="340"/>
      <c r="M597" s="19"/>
      <c r="N597" s="280"/>
    </row>
    <row r="598" ht="15.75" customHeight="1">
      <c r="G598" s="339"/>
      <c r="H598" s="339"/>
      <c r="J598" s="340"/>
      <c r="M598" s="19"/>
      <c r="N598" s="280"/>
    </row>
    <row r="599" ht="15.75" customHeight="1">
      <c r="G599" s="339"/>
      <c r="H599" s="339"/>
      <c r="J599" s="340"/>
      <c r="M599" s="19"/>
      <c r="N599" s="280"/>
    </row>
    <row r="600" ht="15.75" customHeight="1">
      <c r="G600" s="339"/>
      <c r="H600" s="339"/>
      <c r="J600" s="340"/>
      <c r="M600" s="19"/>
      <c r="N600" s="280"/>
    </row>
    <row r="601" ht="15.75" customHeight="1">
      <c r="G601" s="339"/>
      <c r="H601" s="339"/>
      <c r="J601" s="340"/>
      <c r="M601" s="19"/>
      <c r="N601" s="280"/>
    </row>
    <row r="602" ht="15.75" customHeight="1">
      <c r="G602" s="339"/>
      <c r="H602" s="339"/>
      <c r="J602" s="340"/>
      <c r="M602" s="19"/>
      <c r="N602" s="280"/>
    </row>
    <row r="603" ht="15.75" customHeight="1">
      <c r="G603" s="339"/>
      <c r="H603" s="339"/>
      <c r="J603" s="340"/>
      <c r="M603" s="19"/>
      <c r="N603" s="280"/>
    </row>
    <row r="604" ht="15.75" customHeight="1">
      <c r="G604" s="339"/>
      <c r="H604" s="339"/>
      <c r="J604" s="340"/>
      <c r="M604" s="19"/>
      <c r="N604" s="280"/>
    </row>
    <row r="605" ht="15.75" customHeight="1">
      <c r="G605" s="339"/>
      <c r="H605" s="339"/>
      <c r="J605" s="340"/>
      <c r="M605" s="19"/>
      <c r="N605" s="280"/>
    </row>
    <row r="606" ht="15.75" customHeight="1">
      <c r="G606" s="339"/>
      <c r="H606" s="339"/>
      <c r="J606" s="340"/>
      <c r="M606" s="19"/>
      <c r="N606" s="280"/>
    </row>
    <row r="607" ht="15.75" customHeight="1">
      <c r="G607" s="339"/>
      <c r="H607" s="339"/>
      <c r="J607" s="340"/>
      <c r="M607" s="19"/>
      <c r="N607" s="280"/>
    </row>
    <row r="608" ht="15.75" customHeight="1">
      <c r="G608" s="339"/>
      <c r="H608" s="339"/>
      <c r="J608" s="340"/>
      <c r="M608" s="19"/>
      <c r="N608" s="280"/>
    </row>
    <row r="609" ht="15.75" customHeight="1">
      <c r="G609" s="339"/>
      <c r="H609" s="339"/>
      <c r="J609" s="340"/>
      <c r="M609" s="19"/>
      <c r="N609" s="280"/>
    </row>
    <row r="610" ht="15.75" customHeight="1">
      <c r="G610" s="339"/>
      <c r="H610" s="339"/>
      <c r="J610" s="340"/>
      <c r="M610" s="19"/>
      <c r="N610" s="280"/>
    </row>
    <row r="611" ht="15.75" customHeight="1">
      <c r="G611" s="339"/>
      <c r="H611" s="339"/>
      <c r="J611" s="340"/>
      <c r="M611" s="19"/>
      <c r="N611" s="280"/>
    </row>
    <row r="612" ht="15.75" customHeight="1">
      <c r="G612" s="339"/>
      <c r="H612" s="339"/>
      <c r="J612" s="340"/>
      <c r="M612" s="19"/>
      <c r="N612" s="280"/>
    </row>
    <row r="613" ht="15.75" customHeight="1">
      <c r="G613" s="339"/>
      <c r="H613" s="339"/>
      <c r="J613" s="340"/>
      <c r="M613" s="19"/>
      <c r="N613" s="280"/>
    </row>
    <row r="614" ht="15.75" customHeight="1">
      <c r="G614" s="339"/>
      <c r="H614" s="339"/>
      <c r="J614" s="340"/>
      <c r="M614" s="19"/>
      <c r="N614" s="280"/>
    </row>
    <row r="615" ht="15.75" customHeight="1">
      <c r="G615" s="339"/>
      <c r="H615" s="339"/>
      <c r="J615" s="340"/>
      <c r="M615" s="19"/>
      <c r="N615" s="280"/>
    </row>
    <row r="616" ht="15.75" customHeight="1">
      <c r="G616" s="339"/>
      <c r="H616" s="339"/>
      <c r="J616" s="340"/>
      <c r="M616" s="19"/>
      <c r="N616" s="280"/>
    </row>
    <row r="617" ht="15.75" customHeight="1">
      <c r="G617" s="339"/>
      <c r="H617" s="339"/>
      <c r="J617" s="340"/>
      <c r="M617" s="19"/>
      <c r="N617" s="280"/>
    </row>
    <row r="618" ht="15.75" customHeight="1">
      <c r="G618" s="339"/>
      <c r="H618" s="339"/>
      <c r="J618" s="340"/>
      <c r="M618" s="19"/>
      <c r="N618" s="280"/>
    </row>
    <row r="619" ht="15.75" customHeight="1">
      <c r="G619" s="339"/>
      <c r="H619" s="339"/>
      <c r="J619" s="340"/>
      <c r="M619" s="19"/>
      <c r="N619" s="280"/>
    </row>
    <row r="620" ht="15.75" customHeight="1">
      <c r="G620" s="339"/>
      <c r="H620" s="339"/>
      <c r="J620" s="340"/>
      <c r="M620" s="19"/>
      <c r="N620" s="280"/>
    </row>
    <row r="621" ht="15.75" customHeight="1">
      <c r="G621" s="339"/>
      <c r="H621" s="339"/>
      <c r="J621" s="340"/>
      <c r="M621" s="19"/>
      <c r="N621" s="280"/>
    </row>
    <row r="622" ht="15.75" customHeight="1">
      <c r="G622" s="339"/>
      <c r="H622" s="339"/>
      <c r="J622" s="340"/>
      <c r="M622" s="19"/>
      <c r="N622" s="280"/>
    </row>
    <row r="623" ht="15.75" customHeight="1">
      <c r="G623" s="339"/>
      <c r="H623" s="339"/>
      <c r="J623" s="340"/>
      <c r="M623" s="19"/>
      <c r="N623" s="280"/>
    </row>
    <row r="624" ht="15.75" customHeight="1">
      <c r="G624" s="339"/>
      <c r="H624" s="339"/>
      <c r="J624" s="340"/>
      <c r="M624" s="19"/>
      <c r="N624" s="280"/>
    </row>
    <row r="625" ht="15.75" customHeight="1">
      <c r="G625" s="339"/>
      <c r="H625" s="339"/>
      <c r="J625" s="340"/>
      <c r="M625" s="19"/>
      <c r="N625" s="280"/>
    </row>
    <row r="626" ht="15.75" customHeight="1">
      <c r="G626" s="339"/>
      <c r="H626" s="339"/>
      <c r="J626" s="340"/>
      <c r="M626" s="19"/>
      <c r="N626" s="280"/>
    </row>
    <row r="627" ht="15.75" customHeight="1">
      <c r="G627" s="339"/>
      <c r="H627" s="339"/>
      <c r="J627" s="340"/>
      <c r="M627" s="19"/>
      <c r="N627" s="280"/>
    </row>
    <row r="628" ht="15.75" customHeight="1">
      <c r="G628" s="339"/>
      <c r="H628" s="339"/>
      <c r="J628" s="340"/>
      <c r="M628" s="19"/>
      <c r="N628" s="280"/>
    </row>
    <row r="629" ht="15.75" customHeight="1">
      <c r="G629" s="339"/>
      <c r="H629" s="339"/>
      <c r="J629" s="340"/>
      <c r="M629" s="19"/>
      <c r="N629" s="280"/>
    </row>
    <row r="630" ht="15.75" customHeight="1">
      <c r="G630" s="339"/>
      <c r="H630" s="339"/>
      <c r="J630" s="340"/>
      <c r="M630" s="19"/>
      <c r="N630" s="280"/>
    </row>
    <row r="631" ht="15.75" customHeight="1">
      <c r="G631" s="339"/>
      <c r="H631" s="339"/>
      <c r="J631" s="340"/>
      <c r="M631" s="19"/>
      <c r="N631" s="280"/>
    </row>
    <row r="632" ht="15.75" customHeight="1">
      <c r="G632" s="339"/>
      <c r="H632" s="339"/>
      <c r="J632" s="340"/>
      <c r="M632" s="19"/>
      <c r="N632" s="280"/>
    </row>
    <row r="633" ht="15.75" customHeight="1">
      <c r="G633" s="339"/>
      <c r="H633" s="339"/>
      <c r="J633" s="340"/>
      <c r="M633" s="19"/>
      <c r="N633" s="280"/>
    </row>
    <row r="634" ht="15.75" customHeight="1">
      <c r="G634" s="339"/>
      <c r="H634" s="339"/>
      <c r="J634" s="340"/>
      <c r="M634" s="19"/>
      <c r="N634" s="280"/>
    </row>
    <row r="635" ht="15.75" customHeight="1">
      <c r="G635" s="339"/>
      <c r="H635" s="339"/>
      <c r="J635" s="340"/>
      <c r="M635" s="19"/>
      <c r="N635" s="280"/>
    </row>
    <row r="636" ht="15.75" customHeight="1">
      <c r="G636" s="339"/>
      <c r="H636" s="339"/>
      <c r="J636" s="340"/>
      <c r="M636" s="19"/>
      <c r="N636" s="280"/>
    </row>
    <row r="637" ht="15.75" customHeight="1">
      <c r="G637" s="339"/>
      <c r="H637" s="339"/>
      <c r="J637" s="340"/>
      <c r="M637" s="19"/>
      <c r="N637" s="280"/>
    </row>
    <row r="638" ht="15.75" customHeight="1">
      <c r="G638" s="339"/>
      <c r="H638" s="339"/>
      <c r="J638" s="340"/>
      <c r="M638" s="19"/>
      <c r="N638" s="280"/>
    </row>
    <row r="639" ht="15.75" customHeight="1">
      <c r="G639" s="339"/>
      <c r="H639" s="339"/>
      <c r="J639" s="340"/>
      <c r="M639" s="19"/>
      <c r="N639" s="280"/>
    </row>
    <row r="640" ht="15.75" customHeight="1">
      <c r="G640" s="339"/>
      <c r="H640" s="339"/>
      <c r="J640" s="340"/>
      <c r="M640" s="19"/>
      <c r="N640" s="280"/>
    </row>
    <row r="641" ht="15.75" customHeight="1">
      <c r="G641" s="339"/>
      <c r="H641" s="339"/>
      <c r="J641" s="340"/>
      <c r="M641" s="19"/>
      <c r="N641" s="280"/>
    </row>
    <row r="642" ht="15.75" customHeight="1">
      <c r="G642" s="339"/>
      <c r="H642" s="339"/>
      <c r="J642" s="340"/>
      <c r="M642" s="19"/>
      <c r="N642" s="280"/>
    </row>
    <row r="643" ht="15.75" customHeight="1">
      <c r="G643" s="339"/>
      <c r="H643" s="339"/>
      <c r="J643" s="340"/>
      <c r="M643" s="19"/>
      <c r="N643" s="280"/>
    </row>
    <row r="644" ht="15.75" customHeight="1">
      <c r="G644" s="339"/>
      <c r="H644" s="339"/>
      <c r="J644" s="340"/>
      <c r="M644" s="19"/>
      <c r="N644" s="280"/>
    </row>
    <row r="645" ht="15.75" customHeight="1">
      <c r="G645" s="339"/>
      <c r="H645" s="339"/>
      <c r="J645" s="340"/>
      <c r="M645" s="19"/>
      <c r="N645" s="280"/>
    </row>
    <row r="646" ht="15.75" customHeight="1">
      <c r="G646" s="339"/>
      <c r="H646" s="339"/>
      <c r="J646" s="340"/>
      <c r="M646" s="19"/>
      <c r="N646" s="280"/>
    </row>
    <row r="647" ht="15.75" customHeight="1">
      <c r="G647" s="339"/>
      <c r="H647" s="339"/>
      <c r="J647" s="340"/>
      <c r="M647" s="19"/>
      <c r="N647" s="280"/>
    </row>
    <row r="648" ht="15.75" customHeight="1">
      <c r="G648" s="339"/>
      <c r="H648" s="339"/>
      <c r="J648" s="340"/>
      <c r="M648" s="19"/>
      <c r="N648" s="280"/>
    </row>
    <row r="649" ht="15.75" customHeight="1">
      <c r="G649" s="339"/>
      <c r="H649" s="339"/>
      <c r="J649" s="340"/>
      <c r="M649" s="19"/>
      <c r="N649" s="280"/>
    </row>
    <row r="650" ht="15.75" customHeight="1">
      <c r="G650" s="339"/>
      <c r="H650" s="339"/>
      <c r="J650" s="340"/>
      <c r="M650" s="19"/>
      <c r="N650" s="280"/>
    </row>
    <row r="651" ht="15.75" customHeight="1">
      <c r="G651" s="339"/>
      <c r="H651" s="339"/>
      <c r="J651" s="340"/>
      <c r="M651" s="19"/>
      <c r="N651" s="280"/>
    </row>
    <row r="652" ht="15.75" customHeight="1">
      <c r="G652" s="339"/>
      <c r="H652" s="339"/>
      <c r="J652" s="340"/>
      <c r="M652" s="19"/>
      <c r="N652" s="280"/>
    </row>
    <row r="653" ht="15.75" customHeight="1">
      <c r="G653" s="339"/>
      <c r="H653" s="339"/>
      <c r="J653" s="340"/>
      <c r="M653" s="19"/>
      <c r="N653" s="280"/>
    </row>
    <row r="654" ht="15.75" customHeight="1">
      <c r="G654" s="339"/>
      <c r="H654" s="339"/>
      <c r="J654" s="340"/>
      <c r="M654" s="19"/>
      <c r="N654" s="280"/>
    </row>
    <row r="655" ht="15.75" customHeight="1">
      <c r="G655" s="339"/>
      <c r="H655" s="339"/>
      <c r="J655" s="340"/>
      <c r="M655" s="19"/>
      <c r="N655" s="280"/>
    </row>
    <row r="656" ht="15.75" customHeight="1">
      <c r="G656" s="339"/>
      <c r="H656" s="339"/>
      <c r="J656" s="340"/>
      <c r="M656" s="19"/>
      <c r="N656" s="280"/>
    </row>
    <row r="657" ht="15.75" customHeight="1">
      <c r="G657" s="339"/>
      <c r="H657" s="339"/>
      <c r="J657" s="340"/>
      <c r="M657" s="19"/>
      <c r="N657" s="280"/>
    </row>
    <row r="658" ht="15.75" customHeight="1">
      <c r="G658" s="339"/>
      <c r="H658" s="339"/>
      <c r="J658" s="340"/>
      <c r="M658" s="19"/>
      <c r="N658" s="280"/>
    </row>
    <row r="659" ht="15.75" customHeight="1">
      <c r="G659" s="339"/>
      <c r="H659" s="339"/>
      <c r="J659" s="340"/>
      <c r="M659" s="19"/>
      <c r="N659" s="280"/>
    </row>
    <row r="660" ht="15.75" customHeight="1">
      <c r="G660" s="339"/>
      <c r="H660" s="339"/>
      <c r="J660" s="340"/>
      <c r="M660" s="19"/>
      <c r="N660" s="280"/>
    </row>
    <row r="661" ht="15.75" customHeight="1">
      <c r="G661" s="339"/>
      <c r="H661" s="339"/>
      <c r="J661" s="340"/>
      <c r="M661" s="19"/>
      <c r="N661" s="280"/>
    </row>
    <row r="662" ht="15.75" customHeight="1">
      <c r="G662" s="339"/>
      <c r="H662" s="339"/>
      <c r="J662" s="340"/>
      <c r="M662" s="19"/>
      <c r="N662" s="280"/>
    </row>
    <row r="663" ht="15.75" customHeight="1">
      <c r="G663" s="339"/>
      <c r="H663" s="339"/>
      <c r="J663" s="340"/>
      <c r="M663" s="19"/>
      <c r="N663" s="280"/>
    </row>
    <row r="664" ht="15.75" customHeight="1">
      <c r="G664" s="339"/>
      <c r="H664" s="339"/>
      <c r="J664" s="340"/>
      <c r="M664" s="19"/>
      <c r="N664" s="280"/>
    </row>
    <row r="665" ht="15.75" customHeight="1">
      <c r="G665" s="339"/>
      <c r="H665" s="339"/>
      <c r="J665" s="340"/>
      <c r="M665" s="19"/>
      <c r="N665" s="280"/>
    </row>
    <row r="666" ht="15.75" customHeight="1">
      <c r="G666" s="339"/>
      <c r="H666" s="339"/>
      <c r="J666" s="340"/>
      <c r="M666" s="19"/>
      <c r="N666" s="280"/>
    </row>
    <row r="667" ht="15.75" customHeight="1">
      <c r="G667" s="339"/>
      <c r="H667" s="339"/>
      <c r="J667" s="340"/>
      <c r="M667" s="19"/>
      <c r="N667" s="280"/>
    </row>
    <row r="668" ht="15.75" customHeight="1">
      <c r="G668" s="339"/>
      <c r="H668" s="339"/>
      <c r="J668" s="340"/>
      <c r="M668" s="19"/>
      <c r="N668" s="280"/>
    </row>
    <row r="669" ht="15.75" customHeight="1">
      <c r="G669" s="339"/>
      <c r="H669" s="339"/>
      <c r="J669" s="340"/>
      <c r="M669" s="19"/>
      <c r="N669" s="280"/>
    </row>
    <row r="670" ht="15.75" customHeight="1">
      <c r="G670" s="339"/>
      <c r="H670" s="339"/>
      <c r="J670" s="340"/>
      <c r="M670" s="19"/>
      <c r="N670" s="280"/>
    </row>
    <row r="671" ht="15.75" customHeight="1">
      <c r="G671" s="339"/>
      <c r="H671" s="339"/>
      <c r="J671" s="340"/>
      <c r="M671" s="19"/>
      <c r="N671" s="280"/>
    </row>
    <row r="672" ht="15.75" customHeight="1">
      <c r="G672" s="339"/>
      <c r="H672" s="339"/>
      <c r="J672" s="340"/>
      <c r="M672" s="19"/>
      <c r="N672" s="280"/>
    </row>
    <row r="673" ht="15.75" customHeight="1">
      <c r="G673" s="339"/>
      <c r="H673" s="339"/>
      <c r="J673" s="340"/>
      <c r="M673" s="19"/>
      <c r="N673" s="280"/>
    </row>
    <row r="674" ht="15.75" customHeight="1">
      <c r="G674" s="339"/>
      <c r="H674" s="339"/>
      <c r="J674" s="340"/>
      <c r="M674" s="19"/>
      <c r="N674" s="280"/>
    </row>
    <row r="675" ht="15.75" customHeight="1">
      <c r="G675" s="339"/>
      <c r="H675" s="339"/>
      <c r="J675" s="340"/>
      <c r="M675" s="19"/>
      <c r="N675" s="280"/>
    </row>
    <row r="676" ht="15.75" customHeight="1">
      <c r="G676" s="339"/>
      <c r="H676" s="339"/>
      <c r="J676" s="340"/>
      <c r="M676" s="19"/>
      <c r="N676" s="280"/>
    </row>
    <row r="677" ht="15.75" customHeight="1">
      <c r="G677" s="339"/>
      <c r="H677" s="339"/>
      <c r="J677" s="340"/>
      <c r="M677" s="19"/>
      <c r="N677" s="280"/>
    </row>
    <row r="678" ht="15.75" customHeight="1">
      <c r="G678" s="339"/>
      <c r="H678" s="339"/>
      <c r="J678" s="340"/>
      <c r="M678" s="19"/>
      <c r="N678" s="280"/>
    </row>
    <row r="679" ht="15.75" customHeight="1">
      <c r="G679" s="339"/>
      <c r="H679" s="339"/>
      <c r="J679" s="340"/>
      <c r="M679" s="19"/>
      <c r="N679" s="280"/>
    </row>
    <row r="680" ht="15.75" customHeight="1">
      <c r="G680" s="339"/>
      <c r="H680" s="339"/>
      <c r="J680" s="340"/>
      <c r="M680" s="19"/>
      <c r="N680" s="280"/>
    </row>
    <row r="681" ht="15.75" customHeight="1">
      <c r="G681" s="339"/>
      <c r="H681" s="339"/>
      <c r="J681" s="340"/>
      <c r="M681" s="19"/>
      <c r="N681" s="280"/>
    </row>
    <row r="682" ht="15.75" customHeight="1">
      <c r="G682" s="339"/>
      <c r="H682" s="339"/>
      <c r="J682" s="340"/>
      <c r="M682" s="19"/>
      <c r="N682" s="280"/>
    </row>
    <row r="683" ht="15.75" customHeight="1">
      <c r="G683" s="339"/>
      <c r="H683" s="339"/>
      <c r="J683" s="340"/>
      <c r="M683" s="19"/>
      <c r="N683" s="280"/>
    </row>
    <row r="684" ht="15.75" customHeight="1">
      <c r="G684" s="339"/>
      <c r="H684" s="339"/>
      <c r="J684" s="340"/>
      <c r="M684" s="19"/>
      <c r="N684" s="280"/>
    </row>
    <row r="685" ht="15.75" customHeight="1">
      <c r="G685" s="339"/>
      <c r="H685" s="339"/>
      <c r="J685" s="340"/>
      <c r="M685" s="19"/>
      <c r="N685" s="280"/>
    </row>
    <row r="686" ht="15.75" customHeight="1">
      <c r="G686" s="339"/>
      <c r="H686" s="339"/>
      <c r="J686" s="340"/>
      <c r="M686" s="19"/>
      <c r="N686" s="280"/>
    </row>
    <row r="687" ht="15.75" customHeight="1">
      <c r="G687" s="339"/>
      <c r="H687" s="339"/>
      <c r="J687" s="340"/>
      <c r="M687" s="19"/>
      <c r="N687" s="280"/>
    </row>
    <row r="688" ht="15.75" customHeight="1">
      <c r="G688" s="339"/>
      <c r="H688" s="339"/>
      <c r="J688" s="340"/>
      <c r="M688" s="19"/>
      <c r="N688" s="280"/>
    </row>
    <row r="689" ht="15.75" customHeight="1">
      <c r="G689" s="339"/>
      <c r="H689" s="339"/>
      <c r="J689" s="340"/>
      <c r="M689" s="19"/>
      <c r="N689" s="280"/>
    </row>
    <row r="690" ht="15.75" customHeight="1">
      <c r="G690" s="339"/>
      <c r="H690" s="339"/>
      <c r="J690" s="340"/>
      <c r="M690" s="19"/>
      <c r="N690" s="280"/>
    </row>
    <row r="691" ht="15.75" customHeight="1">
      <c r="G691" s="339"/>
      <c r="H691" s="339"/>
      <c r="J691" s="340"/>
      <c r="M691" s="19"/>
      <c r="N691" s="280"/>
    </row>
    <row r="692" ht="15.75" customHeight="1">
      <c r="G692" s="339"/>
      <c r="H692" s="339"/>
      <c r="J692" s="340"/>
      <c r="M692" s="19"/>
      <c r="N692" s="280"/>
    </row>
    <row r="693" ht="15.75" customHeight="1">
      <c r="G693" s="339"/>
      <c r="H693" s="339"/>
      <c r="J693" s="340"/>
      <c r="M693" s="19"/>
      <c r="N693" s="280"/>
    </row>
    <row r="694" ht="15.75" customHeight="1">
      <c r="G694" s="339"/>
      <c r="H694" s="339"/>
      <c r="J694" s="340"/>
      <c r="M694" s="19"/>
      <c r="N694" s="280"/>
    </row>
    <row r="695" ht="15.75" customHeight="1">
      <c r="G695" s="339"/>
      <c r="H695" s="339"/>
      <c r="J695" s="340"/>
      <c r="M695" s="19"/>
      <c r="N695" s="280"/>
    </row>
    <row r="696" ht="15.75" customHeight="1">
      <c r="G696" s="339"/>
      <c r="H696" s="339"/>
      <c r="J696" s="340"/>
      <c r="M696" s="19"/>
      <c r="N696" s="280"/>
    </row>
    <row r="697" ht="15.75" customHeight="1">
      <c r="G697" s="339"/>
      <c r="H697" s="339"/>
      <c r="J697" s="340"/>
      <c r="M697" s="19"/>
      <c r="N697" s="280"/>
    </row>
    <row r="698" ht="15.75" customHeight="1">
      <c r="G698" s="339"/>
      <c r="H698" s="339"/>
      <c r="J698" s="340"/>
      <c r="M698" s="19"/>
      <c r="N698" s="280"/>
    </row>
    <row r="699" ht="15.75" customHeight="1">
      <c r="G699" s="339"/>
      <c r="H699" s="339"/>
      <c r="J699" s="340"/>
      <c r="M699" s="19"/>
      <c r="N699" s="280"/>
    </row>
    <row r="700" ht="15.75" customHeight="1">
      <c r="G700" s="339"/>
      <c r="H700" s="339"/>
      <c r="J700" s="340"/>
      <c r="M700" s="19"/>
      <c r="N700" s="280"/>
    </row>
    <row r="701" ht="15.75" customHeight="1">
      <c r="G701" s="339"/>
      <c r="H701" s="339"/>
      <c r="J701" s="340"/>
      <c r="M701" s="19"/>
      <c r="N701" s="280"/>
    </row>
    <row r="702" ht="15.75" customHeight="1">
      <c r="G702" s="339"/>
      <c r="H702" s="339"/>
      <c r="J702" s="340"/>
      <c r="M702" s="19"/>
      <c r="N702" s="280"/>
    </row>
    <row r="703" ht="15.75" customHeight="1">
      <c r="G703" s="339"/>
      <c r="H703" s="339"/>
      <c r="J703" s="340"/>
      <c r="M703" s="19"/>
      <c r="N703" s="280"/>
    </row>
    <row r="704" ht="15.75" customHeight="1">
      <c r="G704" s="339"/>
      <c r="H704" s="339"/>
      <c r="J704" s="340"/>
      <c r="M704" s="19"/>
      <c r="N704" s="280"/>
    </row>
    <row r="705" ht="15.75" customHeight="1">
      <c r="G705" s="339"/>
      <c r="H705" s="339"/>
      <c r="J705" s="340"/>
      <c r="M705" s="19"/>
      <c r="N705" s="280"/>
    </row>
    <row r="706" ht="15.75" customHeight="1">
      <c r="G706" s="339"/>
      <c r="H706" s="339"/>
      <c r="J706" s="340"/>
      <c r="M706" s="19"/>
      <c r="N706" s="280"/>
    </row>
    <row r="707" ht="15.75" customHeight="1">
      <c r="G707" s="339"/>
      <c r="H707" s="339"/>
      <c r="J707" s="340"/>
      <c r="M707" s="19"/>
      <c r="N707" s="280"/>
    </row>
    <row r="708" ht="15.75" customHeight="1">
      <c r="G708" s="339"/>
      <c r="H708" s="339"/>
      <c r="J708" s="340"/>
      <c r="M708" s="19"/>
      <c r="N708" s="280"/>
    </row>
    <row r="709" ht="15.75" customHeight="1">
      <c r="G709" s="339"/>
      <c r="H709" s="339"/>
      <c r="J709" s="340"/>
      <c r="M709" s="19"/>
      <c r="N709" s="280"/>
    </row>
    <row r="710" ht="15.75" customHeight="1">
      <c r="G710" s="339"/>
      <c r="H710" s="339"/>
      <c r="J710" s="340"/>
      <c r="M710" s="19"/>
      <c r="N710" s="280"/>
    </row>
    <row r="711" ht="15.75" customHeight="1">
      <c r="G711" s="339"/>
      <c r="H711" s="339"/>
      <c r="J711" s="340"/>
      <c r="M711" s="19"/>
      <c r="N711" s="280"/>
    </row>
    <row r="712" ht="15.75" customHeight="1">
      <c r="G712" s="339"/>
      <c r="H712" s="339"/>
      <c r="J712" s="340"/>
      <c r="M712" s="19"/>
      <c r="N712" s="280"/>
    </row>
    <row r="713" ht="15.75" customHeight="1">
      <c r="G713" s="339"/>
      <c r="H713" s="339"/>
      <c r="J713" s="340"/>
      <c r="M713" s="19"/>
      <c r="N713" s="280"/>
    </row>
    <row r="714" ht="15.75" customHeight="1">
      <c r="G714" s="339"/>
      <c r="H714" s="339"/>
      <c r="J714" s="340"/>
      <c r="M714" s="19"/>
      <c r="N714" s="280"/>
    </row>
    <row r="715" ht="15.75" customHeight="1">
      <c r="G715" s="339"/>
      <c r="H715" s="339"/>
      <c r="J715" s="340"/>
      <c r="M715" s="19"/>
      <c r="N715" s="280"/>
    </row>
    <row r="716" ht="15.75" customHeight="1">
      <c r="G716" s="339"/>
      <c r="H716" s="339"/>
      <c r="J716" s="340"/>
      <c r="M716" s="19"/>
      <c r="N716" s="280"/>
    </row>
    <row r="717" ht="15.75" customHeight="1">
      <c r="G717" s="339"/>
      <c r="H717" s="339"/>
      <c r="J717" s="340"/>
      <c r="M717" s="19"/>
      <c r="N717" s="280"/>
    </row>
    <row r="718" ht="15.75" customHeight="1">
      <c r="G718" s="339"/>
      <c r="H718" s="339"/>
      <c r="J718" s="340"/>
      <c r="M718" s="19"/>
      <c r="N718" s="280"/>
    </row>
    <row r="719" ht="15.75" customHeight="1">
      <c r="G719" s="339"/>
      <c r="H719" s="339"/>
      <c r="J719" s="340"/>
      <c r="M719" s="19"/>
      <c r="N719" s="280"/>
    </row>
    <row r="720" ht="15.75" customHeight="1">
      <c r="G720" s="339"/>
      <c r="H720" s="339"/>
      <c r="J720" s="340"/>
      <c r="M720" s="19"/>
      <c r="N720" s="280"/>
    </row>
    <row r="721" ht="15.75" customHeight="1">
      <c r="G721" s="339"/>
      <c r="H721" s="339"/>
      <c r="J721" s="340"/>
      <c r="M721" s="19"/>
      <c r="N721" s="280"/>
    </row>
    <row r="722" ht="15.75" customHeight="1">
      <c r="G722" s="339"/>
      <c r="H722" s="339"/>
      <c r="J722" s="340"/>
      <c r="M722" s="19"/>
      <c r="N722" s="280"/>
    </row>
    <row r="723" ht="15.75" customHeight="1">
      <c r="G723" s="339"/>
      <c r="H723" s="339"/>
      <c r="J723" s="340"/>
      <c r="M723" s="19"/>
      <c r="N723" s="280"/>
    </row>
    <row r="724" ht="15.75" customHeight="1">
      <c r="G724" s="339"/>
      <c r="H724" s="339"/>
      <c r="J724" s="340"/>
      <c r="M724" s="19"/>
      <c r="N724" s="280"/>
    </row>
    <row r="725" ht="15.75" customHeight="1">
      <c r="G725" s="339"/>
      <c r="H725" s="339"/>
      <c r="J725" s="340"/>
      <c r="M725" s="19"/>
      <c r="N725" s="280"/>
    </row>
    <row r="726" ht="15.75" customHeight="1">
      <c r="G726" s="339"/>
      <c r="H726" s="339"/>
      <c r="J726" s="340"/>
      <c r="M726" s="19"/>
      <c r="N726" s="280"/>
    </row>
    <row r="727" ht="15.75" customHeight="1">
      <c r="G727" s="339"/>
      <c r="H727" s="339"/>
      <c r="J727" s="340"/>
      <c r="M727" s="19"/>
      <c r="N727" s="280"/>
    </row>
    <row r="728" ht="15.75" customHeight="1">
      <c r="G728" s="339"/>
      <c r="H728" s="339"/>
      <c r="J728" s="340"/>
      <c r="M728" s="19"/>
      <c r="N728" s="280"/>
    </row>
    <row r="729" ht="15.75" customHeight="1">
      <c r="G729" s="339"/>
      <c r="H729" s="339"/>
      <c r="J729" s="340"/>
      <c r="M729" s="19"/>
      <c r="N729" s="280"/>
    </row>
    <row r="730" ht="15.75" customHeight="1">
      <c r="G730" s="339"/>
      <c r="H730" s="339"/>
      <c r="J730" s="340"/>
      <c r="M730" s="19"/>
      <c r="N730" s="280"/>
    </row>
    <row r="731" ht="15.75" customHeight="1">
      <c r="G731" s="339"/>
      <c r="H731" s="339"/>
      <c r="J731" s="340"/>
      <c r="M731" s="19"/>
      <c r="N731" s="280"/>
    </row>
    <row r="732" ht="15.75" customHeight="1">
      <c r="G732" s="339"/>
      <c r="H732" s="339"/>
      <c r="J732" s="340"/>
      <c r="M732" s="19"/>
      <c r="N732" s="280"/>
    </row>
    <row r="733" ht="15.75" customHeight="1">
      <c r="G733" s="339"/>
      <c r="H733" s="339"/>
      <c r="J733" s="340"/>
      <c r="M733" s="19"/>
      <c r="N733" s="280"/>
    </row>
    <row r="734" ht="15.75" customHeight="1">
      <c r="G734" s="339"/>
      <c r="H734" s="339"/>
      <c r="J734" s="340"/>
      <c r="M734" s="19"/>
      <c r="N734" s="280"/>
    </row>
    <row r="735" ht="15.75" customHeight="1">
      <c r="G735" s="339"/>
      <c r="H735" s="339"/>
      <c r="J735" s="340"/>
      <c r="M735" s="19"/>
      <c r="N735" s="280"/>
    </row>
    <row r="736" ht="15.75" customHeight="1">
      <c r="G736" s="339"/>
      <c r="H736" s="339"/>
      <c r="J736" s="340"/>
      <c r="M736" s="19"/>
      <c r="N736" s="280"/>
    </row>
    <row r="737" ht="15.75" customHeight="1">
      <c r="G737" s="339"/>
      <c r="H737" s="339"/>
      <c r="J737" s="340"/>
      <c r="M737" s="19"/>
      <c r="N737" s="280"/>
    </row>
    <row r="738" ht="15.75" customHeight="1">
      <c r="G738" s="339"/>
      <c r="H738" s="339"/>
      <c r="J738" s="340"/>
      <c r="M738" s="19"/>
      <c r="N738" s="280"/>
    </row>
    <row r="739" ht="15.75" customHeight="1">
      <c r="G739" s="339"/>
      <c r="H739" s="339"/>
      <c r="J739" s="340"/>
      <c r="M739" s="19"/>
      <c r="N739" s="280"/>
    </row>
    <row r="740" ht="15.75" customHeight="1">
      <c r="G740" s="339"/>
      <c r="H740" s="339"/>
      <c r="J740" s="340"/>
      <c r="M740" s="19"/>
      <c r="N740" s="280"/>
    </row>
    <row r="741" ht="15.75" customHeight="1">
      <c r="G741" s="339"/>
      <c r="H741" s="339"/>
      <c r="J741" s="340"/>
      <c r="M741" s="19"/>
      <c r="N741" s="280"/>
    </row>
    <row r="742" ht="15.75" customHeight="1">
      <c r="G742" s="339"/>
      <c r="H742" s="339"/>
      <c r="J742" s="340"/>
      <c r="M742" s="19"/>
      <c r="N742" s="280"/>
    </row>
    <row r="743" ht="15.75" customHeight="1">
      <c r="G743" s="339"/>
      <c r="H743" s="339"/>
      <c r="J743" s="340"/>
      <c r="M743" s="19"/>
      <c r="N743" s="280"/>
    </row>
    <row r="744" ht="15.75" customHeight="1">
      <c r="G744" s="339"/>
      <c r="H744" s="339"/>
      <c r="J744" s="340"/>
      <c r="M744" s="19"/>
      <c r="N744" s="280"/>
    </row>
    <row r="745" ht="15.75" customHeight="1">
      <c r="G745" s="339"/>
      <c r="H745" s="339"/>
      <c r="J745" s="340"/>
      <c r="M745" s="19"/>
      <c r="N745" s="280"/>
    </row>
    <row r="746" ht="15.75" customHeight="1">
      <c r="G746" s="339"/>
      <c r="H746" s="339"/>
      <c r="J746" s="340"/>
      <c r="M746" s="19"/>
      <c r="N746" s="280"/>
    </row>
    <row r="747" ht="15.75" customHeight="1">
      <c r="G747" s="339"/>
      <c r="H747" s="339"/>
      <c r="J747" s="340"/>
      <c r="M747" s="19"/>
      <c r="N747" s="280"/>
    </row>
    <row r="748" ht="15.75" customHeight="1">
      <c r="G748" s="339"/>
      <c r="H748" s="339"/>
      <c r="J748" s="340"/>
      <c r="M748" s="19"/>
      <c r="N748" s="280"/>
    </row>
    <row r="749" ht="15.75" customHeight="1">
      <c r="G749" s="339"/>
      <c r="H749" s="339"/>
      <c r="J749" s="340"/>
      <c r="M749" s="19"/>
      <c r="N749" s="280"/>
    </row>
    <row r="750" ht="15.75" customHeight="1">
      <c r="G750" s="339"/>
      <c r="H750" s="339"/>
      <c r="J750" s="340"/>
      <c r="M750" s="19"/>
      <c r="N750" s="280"/>
    </row>
    <row r="751" ht="15.75" customHeight="1">
      <c r="G751" s="339"/>
      <c r="H751" s="339"/>
      <c r="J751" s="340"/>
      <c r="M751" s="19"/>
      <c r="N751" s="280"/>
    </row>
    <row r="752" ht="15.75" customHeight="1">
      <c r="G752" s="339"/>
      <c r="H752" s="339"/>
      <c r="J752" s="340"/>
      <c r="M752" s="19"/>
      <c r="N752" s="280"/>
    </row>
    <row r="753" ht="15.75" customHeight="1">
      <c r="G753" s="339"/>
      <c r="H753" s="339"/>
      <c r="J753" s="340"/>
      <c r="M753" s="19"/>
      <c r="N753" s="280"/>
    </row>
    <row r="754" ht="15.75" customHeight="1">
      <c r="G754" s="339"/>
      <c r="H754" s="339"/>
      <c r="J754" s="340"/>
      <c r="M754" s="19"/>
      <c r="N754" s="280"/>
    </row>
    <row r="755" ht="15.75" customHeight="1">
      <c r="G755" s="339"/>
      <c r="H755" s="339"/>
      <c r="J755" s="340"/>
      <c r="M755" s="19"/>
      <c r="N755" s="280"/>
    </row>
    <row r="756" ht="15.75" customHeight="1">
      <c r="G756" s="339"/>
      <c r="H756" s="339"/>
      <c r="J756" s="340"/>
      <c r="M756" s="19"/>
      <c r="N756" s="280"/>
    </row>
    <row r="757" ht="15.75" customHeight="1">
      <c r="G757" s="339"/>
      <c r="H757" s="339"/>
      <c r="J757" s="340"/>
      <c r="M757" s="19"/>
      <c r="N757" s="280"/>
    </row>
    <row r="758" ht="15.75" customHeight="1">
      <c r="G758" s="339"/>
      <c r="H758" s="339"/>
      <c r="J758" s="340"/>
      <c r="M758" s="19"/>
      <c r="N758" s="280"/>
    </row>
    <row r="759" ht="15.75" customHeight="1">
      <c r="G759" s="339"/>
      <c r="H759" s="339"/>
      <c r="J759" s="340"/>
      <c r="M759" s="19"/>
      <c r="N759" s="280"/>
    </row>
    <row r="760" ht="15.75" customHeight="1">
      <c r="G760" s="339"/>
      <c r="H760" s="339"/>
      <c r="J760" s="340"/>
      <c r="M760" s="19"/>
      <c r="N760" s="280"/>
    </row>
    <row r="761" ht="15.75" customHeight="1">
      <c r="G761" s="339"/>
      <c r="H761" s="339"/>
      <c r="J761" s="340"/>
      <c r="M761" s="19"/>
      <c r="N761" s="280"/>
    </row>
    <row r="762" ht="15.75" customHeight="1">
      <c r="G762" s="339"/>
      <c r="H762" s="339"/>
      <c r="J762" s="340"/>
      <c r="M762" s="19"/>
      <c r="N762" s="280"/>
    </row>
    <row r="763" ht="15.75" customHeight="1">
      <c r="G763" s="339"/>
      <c r="H763" s="339"/>
      <c r="J763" s="340"/>
      <c r="M763" s="19"/>
      <c r="N763" s="280"/>
    </row>
    <row r="764" ht="15.75" customHeight="1">
      <c r="G764" s="339"/>
      <c r="H764" s="339"/>
      <c r="J764" s="340"/>
      <c r="M764" s="19"/>
      <c r="N764" s="280"/>
    </row>
    <row r="765" ht="15.75" customHeight="1">
      <c r="G765" s="339"/>
      <c r="H765" s="339"/>
      <c r="J765" s="340"/>
      <c r="M765" s="19"/>
      <c r="N765" s="280"/>
    </row>
    <row r="766" ht="15.75" customHeight="1">
      <c r="G766" s="339"/>
      <c r="H766" s="339"/>
      <c r="J766" s="340"/>
      <c r="M766" s="19"/>
      <c r="N766" s="280"/>
    </row>
    <row r="767" ht="15.75" customHeight="1">
      <c r="G767" s="339"/>
      <c r="H767" s="339"/>
      <c r="J767" s="340"/>
      <c r="M767" s="19"/>
      <c r="N767" s="280"/>
    </row>
    <row r="768" ht="15.75" customHeight="1">
      <c r="G768" s="339"/>
      <c r="H768" s="339"/>
      <c r="J768" s="340"/>
      <c r="M768" s="19"/>
      <c r="N768" s="280"/>
    </row>
    <row r="769" ht="15.75" customHeight="1">
      <c r="G769" s="339"/>
      <c r="H769" s="339"/>
      <c r="J769" s="340"/>
      <c r="M769" s="19"/>
      <c r="N769" s="280"/>
    </row>
    <row r="770" ht="15.75" customHeight="1">
      <c r="G770" s="339"/>
      <c r="H770" s="339"/>
      <c r="J770" s="340"/>
      <c r="M770" s="19"/>
      <c r="N770" s="280"/>
    </row>
    <row r="771" ht="15.75" customHeight="1">
      <c r="G771" s="339"/>
      <c r="H771" s="339"/>
      <c r="J771" s="340"/>
      <c r="M771" s="19"/>
      <c r="N771" s="280"/>
    </row>
    <row r="772" ht="15.75" customHeight="1">
      <c r="G772" s="339"/>
      <c r="H772" s="339"/>
      <c r="J772" s="340"/>
      <c r="M772" s="19"/>
      <c r="N772" s="280"/>
    </row>
    <row r="773" ht="15.75" customHeight="1">
      <c r="G773" s="339"/>
      <c r="H773" s="339"/>
      <c r="J773" s="340"/>
      <c r="M773" s="19"/>
      <c r="N773" s="280"/>
    </row>
    <row r="774" ht="15.75" customHeight="1">
      <c r="G774" s="339"/>
      <c r="H774" s="339"/>
      <c r="J774" s="340"/>
      <c r="M774" s="19"/>
      <c r="N774" s="280"/>
    </row>
    <row r="775" ht="15.75" customHeight="1">
      <c r="G775" s="339"/>
      <c r="H775" s="339"/>
      <c r="J775" s="340"/>
      <c r="M775" s="19"/>
      <c r="N775" s="280"/>
    </row>
    <row r="776" ht="15.75" customHeight="1">
      <c r="G776" s="339"/>
      <c r="H776" s="339"/>
      <c r="J776" s="340"/>
      <c r="M776" s="19"/>
      <c r="N776" s="280"/>
    </row>
    <row r="777" ht="15.75" customHeight="1">
      <c r="G777" s="339"/>
      <c r="H777" s="339"/>
      <c r="J777" s="340"/>
      <c r="M777" s="19"/>
      <c r="N777" s="280"/>
    </row>
    <row r="778" ht="15.75" customHeight="1">
      <c r="G778" s="339"/>
      <c r="H778" s="339"/>
      <c r="J778" s="340"/>
      <c r="M778" s="19"/>
      <c r="N778" s="280"/>
    </row>
    <row r="779" ht="15.75" customHeight="1">
      <c r="G779" s="339"/>
      <c r="H779" s="339"/>
      <c r="J779" s="340"/>
      <c r="M779" s="19"/>
      <c r="N779" s="280"/>
    </row>
    <row r="780" ht="15.75" customHeight="1">
      <c r="G780" s="339"/>
      <c r="H780" s="339"/>
      <c r="J780" s="340"/>
      <c r="M780" s="19"/>
      <c r="N780" s="280"/>
    </row>
    <row r="781" ht="15.75" customHeight="1">
      <c r="G781" s="339"/>
      <c r="H781" s="339"/>
      <c r="J781" s="340"/>
      <c r="M781" s="19"/>
      <c r="N781" s="280"/>
    </row>
    <row r="782" ht="15.75" customHeight="1">
      <c r="G782" s="339"/>
      <c r="H782" s="339"/>
      <c r="J782" s="340"/>
      <c r="M782" s="19"/>
      <c r="N782" s="280"/>
    </row>
    <row r="783" ht="15.75" customHeight="1">
      <c r="G783" s="339"/>
      <c r="H783" s="339"/>
      <c r="J783" s="340"/>
      <c r="M783" s="19"/>
      <c r="N783" s="280"/>
    </row>
    <row r="784" ht="15.75" customHeight="1">
      <c r="G784" s="339"/>
      <c r="H784" s="339"/>
      <c r="J784" s="340"/>
      <c r="M784" s="19"/>
      <c r="N784" s="280"/>
    </row>
    <row r="785" ht="15.75" customHeight="1">
      <c r="G785" s="339"/>
      <c r="H785" s="339"/>
      <c r="J785" s="340"/>
      <c r="M785" s="19"/>
      <c r="N785" s="280"/>
    </row>
    <row r="786" ht="15.75" customHeight="1">
      <c r="G786" s="339"/>
      <c r="H786" s="339"/>
      <c r="J786" s="340"/>
      <c r="M786" s="19"/>
      <c r="N786" s="280"/>
    </row>
    <row r="787" ht="15.75" customHeight="1">
      <c r="G787" s="339"/>
      <c r="H787" s="339"/>
      <c r="J787" s="340"/>
      <c r="M787" s="19"/>
      <c r="N787" s="280"/>
    </row>
    <row r="788" ht="15.75" customHeight="1">
      <c r="G788" s="339"/>
      <c r="H788" s="339"/>
      <c r="J788" s="340"/>
      <c r="M788" s="19"/>
      <c r="N788" s="280"/>
    </row>
    <row r="789" ht="15.75" customHeight="1">
      <c r="G789" s="339"/>
      <c r="H789" s="339"/>
      <c r="J789" s="340"/>
      <c r="M789" s="19"/>
      <c r="N789" s="280"/>
    </row>
    <row r="790" ht="15.75" customHeight="1">
      <c r="G790" s="339"/>
      <c r="H790" s="339"/>
      <c r="J790" s="340"/>
      <c r="M790" s="19"/>
      <c r="N790" s="280"/>
    </row>
    <row r="791" ht="15.75" customHeight="1">
      <c r="G791" s="339"/>
      <c r="H791" s="339"/>
      <c r="J791" s="340"/>
      <c r="M791" s="19"/>
      <c r="N791" s="280"/>
    </row>
    <row r="792" ht="15.75" customHeight="1">
      <c r="G792" s="339"/>
      <c r="H792" s="339"/>
      <c r="J792" s="340"/>
      <c r="M792" s="19"/>
      <c r="N792" s="280"/>
    </row>
    <row r="793" ht="15.75" customHeight="1">
      <c r="G793" s="339"/>
      <c r="H793" s="339"/>
      <c r="J793" s="340"/>
      <c r="M793" s="19"/>
      <c r="N793" s="280"/>
    </row>
    <row r="794" ht="15.75" customHeight="1">
      <c r="G794" s="339"/>
      <c r="H794" s="339"/>
      <c r="J794" s="340"/>
      <c r="M794" s="19"/>
      <c r="N794" s="280"/>
    </row>
    <row r="795" ht="15.75" customHeight="1">
      <c r="G795" s="339"/>
      <c r="H795" s="339"/>
      <c r="J795" s="340"/>
      <c r="M795" s="19"/>
      <c r="N795" s="280"/>
    </row>
    <row r="796" ht="15.75" customHeight="1">
      <c r="G796" s="339"/>
      <c r="H796" s="339"/>
      <c r="J796" s="340"/>
      <c r="M796" s="19"/>
      <c r="N796" s="280"/>
    </row>
    <row r="797" ht="15.75" customHeight="1">
      <c r="G797" s="339"/>
      <c r="H797" s="339"/>
      <c r="J797" s="340"/>
      <c r="M797" s="19"/>
      <c r="N797" s="280"/>
    </row>
    <row r="798" ht="15.75" customHeight="1">
      <c r="G798" s="339"/>
      <c r="H798" s="339"/>
      <c r="J798" s="340"/>
      <c r="M798" s="19"/>
      <c r="N798" s="280"/>
    </row>
    <row r="799" ht="15.75" customHeight="1">
      <c r="G799" s="339"/>
      <c r="H799" s="339"/>
      <c r="J799" s="340"/>
      <c r="M799" s="19"/>
      <c r="N799" s="280"/>
    </row>
    <row r="800" ht="15.75" customHeight="1">
      <c r="G800" s="339"/>
      <c r="H800" s="339"/>
      <c r="J800" s="340"/>
      <c r="M800" s="19"/>
      <c r="N800" s="280"/>
    </row>
    <row r="801" ht="15.75" customHeight="1">
      <c r="G801" s="339"/>
      <c r="H801" s="339"/>
      <c r="J801" s="340"/>
      <c r="M801" s="19"/>
      <c r="N801" s="280"/>
    </row>
    <row r="802" ht="15.75" customHeight="1">
      <c r="G802" s="339"/>
      <c r="H802" s="339"/>
      <c r="J802" s="340"/>
      <c r="M802" s="19"/>
      <c r="N802" s="280"/>
    </row>
    <row r="803" ht="15.75" customHeight="1">
      <c r="G803" s="339"/>
      <c r="H803" s="339"/>
      <c r="J803" s="340"/>
      <c r="M803" s="19"/>
      <c r="N803" s="280"/>
    </row>
    <row r="804" ht="15.75" customHeight="1">
      <c r="G804" s="339"/>
      <c r="H804" s="339"/>
      <c r="J804" s="340"/>
      <c r="M804" s="19"/>
      <c r="N804" s="280"/>
    </row>
    <row r="805" ht="15.75" customHeight="1">
      <c r="G805" s="339"/>
      <c r="H805" s="339"/>
      <c r="J805" s="340"/>
      <c r="M805" s="19"/>
      <c r="N805" s="280"/>
    </row>
    <row r="806" ht="15.75" customHeight="1">
      <c r="G806" s="339"/>
      <c r="H806" s="339"/>
      <c r="J806" s="340"/>
      <c r="M806" s="19"/>
      <c r="N806" s="280"/>
    </row>
    <row r="807" ht="15.75" customHeight="1">
      <c r="G807" s="339"/>
      <c r="H807" s="339"/>
      <c r="J807" s="340"/>
      <c r="M807" s="19"/>
      <c r="N807" s="280"/>
    </row>
    <row r="808" ht="15.75" customHeight="1">
      <c r="G808" s="339"/>
      <c r="H808" s="339"/>
      <c r="J808" s="340"/>
      <c r="M808" s="19"/>
      <c r="N808" s="280"/>
    </row>
    <row r="809" ht="15.75" customHeight="1">
      <c r="G809" s="339"/>
      <c r="H809" s="339"/>
      <c r="J809" s="340"/>
      <c r="M809" s="19"/>
      <c r="N809" s="280"/>
    </row>
    <row r="810" ht="15.75" customHeight="1">
      <c r="G810" s="339"/>
      <c r="H810" s="339"/>
      <c r="J810" s="340"/>
      <c r="M810" s="19"/>
      <c r="N810" s="280"/>
    </row>
    <row r="811" ht="15.75" customHeight="1">
      <c r="G811" s="339"/>
      <c r="H811" s="339"/>
      <c r="J811" s="340"/>
      <c r="M811" s="19"/>
      <c r="N811" s="280"/>
    </row>
    <row r="812" ht="15.75" customHeight="1">
      <c r="G812" s="339"/>
      <c r="H812" s="339"/>
      <c r="J812" s="340"/>
      <c r="M812" s="19"/>
      <c r="N812" s="280"/>
    </row>
    <row r="813" ht="15.75" customHeight="1">
      <c r="G813" s="339"/>
      <c r="H813" s="339"/>
      <c r="J813" s="340"/>
      <c r="M813" s="19"/>
      <c r="N813" s="280"/>
    </row>
    <row r="814" ht="15.75" customHeight="1">
      <c r="G814" s="339"/>
      <c r="H814" s="339"/>
      <c r="J814" s="340"/>
      <c r="M814" s="19"/>
      <c r="N814" s="280"/>
    </row>
    <row r="815" ht="15.75" customHeight="1">
      <c r="G815" s="339"/>
      <c r="H815" s="339"/>
      <c r="J815" s="340"/>
      <c r="M815" s="19"/>
      <c r="N815" s="280"/>
    </row>
    <row r="816" ht="15.75" customHeight="1">
      <c r="G816" s="339"/>
      <c r="H816" s="339"/>
      <c r="J816" s="340"/>
      <c r="M816" s="19"/>
      <c r="N816" s="280"/>
    </row>
    <row r="817" ht="15.75" customHeight="1">
      <c r="G817" s="339"/>
      <c r="H817" s="339"/>
      <c r="J817" s="340"/>
      <c r="M817" s="19"/>
      <c r="N817" s="280"/>
    </row>
    <row r="818" ht="15.75" customHeight="1">
      <c r="G818" s="339"/>
      <c r="H818" s="339"/>
      <c r="J818" s="340"/>
      <c r="M818" s="19"/>
      <c r="N818" s="280"/>
    </row>
    <row r="819" ht="15.75" customHeight="1">
      <c r="G819" s="339"/>
      <c r="H819" s="339"/>
      <c r="J819" s="340"/>
      <c r="M819" s="19"/>
      <c r="N819" s="280"/>
    </row>
    <row r="820" ht="15.75" customHeight="1">
      <c r="G820" s="339"/>
      <c r="H820" s="339"/>
      <c r="J820" s="340"/>
      <c r="M820" s="19"/>
      <c r="N820" s="280"/>
    </row>
    <row r="821" ht="15.75" customHeight="1">
      <c r="G821" s="339"/>
      <c r="H821" s="339"/>
      <c r="J821" s="340"/>
      <c r="M821" s="19"/>
      <c r="N821" s="280"/>
    </row>
    <row r="822" ht="15.75" customHeight="1">
      <c r="G822" s="339"/>
      <c r="H822" s="339"/>
      <c r="J822" s="340"/>
      <c r="M822" s="19"/>
      <c r="N822" s="280"/>
    </row>
    <row r="823" ht="15.75" customHeight="1">
      <c r="G823" s="339"/>
      <c r="H823" s="339"/>
      <c r="J823" s="340"/>
      <c r="M823" s="19"/>
      <c r="N823" s="280"/>
    </row>
    <row r="824" ht="15.75" customHeight="1">
      <c r="G824" s="339"/>
      <c r="H824" s="339"/>
      <c r="J824" s="340"/>
      <c r="M824" s="19"/>
      <c r="N824" s="280"/>
    </row>
    <row r="825" ht="15.75" customHeight="1">
      <c r="G825" s="339"/>
      <c r="H825" s="339"/>
      <c r="J825" s="340"/>
      <c r="M825" s="19"/>
      <c r="N825" s="280"/>
    </row>
    <row r="826" ht="15.75" customHeight="1">
      <c r="G826" s="339"/>
      <c r="H826" s="339"/>
      <c r="J826" s="340"/>
      <c r="M826" s="19"/>
      <c r="N826" s="280"/>
    </row>
    <row r="827" ht="15.75" customHeight="1">
      <c r="G827" s="339"/>
      <c r="H827" s="339"/>
      <c r="J827" s="340"/>
      <c r="M827" s="19"/>
      <c r="N827" s="280"/>
    </row>
    <row r="828" ht="15.75" customHeight="1">
      <c r="G828" s="339"/>
      <c r="H828" s="339"/>
      <c r="J828" s="340"/>
      <c r="M828" s="19"/>
      <c r="N828" s="280"/>
    </row>
    <row r="829" ht="15.75" customHeight="1">
      <c r="G829" s="339"/>
      <c r="H829" s="339"/>
      <c r="J829" s="340"/>
      <c r="M829" s="19"/>
      <c r="N829" s="280"/>
    </row>
    <row r="830" ht="15.75" customHeight="1">
      <c r="G830" s="339"/>
      <c r="H830" s="339"/>
      <c r="J830" s="340"/>
      <c r="M830" s="19"/>
      <c r="N830" s="280"/>
    </row>
    <row r="831" ht="15.75" customHeight="1">
      <c r="G831" s="339"/>
      <c r="H831" s="339"/>
      <c r="J831" s="340"/>
      <c r="M831" s="19"/>
      <c r="N831" s="280"/>
    </row>
    <row r="832" ht="15.75" customHeight="1">
      <c r="G832" s="339"/>
      <c r="H832" s="339"/>
      <c r="J832" s="340"/>
      <c r="M832" s="19"/>
      <c r="N832" s="280"/>
    </row>
    <row r="833" ht="15.75" customHeight="1">
      <c r="G833" s="339"/>
      <c r="H833" s="339"/>
      <c r="J833" s="340"/>
      <c r="M833" s="19"/>
      <c r="N833" s="280"/>
    </row>
    <row r="834" ht="15.75" customHeight="1">
      <c r="G834" s="339"/>
      <c r="H834" s="339"/>
      <c r="J834" s="340"/>
      <c r="M834" s="19"/>
      <c r="N834" s="280"/>
    </row>
    <row r="835" ht="15.75" customHeight="1">
      <c r="G835" s="339"/>
      <c r="H835" s="339"/>
      <c r="J835" s="340"/>
      <c r="M835" s="19"/>
      <c r="N835" s="280"/>
    </row>
    <row r="836" ht="15.75" customHeight="1">
      <c r="G836" s="339"/>
      <c r="H836" s="339"/>
      <c r="J836" s="340"/>
      <c r="M836" s="19"/>
      <c r="N836" s="280"/>
    </row>
    <row r="837" ht="15.75" customHeight="1">
      <c r="G837" s="339"/>
      <c r="H837" s="339"/>
      <c r="J837" s="340"/>
      <c r="M837" s="19"/>
      <c r="N837" s="280"/>
    </row>
    <row r="838" ht="15.75" customHeight="1">
      <c r="G838" s="339"/>
      <c r="H838" s="339"/>
      <c r="J838" s="340"/>
      <c r="M838" s="19"/>
      <c r="N838" s="280"/>
    </row>
    <row r="839" ht="15.75" customHeight="1">
      <c r="G839" s="339"/>
      <c r="H839" s="339"/>
      <c r="J839" s="340"/>
      <c r="M839" s="19"/>
      <c r="N839" s="280"/>
    </row>
    <row r="840" ht="15.75" customHeight="1">
      <c r="G840" s="339"/>
      <c r="H840" s="339"/>
      <c r="J840" s="340"/>
      <c r="M840" s="19"/>
      <c r="N840" s="280"/>
    </row>
    <row r="841" ht="15.75" customHeight="1">
      <c r="G841" s="339"/>
      <c r="H841" s="339"/>
      <c r="J841" s="340"/>
      <c r="M841" s="19"/>
      <c r="N841" s="280"/>
    </row>
    <row r="842" ht="15.75" customHeight="1">
      <c r="G842" s="339"/>
      <c r="H842" s="339"/>
      <c r="J842" s="340"/>
      <c r="M842" s="19"/>
      <c r="N842" s="280"/>
    </row>
    <row r="843" ht="15.75" customHeight="1">
      <c r="G843" s="339"/>
      <c r="H843" s="339"/>
      <c r="J843" s="340"/>
      <c r="M843" s="19"/>
      <c r="N843" s="280"/>
    </row>
    <row r="844" ht="15.75" customHeight="1">
      <c r="G844" s="339"/>
      <c r="H844" s="339"/>
      <c r="J844" s="340"/>
      <c r="M844" s="19"/>
      <c r="N844" s="280"/>
    </row>
    <row r="845" ht="15.75" customHeight="1">
      <c r="G845" s="339"/>
      <c r="H845" s="339"/>
      <c r="J845" s="340"/>
      <c r="M845" s="19"/>
      <c r="N845" s="280"/>
    </row>
    <row r="846" ht="15.75" customHeight="1">
      <c r="G846" s="339"/>
      <c r="H846" s="339"/>
      <c r="J846" s="340"/>
      <c r="M846" s="19"/>
      <c r="N846" s="280"/>
    </row>
    <row r="847" ht="15.75" customHeight="1">
      <c r="G847" s="339"/>
      <c r="H847" s="339"/>
      <c r="J847" s="340"/>
      <c r="M847" s="19"/>
      <c r="N847" s="280"/>
    </row>
    <row r="848" ht="15.75" customHeight="1">
      <c r="G848" s="339"/>
      <c r="H848" s="339"/>
      <c r="J848" s="340"/>
      <c r="M848" s="19"/>
      <c r="N848" s="280"/>
    </row>
    <row r="849" ht="15.75" customHeight="1">
      <c r="G849" s="339"/>
      <c r="H849" s="339"/>
      <c r="J849" s="340"/>
      <c r="M849" s="19"/>
      <c r="N849" s="280"/>
    </row>
    <row r="850" ht="15.75" customHeight="1">
      <c r="G850" s="339"/>
      <c r="H850" s="339"/>
      <c r="J850" s="340"/>
      <c r="M850" s="19"/>
      <c r="N850" s="280"/>
    </row>
    <row r="851" ht="15.75" customHeight="1">
      <c r="G851" s="339"/>
      <c r="H851" s="339"/>
      <c r="J851" s="340"/>
      <c r="M851" s="19"/>
      <c r="N851" s="280"/>
    </row>
    <row r="852" ht="15.75" customHeight="1">
      <c r="G852" s="339"/>
      <c r="H852" s="339"/>
      <c r="J852" s="340"/>
      <c r="M852" s="19"/>
      <c r="N852" s="280"/>
    </row>
    <row r="853" ht="15.75" customHeight="1">
      <c r="G853" s="339"/>
      <c r="H853" s="339"/>
      <c r="J853" s="340"/>
      <c r="M853" s="19"/>
      <c r="N853" s="280"/>
    </row>
    <row r="854" ht="15.75" customHeight="1">
      <c r="G854" s="339"/>
      <c r="H854" s="339"/>
      <c r="J854" s="340"/>
      <c r="M854" s="19"/>
      <c r="N854" s="280"/>
    </row>
    <row r="855" ht="15.75" customHeight="1">
      <c r="G855" s="339"/>
      <c r="H855" s="339"/>
      <c r="J855" s="340"/>
      <c r="M855" s="19"/>
      <c r="N855" s="280"/>
    </row>
    <row r="856" ht="15.75" customHeight="1">
      <c r="G856" s="339"/>
      <c r="H856" s="339"/>
      <c r="J856" s="340"/>
      <c r="M856" s="19"/>
      <c r="N856" s="280"/>
    </row>
    <row r="857" ht="15.75" customHeight="1">
      <c r="G857" s="339"/>
      <c r="H857" s="339"/>
      <c r="J857" s="340"/>
      <c r="M857" s="19"/>
      <c r="N857" s="280"/>
    </row>
    <row r="858" ht="15.75" customHeight="1">
      <c r="G858" s="339"/>
      <c r="H858" s="339"/>
      <c r="J858" s="340"/>
      <c r="M858" s="19"/>
      <c r="N858" s="280"/>
    </row>
    <row r="859" ht="15.75" customHeight="1">
      <c r="G859" s="339"/>
      <c r="H859" s="339"/>
      <c r="J859" s="340"/>
      <c r="M859" s="19"/>
      <c r="N859" s="280"/>
    </row>
    <row r="860" ht="15.75" customHeight="1">
      <c r="G860" s="339"/>
      <c r="H860" s="339"/>
      <c r="J860" s="340"/>
      <c r="M860" s="19"/>
      <c r="N860" s="280"/>
    </row>
    <row r="861" ht="15.75" customHeight="1">
      <c r="G861" s="339"/>
      <c r="H861" s="339"/>
      <c r="J861" s="340"/>
      <c r="M861" s="19"/>
      <c r="N861" s="280"/>
    </row>
    <row r="862" ht="15.75" customHeight="1">
      <c r="G862" s="339"/>
      <c r="H862" s="339"/>
      <c r="J862" s="340"/>
      <c r="M862" s="19"/>
      <c r="N862" s="280"/>
    </row>
    <row r="863" ht="15.75" customHeight="1">
      <c r="G863" s="339"/>
      <c r="H863" s="339"/>
      <c r="J863" s="340"/>
      <c r="M863" s="19"/>
      <c r="N863" s="280"/>
    </row>
    <row r="864" ht="15.75" customHeight="1">
      <c r="G864" s="339"/>
      <c r="H864" s="339"/>
      <c r="J864" s="340"/>
      <c r="M864" s="19"/>
      <c r="N864" s="280"/>
    </row>
    <row r="865" ht="15.75" customHeight="1">
      <c r="G865" s="339"/>
      <c r="H865" s="339"/>
      <c r="J865" s="340"/>
      <c r="M865" s="19"/>
      <c r="N865" s="280"/>
    </row>
    <row r="866" ht="15.75" customHeight="1">
      <c r="G866" s="339"/>
      <c r="H866" s="339"/>
      <c r="J866" s="340"/>
      <c r="M866" s="19"/>
      <c r="N866" s="280"/>
    </row>
    <row r="867" ht="15.75" customHeight="1">
      <c r="G867" s="339"/>
      <c r="H867" s="339"/>
      <c r="J867" s="340"/>
      <c r="M867" s="19"/>
      <c r="N867" s="280"/>
    </row>
    <row r="868" ht="15.75" customHeight="1">
      <c r="G868" s="339"/>
      <c r="H868" s="339"/>
      <c r="J868" s="340"/>
      <c r="M868" s="19"/>
      <c r="N868" s="280"/>
    </row>
    <row r="869" ht="15.75" customHeight="1">
      <c r="G869" s="339"/>
      <c r="H869" s="339"/>
      <c r="J869" s="340"/>
      <c r="M869" s="19"/>
      <c r="N869" s="280"/>
    </row>
    <row r="870" ht="15.75" customHeight="1">
      <c r="G870" s="339"/>
      <c r="H870" s="339"/>
      <c r="J870" s="340"/>
      <c r="M870" s="19"/>
      <c r="N870" s="280"/>
    </row>
    <row r="871" ht="15.75" customHeight="1">
      <c r="G871" s="339"/>
      <c r="H871" s="339"/>
      <c r="J871" s="340"/>
      <c r="M871" s="19"/>
      <c r="N871" s="280"/>
    </row>
    <row r="872" ht="15.75" customHeight="1">
      <c r="G872" s="339"/>
      <c r="H872" s="339"/>
      <c r="J872" s="340"/>
      <c r="M872" s="19"/>
      <c r="N872" s="280"/>
    </row>
    <row r="873" ht="15.75" customHeight="1">
      <c r="G873" s="339"/>
      <c r="H873" s="339"/>
      <c r="J873" s="340"/>
      <c r="M873" s="19"/>
      <c r="N873" s="280"/>
    </row>
    <row r="874" ht="15.75" customHeight="1">
      <c r="G874" s="339"/>
      <c r="H874" s="339"/>
      <c r="J874" s="340"/>
      <c r="M874" s="19"/>
      <c r="N874" s="280"/>
    </row>
    <row r="875" ht="15.75" customHeight="1">
      <c r="G875" s="339"/>
      <c r="H875" s="339"/>
      <c r="J875" s="340"/>
      <c r="M875" s="19"/>
      <c r="N875" s="280"/>
    </row>
    <row r="876" ht="15.75" customHeight="1">
      <c r="G876" s="339"/>
      <c r="H876" s="339"/>
      <c r="J876" s="340"/>
      <c r="M876" s="19"/>
      <c r="N876" s="280"/>
    </row>
    <row r="877" ht="15.75" customHeight="1">
      <c r="G877" s="339"/>
      <c r="H877" s="339"/>
      <c r="J877" s="340"/>
      <c r="M877" s="19"/>
      <c r="N877" s="280"/>
    </row>
    <row r="878" ht="15.75" customHeight="1">
      <c r="G878" s="339"/>
      <c r="H878" s="339"/>
      <c r="J878" s="340"/>
      <c r="M878" s="19"/>
      <c r="N878" s="280"/>
    </row>
    <row r="879" ht="15.75" customHeight="1">
      <c r="G879" s="339"/>
      <c r="H879" s="339"/>
      <c r="J879" s="340"/>
      <c r="M879" s="19"/>
      <c r="N879" s="280"/>
    </row>
    <row r="880" ht="15.75" customHeight="1">
      <c r="G880" s="339"/>
      <c r="H880" s="339"/>
      <c r="J880" s="340"/>
      <c r="M880" s="19"/>
      <c r="N880" s="280"/>
    </row>
    <row r="881" ht="15.75" customHeight="1">
      <c r="G881" s="339"/>
      <c r="H881" s="339"/>
      <c r="J881" s="340"/>
      <c r="M881" s="19"/>
      <c r="N881" s="280"/>
    </row>
    <row r="882" ht="15.75" customHeight="1">
      <c r="G882" s="339"/>
      <c r="H882" s="339"/>
      <c r="J882" s="340"/>
      <c r="M882" s="19"/>
      <c r="N882" s="280"/>
    </row>
    <row r="883" ht="15.75" customHeight="1">
      <c r="G883" s="339"/>
      <c r="H883" s="339"/>
      <c r="J883" s="340"/>
      <c r="M883" s="19"/>
      <c r="N883" s="280"/>
    </row>
    <row r="884" ht="15.75" customHeight="1">
      <c r="G884" s="339"/>
      <c r="H884" s="339"/>
      <c r="J884" s="340"/>
      <c r="M884" s="19"/>
      <c r="N884" s="280"/>
    </row>
    <row r="885" ht="15.75" customHeight="1">
      <c r="G885" s="339"/>
      <c r="H885" s="339"/>
      <c r="J885" s="340"/>
      <c r="M885" s="19"/>
      <c r="N885" s="280"/>
    </row>
    <row r="886" ht="15.75" customHeight="1">
      <c r="G886" s="339"/>
      <c r="H886" s="339"/>
      <c r="J886" s="340"/>
      <c r="M886" s="19"/>
      <c r="N886" s="280"/>
    </row>
    <row r="887" ht="15.75" customHeight="1">
      <c r="G887" s="339"/>
      <c r="H887" s="339"/>
      <c r="J887" s="340"/>
      <c r="M887" s="19"/>
      <c r="N887" s="280"/>
    </row>
    <row r="888" ht="15.75" customHeight="1">
      <c r="G888" s="339"/>
      <c r="H888" s="339"/>
      <c r="J888" s="340"/>
      <c r="M888" s="19"/>
      <c r="N888" s="280"/>
    </row>
    <row r="889" ht="15.75" customHeight="1">
      <c r="G889" s="339"/>
      <c r="H889" s="339"/>
      <c r="J889" s="340"/>
      <c r="M889" s="19"/>
      <c r="N889" s="280"/>
    </row>
    <row r="890" ht="15.75" customHeight="1">
      <c r="G890" s="339"/>
      <c r="H890" s="339"/>
      <c r="J890" s="340"/>
      <c r="M890" s="19"/>
      <c r="N890" s="280"/>
    </row>
    <row r="891" ht="15.75" customHeight="1">
      <c r="G891" s="339"/>
      <c r="H891" s="339"/>
      <c r="J891" s="340"/>
      <c r="M891" s="19"/>
      <c r="N891" s="280"/>
    </row>
    <row r="892" ht="15.75" customHeight="1">
      <c r="G892" s="339"/>
      <c r="H892" s="339"/>
      <c r="J892" s="340"/>
      <c r="M892" s="19"/>
      <c r="N892" s="280"/>
    </row>
    <row r="893" ht="15.75" customHeight="1">
      <c r="G893" s="339"/>
      <c r="H893" s="339"/>
      <c r="J893" s="340"/>
      <c r="M893" s="19"/>
      <c r="N893" s="280"/>
    </row>
    <row r="894" ht="15.75" customHeight="1">
      <c r="G894" s="339"/>
      <c r="H894" s="339"/>
      <c r="J894" s="340"/>
      <c r="M894" s="19"/>
      <c r="N894" s="280"/>
    </row>
    <row r="895" ht="15.75" customHeight="1">
      <c r="G895" s="339"/>
      <c r="H895" s="339"/>
      <c r="J895" s="340"/>
      <c r="M895" s="19"/>
      <c r="N895" s="280"/>
    </row>
    <row r="896" ht="15.75" customHeight="1">
      <c r="G896" s="339"/>
      <c r="H896" s="339"/>
      <c r="J896" s="340"/>
      <c r="M896" s="19"/>
      <c r="N896" s="280"/>
    </row>
    <row r="897" ht="15.75" customHeight="1">
      <c r="G897" s="339"/>
      <c r="H897" s="339"/>
      <c r="J897" s="340"/>
      <c r="M897" s="19"/>
      <c r="N897" s="280"/>
    </row>
    <row r="898" ht="15.75" customHeight="1">
      <c r="G898" s="339"/>
      <c r="H898" s="339"/>
      <c r="J898" s="340"/>
      <c r="M898" s="19"/>
      <c r="N898" s="280"/>
    </row>
    <row r="899" ht="15.75" customHeight="1">
      <c r="G899" s="339"/>
      <c r="H899" s="339"/>
      <c r="J899" s="340"/>
      <c r="M899" s="19"/>
      <c r="N899" s="280"/>
    </row>
    <row r="900" ht="15.75" customHeight="1">
      <c r="G900" s="339"/>
      <c r="H900" s="339"/>
      <c r="J900" s="340"/>
      <c r="M900" s="19"/>
      <c r="N900" s="280"/>
    </row>
    <row r="901" ht="15.75" customHeight="1">
      <c r="G901" s="339"/>
      <c r="H901" s="339"/>
      <c r="J901" s="340"/>
      <c r="M901" s="19"/>
      <c r="N901" s="280"/>
    </row>
    <row r="902" ht="15.75" customHeight="1">
      <c r="G902" s="339"/>
      <c r="H902" s="339"/>
      <c r="J902" s="340"/>
      <c r="M902" s="19"/>
      <c r="N902" s="280"/>
    </row>
    <row r="903" ht="15.75" customHeight="1">
      <c r="G903" s="339"/>
      <c r="H903" s="339"/>
      <c r="J903" s="340"/>
      <c r="M903" s="19"/>
      <c r="N903" s="280"/>
    </row>
    <row r="904" ht="15.75" customHeight="1">
      <c r="G904" s="339"/>
      <c r="H904" s="339"/>
      <c r="J904" s="340"/>
      <c r="M904" s="19"/>
      <c r="N904" s="280"/>
    </row>
    <row r="905" ht="15.75" customHeight="1">
      <c r="G905" s="339"/>
      <c r="H905" s="339"/>
      <c r="J905" s="340"/>
      <c r="M905" s="19"/>
      <c r="N905" s="280"/>
    </row>
    <row r="906" ht="15.75" customHeight="1">
      <c r="G906" s="339"/>
      <c r="H906" s="339"/>
      <c r="J906" s="340"/>
      <c r="M906" s="19"/>
      <c r="N906" s="280"/>
    </row>
    <row r="907" ht="15.75" customHeight="1">
      <c r="G907" s="339"/>
      <c r="H907" s="339"/>
      <c r="J907" s="340"/>
      <c r="M907" s="19"/>
      <c r="N907" s="280"/>
    </row>
    <row r="908" ht="15.75" customHeight="1">
      <c r="G908" s="339"/>
      <c r="H908" s="339"/>
      <c r="J908" s="340"/>
      <c r="M908" s="19"/>
      <c r="N908" s="280"/>
    </row>
    <row r="909" ht="15.75" customHeight="1">
      <c r="G909" s="339"/>
      <c r="H909" s="339"/>
      <c r="J909" s="340"/>
      <c r="M909" s="19"/>
      <c r="N909" s="280"/>
    </row>
    <row r="910" ht="15.75" customHeight="1">
      <c r="G910" s="339"/>
      <c r="H910" s="339"/>
      <c r="J910" s="340"/>
      <c r="M910" s="19"/>
      <c r="N910" s="280"/>
    </row>
    <row r="911" ht="15.75" customHeight="1">
      <c r="G911" s="339"/>
      <c r="H911" s="339"/>
      <c r="J911" s="340"/>
      <c r="M911" s="19"/>
      <c r="N911" s="280"/>
    </row>
    <row r="912" ht="15.75" customHeight="1">
      <c r="G912" s="339"/>
      <c r="H912" s="339"/>
      <c r="J912" s="340"/>
      <c r="M912" s="19"/>
      <c r="N912" s="280"/>
    </row>
    <row r="913" ht="15.75" customHeight="1">
      <c r="G913" s="339"/>
      <c r="H913" s="339"/>
      <c r="J913" s="340"/>
      <c r="M913" s="19"/>
      <c r="N913" s="280"/>
    </row>
    <row r="914" ht="15.75" customHeight="1">
      <c r="G914" s="339"/>
      <c r="H914" s="339"/>
      <c r="J914" s="340"/>
      <c r="M914" s="19"/>
      <c r="N914" s="280"/>
    </row>
    <row r="915" ht="15.75" customHeight="1">
      <c r="G915" s="339"/>
      <c r="H915" s="339"/>
      <c r="J915" s="340"/>
      <c r="M915" s="19"/>
      <c r="N915" s="280"/>
    </row>
    <row r="916" ht="15.75" customHeight="1">
      <c r="G916" s="339"/>
      <c r="H916" s="339"/>
      <c r="J916" s="340"/>
      <c r="M916" s="19"/>
      <c r="N916" s="280"/>
    </row>
    <row r="917" ht="15.75" customHeight="1">
      <c r="G917" s="339"/>
      <c r="H917" s="339"/>
      <c r="J917" s="340"/>
      <c r="M917" s="19"/>
      <c r="N917" s="280"/>
    </row>
    <row r="918" ht="15.75" customHeight="1">
      <c r="G918" s="339"/>
      <c r="H918" s="339"/>
      <c r="J918" s="340"/>
      <c r="M918" s="19"/>
      <c r="N918" s="280"/>
    </row>
    <row r="919" ht="15.75" customHeight="1">
      <c r="G919" s="339"/>
      <c r="H919" s="339"/>
      <c r="J919" s="340"/>
      <c r="M919" s="19"/>
      <c r="N919" s="280"/>
    </row>
    <row r="920" ht="15.75" customHeight="1">
      <c r="G920" s="339"/>
      <c r="H920" s="339"/>
      <c r="J920" s="340"/>
      <c r="M920" s="19"/>
      <c r="N920" s="280"/>
    </row>
    <row r="921" ht="15.75" customHeight="1">
      <c r="G921" s="339"/>
      <c r="H921" s="339"/>
      <c r="J921" s="340"/>
      <c r="M921" s="19"/>
      <c r="N921" s="280"/>
    </row>
    <row r="922" ht="15.75" customHeight="1">
      <c r="G922" s="339"/>
      <c r="H922" s="339"/>
      <c r="J922" s="340"/>
      <c r="M922" s="19"/>
      <c r="N922" s="280"/>
    </row>
    <row r="923" ht="15.75" customHeight="1">
      <c r="G923" s="339"/>
      <c r="H923" s="339"/>
      <c r="J923" s="340"/>
      <c r="M923" s="19"/>
      <c r="N923" s="280"/>
    </row>
    <row r="924" ht="15.75" customHeight="1">
      <c r="G924" s="339"/>
      <c r="H924" s="339"/>
      <c r="J924" s="340"/>
      <c r="M924" s="19"/>
      <c r="N924" s="280"/>
    </row>
    <row r="925" ht="15.75" customHeight="1">
      <c r="G925" s="339"/>
      <c r="H925" s="339"/>
      <c r="J925" s="340"/>
      <c r="M925" s="19"/>
      <c r="N925" s="280"/>
    </row>
    <row r="926" ht="15.75" customHeight="1">
      <c r="G926" s="339"/>
      <c r="H926" s="339"/>
      <c r="J926" s="340"/>
      <c r="M926" s="19"/>
      <c r="N926" s="280"/>
    </row>
    <row r="927" ht="15.75" customHeight="1">
      <c r="G927" s="339"/>
      <c r="H927" s="339"/>
      <c r="J927" s="340"/>
      <c r="M927" s="19"/>
      <c r="N927" s="280"/>
    </row>
    <row r="928" ht="15.75" customHeight="1">
      <c r="G928" s="339"/>
      <c r="H928" s="339"/>
      <c r="J928" s="340"/>
      <c r="M928" s="19"/>
      <c r="N928" s="280"/>
    </row>
    <row r="929" ht="15.75" customHeight="1">
      <c r="G929" s="339"/>
      <c r="H929" s="339"/>
      <c r="J929" s="340"/>
      <c r="M929" s="19"/>
      <c r="N929" s="280"/>
    </row>
    <row r="930" ht="15.75" customHeight="1">
      <c r="G930" s="339"/>
      <c r="H930" s="339"/>
      <c r="J930" s="340"/>
      <c r="M930" s="19"/>
      <c r="N930" s="280"/>
    </row>
    <row r="931" ht="15.75" customHeight="1">
      <c r="G931" s="339"/>
      <c r="H931" s="339"/>
      <c r="J931" s="340"/>
      <c r="M931" s="19"/>
      <c r="N931" s="280"/>
    </row>
    <row r="932" ht="15.75" customHeight="1">
      <c r="G932" s="339"/>
      <c r="H932" s="339"/>
      <c r="J932" s="340"/>
      <c r="M932" s="19"/>
      <c r="N932" s="280"/>
    </row>
    <row r="933" ht="15.75" customHeight="1">
      <c r="G933" s="339"/>
      <c r="H933" s="339"/>
      <c r="J933" s="340"/>
      <c r="M933" s="19"/>
      <c r="N933" s="280"/>
    </row>
    <row r="934" ht="15.75" customHeight="1">
      <c r="G934" s="339"/>
      <c r="H934" s="339"/>
      <c r="J934" s="340"/>
      <c r="M934" s="19"/>
      <c r="N934" s="280"/>
    </row>
    <row r="935" ht="15.75" customHeight="1">
      <c r="G935" s="339"/>
      <c r="H935" s="339"/>
      <c r="J935" s="340"/>
      <c r="M935" s="19"/>
      <c r="N935" s="280"/>
    </row>
    <row r="936" ht="15.75" customHeight="1">
      <c r="G936" s="339"/>
      <c r="H936" s="339"/>
      <c r="J936" s="340"/>
      <c r="M936" s="19"/>
      <c r="N936" s="280"/>
    </row>
    <row r="937" ht="15.75" customHeight="1">
      <c r="G937" s="339"/>
      <c r="H937" s="339"/>
      <c r="J937" s="340"/>
      <c r="M937" s="19"/>
      <c r="N937" s="280"/>
    </row>
    <row r="938" ht="15.75" customHeight="1">
      <c r="G938" s="339"/>
      <c r="H938" s="339"/>
      <c r="J938" s="340"/>
      <c r="M938" s="19"/>
      <c r="N938" s="280"/>
    </row>
    <row r="939" ht="15.75" customHeight="1">
      <c r="G939" s="339"/>
      <c r="H939" s="339"/>
      <c r="J939" s="340"/>
      <c r="M939" s="19"/>
      <c r="N939" s="280"/>
    </row>
    <row r="940" ht="15.75" customHeight="1">
      <c r="G940" s="339"/>
      <c r="H940" s="339"/>
      <c r="J940" s="340"/>
      <c r="M940" s="19"/>
      <c r="N940" s="280"/>
    </row>
    <row r="941" ht="15.75" customHeight="1">
      <c r="G941" s="339"/>
      <c r="H941" s="339"/>
      <c r="J941" s="340"/>
      <c r="M941" s="19"/>
      <c r="N941" s="280"/>
    </row>
    <row r="942" ht="15.75" customHeight="1">
      <c r="G942" s="339"/>
      <c r="H942" s="339"/>
      <c r="J942" s="340"/>
      <c r="M942" s="19"/>
      <c r="N942" s="280"/>
    </row>
    <row r="943" ht="15.75" customHeight="1">
      <c r="G943" s="339"/>
      <c r="H943" s="339"/>
      <c r="J943" s="340"/>
      <c r="M943" s="19"/>
      <c r="N943" s="280"/>
    </row>
    <row r="944" ht="15.75" customHeight="1">
      <c r="G944" s="339"/>
      <c r="H944" s="339"/>
      <c r="J944" s="340"/>
      <c r="M944" s="19"/>
      <c r="N944" s="280"/>
    </row>
    <row r="945" ht="15.75" customHeight="1">
      <c r="G945" s="339"/>
      <c r="H945" s="339"/>
      <c r="J945" s="340"/>
      <c r="M945" s="19"/>
      <c r="N945" s="280"/>
    </row>
    <row r="946" ht="15.75" customHeight="1">
      <c r="G946" s="339"/>
      <c r="H946" s="339"/>
      <c r="J946" s="340"/>
      <c r="M946" s="19"/>
      <c r="N946" s="280"/>
    </row>
    <row r="947" ht="15.75" customHeight="1">
      <c r="G947" s="339"/>
      <c r="H947" s="339"/>
      <c r="J947" s="340"/>
      <c r="M947" s="19"/>
      <c r="N947" s="280"/>
    </row>
    <row r="948" ht="15.75" customHeight="1">
      <c r="G948" s="339"/>
      <c r="H948" s="339"/>
      <c r="J948" s="340"/>
      <c r="M948" s="19"/>
      <c r="N948" s="280"/>
    </row>
    <row r="949" ht="15.75" customHeight="1">
      <c r="G949" s="339"/>
      <c r="H949" s="339"/>
      <c r="J949" s="340"/>
      <c r="M949" s="19"/>
      <c r="N949" s="280"/>
    </row>
    <row r="950" ht="15.75" customHeight="1">
      <c r="G950" s="339"/>
      <c r="H950" s="339"/>
      <c r="J950" s="340"/>
      <c r="M950" s="19"/>
      <c r="N950" s="280"/>
    </row>
    <row r="951" ht="15.75" customHeight="1">
      <c r="G951" s="339"/>
      <c r="H951" s="339"/>
      <c r="J951" s="340"/>
      <c r="M951" s="19"/>
      <c r="N951" s="280"/>
    </row>
    <row r="952" ht="15.75" customHeight="1">
      <c r="G952" s="339"/>
      <c r="H952" s="339"/>
      <c r="J952" s="340"/>
      <c r="M952" s="19"/>
      <c r="N952" s="280"/>
    </row>
    <row r="953" ht="15.75" customHeight="1">
      <c r="G953" s="339"/>
      <c r="H953" s="339"/>
      <c r="J953" s="340"/>
      <c r="M953" s="19"/>
      <c r="N953" s="280"/>
    </row>
    <row r="954" ht="15.75" customHeight="1">
      <c r="G954" s="339"/>
      <c r="H954" s="339"/>
      <c r="J954" s="340"/>
      <c r="M954" s="19"/>
      <c r="N954" s="280"/>
    </row>
    <row r="955" ht="15.75" customHeight="1">
      <c r="G955" s="339"/>
      <c r="H955" s="339"/>
      <c r="J955" s="340"/>
      <c r="M955" s="19"/>
      <c r="N955" s="280"/>
    </row>
    <row r="956" ht="15.75" customHeight="1">
      <c r="G956" s="339"/>
      <c r="H956" s="339"/>
      <c r="J956" s="340"/>
      <c r="M956" s="19"/>
      <c r="N956" s="280"/>
    </row>
    <row r="957" ht="15.75" customHeight="1">
      <c r="G957" s="339"/>
      <c r="H957" s="339"/>
      <c r="J957" s="340"/>
      <c r="M957" s="19"/>
      <c r="N957" s="280"/>
    </row>
    <row r="958" ht="15.75" customHeight="1">
      <c r="G958" s="339"/>
      <c r="H958" s="339"/>
      <c r="J958" s="340"/>
      <c r="M958" s="19"/>
      <c r="N958" s="280"/>
    </row>
    <row r="959" ht="15.75" customHeight="1">
      <c r="G959" s="339"/>
      <c r="H959" s="339"/>
      <c r="J959" s="340"/>
      <c r="M959" s="19"/>
      <c r="N959" s="280"/>
    </row>
    <row r="960" ht="15.75" customHeight="1">
      <c r="G960" s="339"/>
      <c r="H960" s="339"/>
      <c r="J960" s="340"/>
      <c r="M960" s="19"/>
      <c r="N960" s="280"/>
    </row>
    <row r="961" ht="15.75" customHeight="1">
      <c r="G961" s="339"/>
      <c r="H961" s="339"/>
      <c r="J961" s="340"/>
      <c r="M961" s="19"/>
      <c r="N961" s="280"/>
    </row>
    <row r="962" ht="15.75" customHeight="1">
      <c r="G962" s="339"/>
      <c r="H962" s="339"/>
      <c r="J962" s="340"/>
      <c r="M962" s="19"/>
      <c r="N962" s="280"/>
    </row>
    <row r="963" ht="15.75" customHeight="1">
      <c r="G963" s="339"/>
      <c r="H963" s="339"/>
      <c r="J963" s="340"/>
      <c r="M963" s="19"/>
      <c r="N963" s="280"/>
    </row>
    <row r="964" ht="15.75" customHeight="1">
      <c r="G964" s="339"/>
      <c r="H964" s="339"/>
      <c r="J964" s="340"/>
      <c r="M964" s="19"/>
      <c r="N964" s="280"/>
    </row>
    <row r="965" ht="15.75" customHeight="1">
      <c r="G965" s="339"/>
      <c r="H965" s="339"/>
      <c r="J965" s="340"/>
      <c r="M965" s="19"/>
      <c r="N965" s="280"/>
    </row>
    <row r="966" ht="15.75" customHeight="1">
      <c r="G966" s="339"/>
      <c r="H966" s="339"/>
      <c r="J966" s="340"/>
      <c r="M966" s="19"/>
      <c r="N966" s="280"/>
    </row>
    <row r="967" ht="15.75" customHeight="1">
      <c r="G967" s="339"/>
      <c r="H967" s="339"/>
      <c r="J967" s="340"/>
      <c r="M967" s="19"/>
      <c r="N967" s="280"/>
    </row>
    <row r="968" ht="15.75" customHeight="1">
      <c r="G968" s="339"/>
      <c r="H968" s="339"/>
      <c r="J968" s="340"/>
      <c r="M968" s="19"/>
      <c r="N968" s="280"/>
    </row>
    <row r="969" ht="15.75" customHeight="1">
      <c r="G969" s="339"/>
      <c r="H969" s="339"/>
      <c r="J969" s="340"/>
      <c r="M969" s="19"/>
      <c r="N969" s="280"/>
    </row>
    <row r="970" ht="15.75" customHeight="1">
      <c r="G970" s="339"/>
      <c r="H970" s="339"/>
      <c r="J970" s="340"/>
      <c r="M970" s="19"/>
      <c r="N970" s="280"/>
    </row>
    <row r="971" ht="15.75" customHeight="1">
      <c r="G971" s="339"/>
      <c r="H971" s="339"/>
      <c r="J971" s="340"/>
      <c r="M971" s="19"/>
      <c r="N971" s="280"/>
    </row>
    <row r="972" ht="15.75" customHeight="1">
      <c r="G972" s="339"/>
      <c r="H972" s="339"/>
      <c r="J972" s="340"/>
      <c r="M972" s="19"/>
      <c r="N972" s="280"/>
    </row>
    <row r="973" ht="15.75" customHeight="1">
      <c r="G973" s="339"/>
      <c r="H973" s="339"/>
      <c r="J973" s="340"/>
      <c r="M973" s="19"/>
      <c r="N973" s="280"/>
    </row>
    <row r="974" ht="15.75" customHeight="1">
      <c r="G974" s="339"/>
      <c r="H974" s="339"/>
      <c r="J974" s="340"/>
      <c r="M974" s="19"/>
      <c r="N974" s="280"/>
    </row>
    <row r="975" ht="15.75" customHeight="1">
      <c r="G975" s="339"/>
      <c r="H975" s="339"/>
      <c r="J975" s="340"/>
      <c r="M975" s="19"/>
      <c r="N975" s="280"/>
    </row>
    <row r="976" ht="15.75" customHeight="1">
      <c r="G976" s="339"/>
      <c r="H976" s="339"/>
      <c r="J976" s="340"/>
      <c r="M976" s="19"/>
      <c r="N976" s="280"/>
    </row>
    <row r="977" ht="15.75" customHeight="1">
      <c r="G977" s="339"/>
      <c r="H977" s="339"/>
      <c r="J977" s="340"/>
      <c r="M977" s="19"/>
      <c r="N977" s="280"/>
    </row>
    <row r="978" ht="15.75" customHeight="1">
      <c r="G978" s="339"/>
      <c r="H978" s="339"/>
      <c r="J978" s="340"/>
      <c r="M978" s="19"/>
      <c r="N978" s="280"/>
    </row>
    <row r="979" ht="15.75" customHeight="1">
      <c r="G979" s="339"/>
      <c r="H979" s="339"/>
      <c r="J979" s="340"/>
      <c r="M979" s="19"/>
      <c r="N979" s="280"/>
    </row>
    <row r="980" ht="15.75" customHeight="1">
      <c r="G980" s="339"/>
      <c r="H980" s="339"/>
      <c r="J980" s="340"/>
      <c r="M980" s="19"/>
      <c r="N980" s="280"/>
    </row>
    <row r="981" ht="15.75" customHeight="1">
      <c r="G981" s="339"/>
      <c r="H981" s="339"/>
      <c r="J981" s="340"/>
      <c r="M981" s="19"/>
      <c r="N981" s="280"/>
    </row>
    <row r="982" ht="15.75" customHeight="1">
      <c r="G982" s="339"/>
      <c r="H982" s="339"/>
      <c r="J982" s="340"/>
      <c r="M982" s="19"/>
      <c r="N982" s="280"/>
    </row>
    <row r="983" ht="15.75" customHeight="1">
      <c r="G983" s="339"/>
      <c r="H983" s="339"/>
      <c r="J983" s="340"/>
      <c r="M983" s="19"/>
      <c r="N983" s="280"/>
    </row>
    <row r="984" ht="15.75" customHeight="1">
      <c r="G984" s="339"/>
      <c r="H984" s="339"/>
      <c r="J984" s="340"/>
      <c r="M984" s="19"/>
      <c r="N984" s="280"/>
    </row>
    <row r="985" ht="15.75" customHeight="1">
      <c r="G985" s="339"/>
      <c r="H985" s="339"/>
      <c r="J985" s="340"/>
      <c r="M985" s="19"/>
      <c r="N985" s="280"/>
    </row>
    <row r="986" ht="15.75" customHeight="1">
      <c r="G986" s="339"/>
      <c r="H986" s="339"/>
      <c r="J986" s="340"/>
      <c r="M986" s="19"/>
      <c r="N986" s="280"/>
    </row>
    <row r="987" ht="15.75" customHeight="1">
      <c r="G987" s="339"/>
      <c r="H987" s="339"/>
      <c r="J987" s="340"/>
      <c r="M987" s="19"/>
      <c r="N987" s="280"/>
    </row>
    <row r="988" ht="15.75" customHeight="1">
      <c r="G988" s="339"/>
      <c r="H988" s="339"/>
      <c r="J988" s="340"/>
      <c r="M988" s="19"/>
      <c r="N988" s="280"/>
    </row>
    <row r="989" ht="15.75" customHeight="1">
      <c r="G989" s="339"/>
      <c r="H989" s="339"/>
      <c r="J989" s="340"/>
      <c r="M989" s="19"/>
      <c r="N989" s="280"/>
    </row>
    <row r="990" ht="15.75" customHeight="1">
      <c r="G990" s="339"/>
      <c r="H990" s="339"/>
      <c r="J990" s="340"/>
      <c r="M990" s="19"/>
      <c r="N990" s="280"/>
    </row>
    <row r="991" ht="15.75" customHeight="1">
      <c r="G991" s="339"/>
      <c r="H991" s="339"/>
      <c r="J991" s="340"/>
      <c r="M991" s="19"/>
      <c r="N991" s="280"/>
    </row>
    <row r="992" ht="15.75" customHeight="1">
      <c r="G992" s="339"/>
      <c r="H992" s="339"/>
      <c r="J992" s="340"/>
      <c r="M992" s="19"/>
      <c r="N992" s="280"/>
    </row>
    <row r="993" ht="15.75" customHeight="1">
      <c r="G993" s="339"/>
      <c r="H993" s="339"/>
      <c r="J993" s="340"/>
      <c r="M993" s="19"/>
      <c r="N993" s="280"/>
    </row>
    <row r="994" ht="15.75" customHeight="1">
      <c r="G994" s="339"/>
      <c r="H994" s="339"/>
      <c r="J994" s="340"/>
      <c r="M994" s="19"/>
      <c r="N994" s="280"/>
    </row>
    <row r="995" ht="15.75" customHeight="1">
      <c r="G995" s="339"/>
      <c r="H995" s="339"/>
      <c r="J995" s="340"/>
      <c r="M995" s="19"/>
      <c r="N995" s="280"/>
    </row>
    <row r="996" ht="15.75" customHeight="1">
      <c r="G996" s="339"/>
      <c r="H996" s="339"/>
      <c r="J996" s="340"/>
      <c r="M996" s="19"/>
      <c r="N996" s="280"/>
    </row>
    <row r="997" ht="15.75" customHeight="1">
      <c r="G997" s="339"/>
      <c r="H997" s="339"/>
      <c r="J997" s="340"/>
      <c r="M997" s="19"/>
      <c r="N997" s="280"/>
    </row>
    <row r="998" ht="15.75" customHeight="1">
      <c r="G998" s="339"/>
      <c r="H998" s="339"/>
      <c r="J998" s="340"/>
      <c r="M998" s="19"/>
      <c r="N998" s="280"/>
    </row>
    <row r="999" ht="15.75" customHeight="1">
      <c r="G999" s="339"/>
      <c r="H999" s="339"/>
      <c r="J999" s="340"/>
      <c r="M999" s="19"/>
      <c r="N999" s="280"/>
    </row>
    <row r="1000" ht="15.75" customHeight="1">
      <c r="G1000" s="339"/>
      <c r="H1000" s="339"/>
      <c r="J1000" s="340"/>
      <c r="M1000" s="19"/>
      <c r="N1000" s="280"/>
    </row>
  </sheetData>
  <mergeCells count="1">
    <mergeCell ref="C1:M1"/>
  </mergeCells>
  <hyperlinks>
    <hyperlink r:id="rId2" ref="N4"/>
    <hyperlink r:id="rId3" ref="N12"/>
    <hyperlink r:id="rId4" ref="N14"/>
    <hyperlink r:id="rId5" ref="N15"/>
    <hyperlink r:id="rId6" ref="N16"/>
    <hyperlink r:id="rId7" ref="N17"/>
    <hyperlink r:id="rId8" ref="N18"/>
    <hyperlink r:id="rId9" ref="N20"/>
    <hyperlink r:id="rId10" ref="N21"/>
    <hyperlink r:id="rId11" ref="N22"/>
    <hyperlink r:id="rId12" ref="N24"/>
    <hyperlink r:id="rId13" ref="N25"/>
    <hyperlink r:id="rId14" ref="N26"/>
    <hyperlink r:id="rId15" ref="N27"/>
    <hyperlink r:id="rId16" ref="N28"/>
    <hyperlink r:id="rId17" ref="N29"/>
    <hyperlink r:id="rId18" ref="N30"/>
    <hyperlink r:id="rId19" ref="N31"/>
    <hyperlink r:id="rId20" ref="N87"/>
    <hyperlink r:id="rId21" ref="N88"/>
    <hyperlink r:id="rId22" ref="N89"/>
    <hyperlink r:id="rId23" ref="N90"/>
    <hyperlink r:id="rId24" ref="N91"/>
    <hyperlink r:id="rId25" ref="N92"/>
    <hyperlink r:id="rId26" ref="N93"/>
    <hyperlink r:id="rId27" ref="N94"/>
    <hyperlink r:id="rId28" ref="N95"/>
    <hyperlink r:id="rId29" ref="N111"/>
  </hyperlinks>
  <printOptions/>
  <pageMargins bottom="0.75" footer="0.0" header="0.0" left="0.7" right="0.7" top="0.75"/>
  <pageSetup orientation="landscape"/>
  <drawing r:id="rId30"/>
  <legacyDrawing r:id="rId31"/>
  <tableParts count="1">
    <tablePart r:id="rId3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19.38"/>
    <col customWidth="1" min="3" max="3" width="25.13"/>
    <col customWidth="1" min="4" max="4" width="13.5"/>
    <col customWidth="1" min="5" max="5" width="19.25"/>
    <col customWidth="1" min="6" max="6" width="14.63"/>
    <col customWidth="1" min="7" max="7" width="18.13"/>
    <col customWidth="1" min="8" max="8" width="18.38"/>
    <col customWidth="1" min="9" max="9" width="19.38"/>
    <col customWidth="1" min="10" max="10" width="20.13"/>
    <col customWidth="1" min="11" max="11" width="21.5"/>
    <col customWidth="1" min="12" max="12" width="28.63"/>
    <col customWidth="1" min="13" max="13" width="17.63"/>
    <col customWidth="1" min="14" max="14" width="34.13"/>
    <col customWidth="1" min="15" max="15" width="10.63"/>
    <col customWidth="1" min="16" max="16" width="15.63"/>
    <col customWidth="1" min="17" max="17" width="47.38"/>
    <col customWidth="1" min="18" max="26" width="8.88"/>
  </cols>
  <sheetData>
    <row r="1">
      <c r="A1" s="145" t="s">
        <v>359</v>
      </c>
      <c r="B1" s="302" t="s">
        <v>736</v>
      </c>
      <c r="C1" s="146" t="s">
        <v>737</v>
      </c>
      <c r="D1" s="147"/>
      <c r="E1" s="147"/>
      <c r="F1" s="147"/>
      <c r="G1" s="303" t="s">
        <v>709</v>
      </c>
      <c r="H1" s="264"/>
      <c r="I1" s="264"/>
      <c r="J1" s="264"/>
      <c r="K1" s="264"/>
      <c r="L1" s="264"/>
      <c r="M1" s="264"/>
      <c r="N1" s="264"/>
      <c r="O1" s="264"/>
      <c r="P1" s="264"/>
      <c r="Q1" s="265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7</v>
      </c>
      <c r="G2" s="24" t="s">
        <v>26</v>
      </c>
      <c r="H2" s="24" t="s">
        <v>27</v>
      </c>
      <c r="I2" s="22" t="s">
        <v>28</v>
      </c>
      <c r="J2" s="22" t="s">
        <v>213</v>
      </c>
      <c r="K2" s="22" t="s">
        <v>15</v>
      </c>
      <c r="L2" s="22" t="s">
        <v>16</v>
      </c>
      <c r="M2" s="22" t="s">
        <v>29</v>
      </c>
      <c r="N2" s="22" t="s">
        <v>30</v>
      </c>
      <c r="O2" s="22" t="s">
        <v>20</v>
      </c>
      <c r="P2" s="30" t="s">
        <v>21</v>
      </c>
      <c r="Q2" s="30" t="s">
        <v>34</v>
      </c>
    </row>
    <row r="3">
      <c r="A3" s="44">
        <v>1.0</v>
      </c>
      <c r="B3" s="44" t="s">
        <v>133</v>
      </c>
      <c r="C3" s="44" t="s">
        <v>25</v>
      </c>
      <c r="D3" s="44">
        <v>1.0</v>
      </c>
      <c r="E3" s="44">
        <v>0.0</v>
      </c>
      <c r="F3" s="44">
        <f t="shared" ref="F3:F37" si="1">D3-E3</f>
        <v>1</v>
      </c>
      <c r="G3" s="40">
        <v>419000.0</v>
      </c>
      <c r="H3" s="40">
        <f t="shared" ref="H3:H37" si="2">D3*G3</f>
        <v>419000</v>
      </c>
      <c r="I3" s="257" t="s">
        <v>695</v>
      </c>
      <c r="J3" s="44" t="s">
        <v>738</v>
      </c>
      <c r="K3" s="44" t="s">
        <v>467</v>
      </c>
      <c r="L3" s="44" t="s">
        <v>468</v>
      </c>
      <c r="M3" s="44"/>
      <c r="N3" s="44"/>
      <c r="O3" s="44"/>
      <c r="P3" s="119">
        <v>45955.0</v>
      </c>
      <c r="Q3" s="304"/>
    </row>
    <row r="4">
      <c r="A4" s="59">
        <v>1.0</v>
      </c>
      <c r="B4" s="59" t="s">
        <v>133</v>
      </c>
      <c r="C4" s="59" t="s">
        <v>25</v>
      </c>
      <c r="D4" s="59">
        <v>1.0</v>
      </c>
      <c r="E4" s="110">
        <v>1.0</v>
      </c>
      <c r="F4" s="59">
        <f t="shared" si="1"/>
        <v>0</v>
      </c>
      <c r="G4" s="54">
        <v>419000.0</v>
      </c>
      <c r="H4" s="54">
        <f t="shared" si="2"/>
        <v>419000</v>
      </c>
      <c r="I4" s="258" t="s">
        <v>697</v>
      </c>
      <c r="J4" s="59" t="s">
        <v>738</v>
      </c>
      <c r="K4" s="59" t="s">
        <v>467</v>
      </c>
      <c r="L4" s="59" t="s">
        <v>468</v>
      </c>
      <c r="M4" s="59"/>
      <c r="N4" s="59"/>
      <c r="O4" s="59"/>
      <c r="P4" s="120">
        <v>45955.0</v>
      </c>
      <c r="Q4" s="305"/>
    </row>
    <row r="5">
      <c r="A5" s="44">
        <v>1.0</v>
      </c>
      <c r="B5" s="44" t="s">
        <v>133</v>
      </c>
      <c r="C5" s="44" t="s">
        <v>25</v>
      </c>
      <c r="D5" s="44">
        <v>1.0</v>
      </c>
      <c r="E5" s="44">
        <v>0.0</v>
      </c>
      <c r="F5" s="44">
        <f t="shared" si="1"/>
        <v>1</v>
      </c>
      <c r="G5" s="40">
        <v>419000.0</v>
      </c>
      <c r="H5" s="40">
        <f t="shared" si="2"/>
        <v>419000</v>
      </c>
      <c r="I5" s="257" t="s">
        <v>698</v>
      </c>
      <c r="J5" s="44" t="s">
        <v>738</v>
      </c>
      <c r="K5" s="44" t="s">
        <v>467</v>
      </c>
      <c r="L5" s="44" t="s">
        <v>468</v>
      </c>
      <c r="M5" s="44"/>
      <c r="N5" s="44"/>
      <c r="O5" s="44"/>
      <c r="P5" s="119">
        <v>45955.0</v>
      </c>
      <c r="Q5" s="304"/>
    </row>
    <row r="6">
      <c r="A6" s="59">
        <v>1.0</v>
      </c>
      <c r="B6" s="59" t="s">
        <v>133</v>
      </c>
      <c r="C6" s="59" t="s">
        <v>25</v>
      </c>
      <c r="D6" s="59">
        <v>1.0</v>
      </c>
      <c r="E6" s="59">
        <v>0.0</v>
      </c>
      <c r="F6" s="59">
        <f t="shared" si="1"/>
        <v>1</v>
      </c>
      <c r="G6" s="54">
        <v>419000.0</v>
      </c>
      <c r="H6" s="54">
        <f t="shared" si="2"/>
        <v>419000</v>
      </c>
      <c r="I6" s="258" t="s">
        <v>699</v>
      </c>
      <c r="J6" s="59" t="s">
        <v>738</v>
      </c>
      <c r="K6" s="59" t="s">
        <v>467</v>
      </c>
      <c r="L6" s="59" t="s">
        <v>468</v>
      </c>
      <c r="M6" s="59"/>
      <c r="N6" s="59"/>
      <c r="O6" s="59"/>
      <c r="P6" s="120">
        <v>45955.0</v>
      </c>
      <c r="Q6" s="305"/>
    </row>
    <row r="7">
      <c r="A7" s="44">
        <v>1.0</v>
      </c>
      <c r="B7" s="44" t="s">
        <v>133</v>
      </c>
      <c r="C7" s="44" t="s">
        <v>25</v>
      </c>
      <c r="D7" s="44">
        <v>1.0</v>
      </c>
      <c r="E7" s="44">
        <v>0.0</v>
      </c>
      <c r="F7" s="44">
        <f t="shared" si="1"/>
        <v>1</v>
      </c>
      <c r="G7" s="40">
        <v>419000.0</v>
      </c>
      <c r="H7" s="40">
        <f t="shared" si="2"/>
        <v>419000</v>
      </c>
      <c r="I7" s="257" t="s">
        <v>700</v>
      </c>
      <c r="J7" s="44" t="s">
        <v>738</v>
      </c>
      <c r="K7" s="44" t="s">
        <v>467</v>
      </c>
      <c r="L7" s="44" t="s">
        <v>468</v>
      </c>
      <c r="M7" s="44"/>
      <c r="N7" s="44"/>
      <c r="O7" s="44"/>
      <c r="P7" s="119">
        <v>45955.0</v>
      </c>
      <c r="Q7" s="304"/>
    </row>
    <row r="8">
      <c r="A8" s="59">
        <v>1.0</v>
      </c>
      <c r="B8" s="59" t="s">
        <v>133</v>
      </c>
      <c r="C8" s="59" t="s">
        <v>25</v>
      </c>
      <c r="D8" s="59">
        <v>1.0</v>
      </c>
      <c r="E8" s="59">
        <v>0.0</v>
      </c>
      <c r="F8" s="59">
        <f t="shared" si="1"/>
        <v>1</v>
      </c>
      <c r="G8" s="54">
        <v>419000.0</v>
      </c>
      <c r="H8" s="54">
        <f t="shared" si="2"/>
        <v>419000</v>
      </c>
      <c r="I8" s="258" t="s">
        <v>701</v>
      </c>
      <c r="J8" s="59" t="s">
        <v>738</v>
      </c>
      <c r="K8" s="59" t="s">
        <v>467</v>
      </c>
      <c r="L8" s="59" t="s">
        <v>468</v>
      </c>
      <c r="M8" s="59"/>
      <c r="N8" s="59"/>
      <c r="O8" s="59"/>
      <c r="P8" s="120">
        <v>45955.0</v>
      </c>
      <c r="Q8" s="305"/>
    </row>
    <row r="9">
      <c r="A9" s="44">
        <v>1.0</v>
      </c>
      <c r="B9" s="44" t="s">
        <v>133</v>
      </c>
      <c r="C9" s="44" t="s">
        <v>25</v>
      </c>
      <c r="D9" s="44">
        <v>1.0</v>
      </c>
      <c r="E9" s="44">
        <v>0.0</v>
      </c>
      <c r="F9" s="44">
        <f t="shared" si="1"/>
        <v>1</v>
      </c>
      <c r="G9" s="40">
        <v>419000.0</v>
      </c>
      <c r="H9" s="40">
        <f t="shared" si="2"/>
        <v>419000</v>
      </c>
      <c r="I9" s="257" t="s">
        <v>702</v>
      </c>
      <c r="J9" s="44" t="s">
        <v>738</v>
      </c>
      <c r="K9" s="44" t="s">
        <v>467</v>
      </c>
      <c r="L9" s="44" t="s">
        <v>468</v>
      </c>
      <c r="M9" s="44"/>
      <c r="N9" s="44"/>
      <c r="O9" s="44"/>
      <c r="P9" s="119">
        <v>45955.0</v>
      </c>
      <c r="Q9" s="304"/>
    </row>
    <row r="10">
      <c r="A10" s="59">
        <v>1.0</v>
      </c>
      <c r="B10" s="59" t="s">
        <v>133</v>
      </c>
      <c r="C10" s="59" t="s">
        <v>25</v>
      </c>
      <c r="D10" s="59">
        <v>1.0</v>
      </c>
      <c r="E10" s="58">
        <v>1.0</v>
      </c>
      <c r="F10" s="59">
        <f t="shared" si="1"/>
        <v>0</v>
      </c>
      <c r="G10" s="54">
        <v>419000.0</v>
      </c>
      <c r="H10" s="54">
        <f t="shared" si="2"/>
        <v>419000</v>
      </c>
      <c r="I10" s="258" t="s">
        <v>703</v>
      </c>
      <c r="J10" s="59" t="s">
        <v>738</v>
      </c>
      <c r="K10" s="59" t="s">
        <v>467</v>
      </c>
      <c r="L10" s="59" t="s">
        <v>468</v>
      </c>
      <c r="M10" s="59"/>
      <c r="N10" s="59"/>
      <c r="O10" s="59"/>
      <c r="P10" s="120">
        <v>45955.0</v>
      </c>
      <c r="Q10" s="305"/>
    </row>
    <row r="11">
      <c r="A11" s="44">
        <v>1.0</v>
      </c>
      <c r="B11" s="44" t="s">
        <v>133</v>
      </c>
      <c r="C11" s="44" t="s">
        <v>25</v>
      </c>
      <c r="D11" s="44">
        <v>1.0</v>
      </c>
      <c r="E11" s="44">
        <v>0.0</v>
      </c>
      <c r="F11" s="44">
        <f t="shared" si="1"/>
        <v>1</v>
      </c>
      <c r="G11" s="40">
        <v>419000.0</v>
      </c>
      <c r="H11" s="40">
        <f t="shared" si="2"/>
        <v>419000</v>
      </c>
      <c r="I11" s="257" t="s">
        <v>704</v>
      </c>
      <c r="J11" s="44" t="s">
        <v>738</v>
      </c>
      <c r="K11" s="44" t="s">
        <v>467</v>
      </c>
      <c r="L11" s="44" t="s">
        <v>468</v>
      </c>
      <c r="M11" s="44"/>
      <c r="N11" s="44"/>
      <c r="O11" s="44"/>
      <c r="P11" s="119">
        <v>45955.0</v>
      </c>
      <c r="Q11" s="304"/>
    </row>
    <row r="12">
      <c r="A12" s="59">
        <v>1.0</v>
      </c>
      <c r="B12" s="59" t="s">
        <v>133</v>
      </c>
      <c r="C12" s="59" t="s">
        <v>25</v>
      </c>
      <c r="D12" s="59">
        <v>1.0</v>
      </c>
      <c r="E12" s="59">
        <v>0.0</v>
      </c>
      <c r="F12" s="59">
        <f t="shared" si="1"/>
        <v>1</v>
      </c>
      <c r="G12" s="54">
        <v>419000.0</v>
      </c>
      <c r="H12" s="54">
        <f t="shared" si="2"/>
        <v>419000</v>
      </c>
      <c r="I12" s="258" t="s">
        <v>705</v>
      </c>
      <c r="J12" s="59" t="s">
        <v>738</v>
      </c>
      <c r="K12" s="59" t="s">
        <v>467</v>
      </c>
      <c r="L12" s="59" t="s">
        <v>468</v>
      </c>
      <c r="M12" s="59"/>
      <c r="N12" s="59"/>
      <c r="O12" s="59"/>
      <c r="P12" s="120">
        <v>45955.0</v>
      </c>
      <c r="Q12" s="305"/>
    </row>
    <row r="13">
      <c r="A13" s="44">
        <v>1.0</v>
      </c>
      <c r="B13" s="44" t="s">
        <v>133</v>
      </c>
      <c r="C13" s="44" t="s">
        <v>25</v>
      </c>
      <c r="D13" s="44">
        <v>1.0</v>
      </c>
      <c r="E13" s="44">
        <v>0.0</v>
      </c>
      <c r="F13" s="44">
        <f t="shared" si="1"/>
        <v>1</v>
      </c>
      <c r="G13" s="40">
        <v>419000.0</v>
      </c>
      <c r="H13" s="40">
        <f t="shared" si="2"/>
        <v>419000</v>
      </c>
      <c r="I13" s="257" t="s">
        <v>708</v>
      </c>
      <c r="J13" s="44" t="s">
        <v>738</v>
      </c>
      <c r="K13" s="44" t="s">
        <v>467</v>
      </c>
      <c r="L13" s="44" t="s">
        <v>468</v>
      </c>
      <c r="M13" s="44"/>
      <c r="N13" s="44"/>
      <c r="O13" s="44"/>
      <c r="P13" s="119">
        <v>45955.0</v>
      </c>
      <c r="Q13" s="304"/>
    </row>
    <row r="14">
      <c r="A14" s="59">
        <v>1.0</v>
      </c>
      <c r="B14" s="59" t="s">
        <v>133</v>
      </c>
      <c r="C14" s="59" t="s">
        <v>25</v>
      </c>
      <c r="D14" s="59">
        <v>1.0</v>
      </c>
      <c r="E14" s="58">
        <v>1.0</v>
      </c>
      <c r="F14" s="59">
        <f t="shared" si="1"/>
        <v>0</v>
      </c>
      <c r="G14" s="54">
        <v>419000.0</v>
      </c>
      <c r="H14" s="54">
        <f t="shared" si="2"/>
        <v>419000</v>
      </c>
      <c r="I14" s="258" t="s">
        <v>710</v>
      </c>
      <c r="J14" s="59" t="s">
        <v>738</v>
      </c>
      <c r="K14" s="59" t="s">
        <v>467</v>
      </c>
      <c r="L14" s="59" t="s">
        <v>468</v>
      </c>
      <c r="M14" s="59"/>
      <c r="N14" s="59"/>
      <c r="O14" s="59"/>
      <c r="P14" s="120">
        <v>45955.0</v>
      </c>
      <c r="Q14" s="305"/>
    </row>
    <row r="15">
      <c r="A15" s="44">
        <v>1.0</v>
      </c>
      <c r="B15" s="44" t="s">
        <v>133</v>
      </c>
      <c r="C15" s="44" t="s">
        <v>25</v>
      </c>
      <c r="D15" s="44">
        <v>1.0</v>
      </c>
      <c r="E15" s="43">
        <v>1.0</v>
      </c>
      <c r="F15" s="44">
        <f t="shared" si="1"/>
        <v>0</v>
      </c>
      <c r="G15" s="40">
        <v>419000.0</v>
      </c>
      <c r="H15" s="40">
        <f t="shared" si="2"/>
        <v>419000</v>
      </c>
      <c r="I15" s="257" t="s">
        <v>711</v>
      </c>
      <c r="J15" s="44" t="s">
        <v>738</v>
      </c>
      <c r="K15" s="44" t="s">
        <v>467</v>
      </c>
      <c r="L15" s="44" t="s">
        <v>468</v>
      </c>
      <c r="M15" s="44"/>
      <c r="N15" s="44"/>
      <c r="O15" s="44"/>
      <c r="P15" s="119">
        <v>45955.0</v>
      </c>
      <c r="Q15" s="304"/>
    </row>
    <row r="16">
      <c r="A16" s="59">
        <v>1.0</v>
      </c>
      <c r="B16" s="59" t="s">
        <v>133</v>
      </c>
      <c r="C16" s="59" t="s">
        <v>25</v>
      </c>
      <c r="D16" s="59">
        <v>1.0</v>
      </c>
      <c r="E16" s="59">
        <v>0.0</v>
      </c>
      <c r="F16" s="59">
        <f t="shared" si="1"/>
        <v>1</v>
      </c>
      <c r="G16" s="54">
        <v>419000.0</v>
      </c>
      <c r="H16" s="54">
        <f t="shared" si="2"/>
        <v>419000</v>
      </c>
      <c r="I16" s="258" t="s">
        <v>717</v>
      </c>
      <c r="J16" s="59" t="s">
        <v>738</v>
      </c>
      <c r="K16" s="59" t="s">
        <v>467</v>
      </c>
      <c r="L16" s="59" t="s">
        <v>468</v>
      </c>
      <c r="M16" s="59"/>
      <c r="N16" s="59"/>
      <c r="O16" s="59"/>
      <c r="P16" s="120">
        <v>45955.0</v>
      </c>
      <c r="Q16" s="305"/>
    </row>
    <row r="17">
      <c r="A17" s="44">
        <v>1.0</v>
      </c>
      <c r="B17" s="44" t="s">
        <v>133</v>
      </c>
      <c r="C17" s="44" t="s">
        <v>25</v>
      </c>
      <c r="D17" s="44">
        <v>1.0</v>
      </c>
      <c r="E17" s="44">
        <v>0.0</v>
      </c>
      <c r="F17" s="44">
        <f t="shared" si="1"/>
        <v>1</v>
      </c>
      <c r="G17" s="40">
        <v>419000.0</v>
      </c>
      <c r="H17" s="40">
        <f t="shared" si="2"/>
        <v>419000</v>
      </c>
      <c r="I17" s="257" t="s">
        <v>718</v>
      </c>
      <c r="J17" s="44" t="s">
        <v>738</v>
      </c>
      <c r="K17" s="44" t="s">
        <v>467</v>
      </c>
      <c r="L17" s="44" t="s">
        <v>468</v>
      </c>
      <c r="M17" s="44"/>
      <c r="N17" s="44"/>
      <c r="O17" s="44"/>
      <c r="P17" s="119">
        <v>45955.0</v>
      </c>
      <c r="Q17" s="304"/>
    </row>
    <row r="18">
      <c r="A18" s="59">
        <v>1.0</v>
      </c>
      <c r="B18" s="59" t="s">
        <v>133</v>
      </c>
      <c r="C18" s="59" t="s">
        <v>25</v>
      </c>
      <c r="D18" s="59">
        <v>2.0</v>
      </c>
      <c r="E18" s="59">
        <v>0.0</v>
      </c>
      <c r="F18" s="59">
        <f t="shared" si="1"/>
        <v>2</v>
      </c>
      <c r="G18" s="54">
        <v>419000.0</v>
      </c>
      <c r="H18" s="54">
        <f t="shared" si="2"/>
        <v>838000</v>
      </c>
      <c r="I18" s="258" t="s">
        <v>719</v>
      </c>
      <c r="J18" s="59" t="s">
        <v>738</v>
      </c>
      <c r="K18" s="59" t="s">
        <v>467</v>
      </c>
      <c r="L18" s="59" t="s">
        <v>468</v>
      </c>
      <c r="M18" s="59"/>
      <c r="N18" s="59"/>
      <c r="O18" s="59"/>
      <c r="P18" s="120">
        <v>45955.0</v>
      </c>
      <c r="Q18" s="305"/>
    </row>
    <row r="19">
      <c r="A19" s="44">
        <v>2.0</v>
      </c>
      <c r="B19" s="44" t="s">
        <v>136</v>
      </c>
      <c r="C19" s="44" t="s">
        <v>57</v>
      </c>
      <c r="D19" s="257">
        <v>1.0</v>
      </c>
      <c r="E19" s="83">
        <v>1.0</v>
      </c>
      <c r="F19" s="44">
        <f t="shared" si="1"/>
        <v>0</v>
      </c>
      <c r="G19" s="40">
        <v>580000.0</v>
      </c>
      <c r="H19" s="40">
        <f t="shared" si="2"/>
        <v>580000</v>
      </c>
      <c r="I19" s="257" t="s">
        <v>697</v>
      </c>
      <c r="J19" s="44" t="s">
        <v>747</v>
      </c>
      <c r="K19" s="44" t="s">
        <v>748</v>
      </c>
      <c r="L19" s="44" t="s">
        <v>749</v>
      </c>
      <c r="M19" s="44"/>
      <c r="N19" s="44"/>
      <c r="O19" s="44"/>
      <c r="P19" s="119">
        <v>45955.0</v>
      </c>
      <c r="Q19" s="304"/>
    </row>
    <row r="20">
      <c r="A20" s="59">
        <v>2.0</v>
      </c>
      <c r="B20" s="59" t="s">
        <v>136</v>
      </c>
      <c r="C20" s="59" t="s">
        <v>57</v>
      </c>
      <c r="D20" s="258">
        <v>1.0</v>
      </c>
      <c r="E20" s="90">
        <v>1.0</v>
      </c>
      <c r="F20" s="59">
        <f t="shared" si="1"/>
        <v>0</v>
      </c>
      <c r="G20" s="54">
        <v>580000.0</v>
      </c>
      <c r="H20" s="54">
        <f t="shared" si="2"/>
        <v>580000</v>
      </c>
      <c r="I20" s="258" t="s">
        <v>698</v>
      </c>
      <c r="J20" s="59" t="s">
        <v>750</v>
      </c>
      <c r="K20" s="59" t="s">
        <v>751</v>
      </c>
      <c r="L20" s="59" t="s">
        <v>749</v>
      </c>
      <c r="M20" s="59"/>
      <c r="N20" s="59"/>
      <c r="O20" s="59"/>
      <c r="P20" s="120">
        <v>45955.0</v>
      </c>
      <c r="Q20" s="305"/>
    </row>
    <row r="21" ht="15.75" customHeight="1">
      <c r="A21" s="44">
        <v>2.0</v>
      </c>
      <c r="B21" s="44" t="s">
        <v>136</v>
      </c>
      <c r="C21" s="44" t="s">
        <v>57</v>
      </c>
      <c r="D21" s="257">
        <v>1.0</v>
      </c>
      <c r="E21" s="83">
        <v>1.0</v>
      </c>
      <c r="F21" s="44">
        <f t="shared" si="1"/>
        <v>0</v>
      </c>
      <c r="G21" s="40">
        <v>580000.0</v>
      </c>
      <c r="H21" s="40">
        <f t="shared" si="2"/>
        <v>580000</v>
      </c>
      <c r="I21" s="257" t="s">
        <v>699</v>
      </c>
      <c r="J21" s="44" t="s">
        <v>752</v>
      </c>
      <c r="K21" s="44" t="s">
        <v>753</v>
      </c>
      <c r="L21" s="44" t="s">
        <v>749</v>
      </c>
      <c r="M21" s="44"/>
      <c r="N21" s="44"/>
      <c r="O21" s="44"/>
      <c r="P21" s="119">
        <v>45955.0</v>
      </c>
      <c r="Q21" s="304"/>
    </row>
    <row r="22" ht="15.75" customHeight="1">
      <c r="A22" s="59">
        <v>2.0</v>
      </c>
      <c r="B22" s="59" t="s">
        <v>136</v>
      </c>
      <c r="C22" s="59" t="s">
        <v>57</v>
      </c>
      <c r="D22" s="258">
        <v>1.0</v>
      </c>
      <c r="E22" s="90">
        <v>1.0</v>
      </c>
      <c r="F22" s="59">
        <f t="shared" si="1"/>
        <v>0</v>
      </c>
      <c r="G22" s="54">
        <v>580000.0</v>
      </c>
      <c r="H22" s="54">
        <f t="shared" si="2"/>
        <v>580000</v>
      </c>
      <c r="I22" s="258" t="s">
        <v>720</v>
      </c>
      <c r="J22" s="59" t="s">
        <v>754</v>
      </c>
      <c r="K22" s="59" t="s">
        <v>755</v>
      </c>
      <c r="L22" s="59" t="s">
        <v>749</v>
      </c>
      <c r="M22" s="59"/>
      <c r="N22" s="59"/>
      <c r="O22" s="59"/>
      <c r="P22" s="120">
        <v>45955.0</v>
      </c>
      <c r="Q22" s="305"/>
    </row>
    <row r="23" ht="15.75" customHeight="1">
      <c r="A23" s="44">
        <v>2.0</v>
      </c>
      <c r="B23" s="44" t="s">
        <v>136</v>
      </c>
      <c r="C23" s="44" t="s">
        <v>57</v>
      </c>
      <c r="D23" s="257">
        <v>1.0</v>
      </c>
      <c r="E23" s="83">
        <v>1.0</v>
      </c>
      <c r="F23" s="44">
        <f t="shared" si="1"/>
        <v>0</v>
      </c>
      <c r="G23" s="40">
        <v>580000.0</v>
      </c>
      <c r="H23" s="40">
        <f t="shared" si="2"/>
        <v>580000</v>
      </c>
      <c r="I23" s="257" t="s">
        <v>705</v>
      </c>
      <c r="J23" s="44" t="s">
        <v>756</v>
      </c>
      <c r="K23" s="44" t="s">
        <v>757</v>
      </c>
      <c r="L23" s="44" t="s">
        <v>749</v>
      </c>
      <c r="M23" s="44"/>
      <c r="N23" s="44"/>
      <c r="O23" s="44"/>
      <c r="P23" s="119">
        <v>45955.0</v>
      </c>
      <c r="Q23" s="304"/>
    </row>
    <row r="24" ht="15.75" customHeight="1">
      <c r="A24" s="59">
        <v>2.0</v>
      </c>
      <c r="B24" s="59" t="s">
        <v>136</v>
      </c>
      <c r="C24" s="59" t="s">
        <v>57</v>
      </c>
      <c r="D24" s="258">
        <v>1.0</v>
      </c>
      <c r="E24" s="90">
        <v>1.0</v>
      </c>
      <c r="F24" s="59">
        <f t="shared" si="1"/>
        <v>0</v>
      </c>
      <c r="G24" s="54">
        <v>580000.0</v>
      </c>
      <c r="H24" s="54">
        <f t="shared" si="2"/>
        <v>580000</v>
      </c>
      <c r="I24" s="258" t="s">
        <v>708</v>
      </c>
      <c r="J24" s="59" t="s">
        <v>758</v>
      </c>
      <c r="K24" s="59" t="s">
        <v>759</v>
      </c>
      <c r="L24" s="59" t="s">
        <v>749</v>
      </c>
      <c r="M24" s="59"/>
      <c r="N24" s="59"/>
      <c r="O24" s="59"/>
      <c r="P24" s="120">
        <v>45955.0</v>
      </c>
      <c r="Q24" s="305"/>
    </row>
    <row r="25" ht="15.75" customHeight="1">
      <c r="A25" s="44">
        <v>2.0</v>
      </c>
      <c r="B25" s="44" t="s">
        <v>136</v>
      </c>
      <c r="C25" s="44" t="s">
        <v>57</v>
      </c>
      <c r="D25" s="257">
        <v>1.0</v>
      </c>
      <c r="E25" s="83">
        <v>1.0</v>
      </c>
      <c r="F25" s="44">
        <f t="shared" si="1"/>
        <v>0</v>
      </c>
      <c r="G25" s="40">
        <v>580000.0</v>
      </c>
      <c r="H25" s="40">
        <f t="shared" si="2"/>
        <v>580000</v>
      </c>
      <c r="I25" s="257" t="s">
        <v>721</v>
      </c>
      <c r="J25" s="44" t="s">
        <v>761</v>
      </c>
      <c r="K25" s="44" t="s">
        <v>762</v>
      </c>
      <c r="L25" s="44" t="s">
        <v>749</v>
      </c>
      <c r="M25" s="44"/>
      <c r="N25" s="44"/>
      <c r="O25" s="44"/>
      <c r="P25" s="119">
        <v>45955.0</v>
      </c>
      <c r="Q25" s="304"/>
    </row>
    <row r="26" ht="15.75" customHeight="1">
      <c r="A26" s="59">
        <v>2.0</v>
      </c>
      <c r="B26" s="59" t="s">
        <v>136</v>
      </c>
      <c r="C26" s="59" t="s">
        <v>57</v>
      </c>
      <c r="D26" s="258">
        <v>1.0</v>
      </c>
      <c r="E26" s="90">
        <v>1.0</v>
      </c>
      <c r="F26" s="59">
        <f t="shared" si="1"/>
        <v>0</v>
      </c>
      <c r="G26" s="54">
        <v>580000.0</v>
      </c>
      <c r="H26" s="54">
        <f t="shared" si="2"/>
        <v>580000</v>
      </c>
      <c r="I26" s="258" t="s">
        <v>722</v>
      </c>
      <c r="J26" s="59" t="s">
        <v>763</v>
      </c>
      <c r="K26" s="59" t="s">
        <v>764</v>
      </c>
      <c r="L26" s="59" t="s">
        <v>749</v>
      </c>
      <c r="M26" s="59"/>
      <c r="N26" s="59"/>
      <c r="O26" s="59"/>
      <c r="P26" s="120">
        <v>45955.0</v>
      </c>
      <c r="Q26" s="305"/>
    </row>
    <row r="27" ht="15.75" customHeight="1">
      <c r="A27" s="44">
        <v>2.0</v>
      </c>
      <c r="B27" s="44" t="s">
        <v>136</v>
      </c>
      <c r="C27" s="44" t="s">
        <v>57</v>
      </c>
      <c r="D27" s="257">
        <v>1.0</v>
      </c>
      <c r="E27" s="83">
        <v>1.0</v>
      </c>
      <c r="F27" s="44">
        <f t="shared" si="1"/>
        <v>0</v>
      </c>
      <c r="G27" s="40">
        <v>580000.0</v>
      </c>
      <c r="H27" s="40">
        <f t="shared" si="2"/>
        <v>580000</v>
      </c>
      <c r="I27" s="257" t="s">
        <v>711</v>
      </c>
      <c r="J27" s="44" t="s">
        <v>765</v>
      </c>
      <c r="K27" s="44" t="s">
        <v>766</v>
      </c>
      <c r="L27" s="44" t="s">
        <v>749</v>
      </c>
      <c r="M27" s="44"/>
      <c r="N27" s="44"/>
      <c r="O27" s="44"/>
      <c r="P27" s="119">
        <v>45955.0</v>
      </c>
      <c r="Q27" s="304"/>
    </row>
    <row r="28" ht="15.75" customHeight="1">
      <c r="A28" s="59">
        <v>2.0</v>
      </c>
      <c r="B28" s="59" t="s">
        <v>136</v>
      </c>
      <c r="C28" s="59" t="s">
        <v>57</v>
      </c>
      <c r="D28" s="258">
        <v>1.0</v>
      </c>
      <c r="E28" s="90">
        <v>1.0</v>
      </c>
      <c r="F28" s="59">
        <f t="shared" si="1"/>
        <v>0</v>
      </c>
      <c r="G28" s="54">
        <v>580000.0</v>
      </c>
      <c r="H28" s="54">
        <f t="shared" si="2"/>
        <v>580000</v>
      </c>
      <c r="I28" s="258" t="s">
        <v>723</v>
      </c>
      <c r="J28" s="59" t="s">
        <v>771</v>
      </c>
      <c r="K28" s="59" t="s">
        <v>773</v>
      </c>
      <c r="L28" s="59" t="s">
        <v>749</v>
      </c>
      <c r="M28" s="59"/>
      <c r="N28" s="59"/>
      <c r="O28" s="59"/>
      <c r="P28" s="120">
        <v>45955.0</v>
      </c>
      <c r="Q28" s="305"/>
    </row>
    <row r="29" ht="15.75" customHeight="1">
      <c r="A29" s="44">
        <v>2.0</v>
      </c>
      <c r="B29" s="44" t="s">
        <v>136</v>
      </c>
      <c r="C29" s="44" t="s">
        <v>57</v>
      </c>
      <c r="D29" s="257">
        <v>1.0</v>
      </c>
      <c r="E29" s="83">
        <v>1.0</v>
      </c>
      <c r="F29" s="44">
        <f t="shared" si="1"/>
        <v>0</v>
      </c>
      <c r="G29" s="40">
        <v>580000.0</v>
      </c>
      <c r="H29" s="40">
        <f t="shared" si="2"/>
        <v>580000</v>
      </c>
      <c r="I29" s="257" t="s">
        <v>724</v>
      </c>
      <c r="J29" s="44" t="s">
        <v>775</v>
      </c>
      <c r="K29" s="44" t="s">
        <v>777</v>
      </c>
      <c r="L29" s="44" t="s">
        <v>749</v>
      </c>
      <c r="M29" s="44"/>
      <c r="N29" s="44"/>
      <c r="O29" s="44"/>
      <c r="P29" s="119">
        <v>45955.0</v>
      </c>
      <c r="Q29" s="304"/>
    </row>
    <row r="30" ht="15.75" customHeight="1">
      <c r="A30" s="59">
        <v>2.0</v>
      </c>
      <c r="B30" s="59" t="s">
        <v>136</v>
      </c>
      <c r="C30" s="59" t="s">
        <v>57</v>
      </c>
      <c r="D30" s="258">
        <v>1.0</v>
      </c>
      <c r="E30" s="90">
        <v>1.0</v>
      </c>
      <c r="F30" s="59">
        <f t="shared" si="1"/>
        <v>0</v>
      </c>
      <c r="G30" s="54">
        <v>580000.0</v>
      </c>
      <c r="H30" s="54">
        <f t="shared" si="2"/>
        <v>580000</v>
      </c>
      <c r="I30" s="258" t="s">
        <v>717</v>
      </c>
      <c r="J30" s="59" t="s">
        <v>778</v>
      </c>
      <c r="K30" s="59" t="s">
        <v>779</v>
      </c>
      <c r="L30" s="59" t="s">
        <v>749</v>
      </c>
      <c r="M30" s="59"/>
      <c r="N30" s="59"/>
      <c r="O30" s="59"/>
      <c r="P30" s="120">
        <v>45955.0</v>
      </c>
      <c r="Q30" s="305"/>
    </row>
    <row r="31" ht="15.75" customHeight="1">
      <c r="A31" s="44">
        <v>2.0</v>
      </c>
      <c r="B31" s="44" t="s">
        <v>136</v>
      </c>
      <c r="C31" s="44" t="s">
        <v>57</v>
      </c>
      <c r="D31" s="257">
        <v>1.0</v>
      </c>
      <c r="E31" s="83">
        <v>1.0</v>
      </c>
      <c r="F31" s="44">
        <f t="shared" si="1"/>
        <v>0</v>
      </c>
      <c r="G31" s="40">
        <v>580000.0</v>
      </c>
      <c r="H31" s="40">
        <f t="shared" si="2"/>
        <v>580000</v>
      </c>
      <c r="I31" s="257" t="s">
        <v>725</v>
      </c>
      <c r="J31" s="44" t="s">
        <v>780</v>
      </c>
      <c r="K31" s="44" t="s">
        <v>781</v>
      </c>
      <c r="L31" s="44" t="s">
        <v>749</v>
      </c>
      <c r="M31" s="44"/>
      <c r="N31" s="44"/>
      <c r="O31" s="44"/>
      <c r="P31" s="119">
        <v>45955.0</v>
      </c>
      <c r="Q31" s="304"/>
    </row>
    <row r="32" ht="15.75" customHeight="1">
      <c r="A32" s="59">
        <v>2.0</v>
      </c>
      <c r="B32" s="59" t="s">
        <v>136</v>
      </c>
      <c r="C32" s="59" t="s">
        <v>57</v>
      </c>
      <c r="D32" s="258">
        <v>1.0</v>
      </c>
      <c r="E32" s="90">
        <v>1.0</v>
      </c>
      <c r="F32" s="59">
        <f t="shared" si="1"/>
        <v>0</v>
      </c>
      <c r="G32" s="54">
        <v>580000.0</v>
      </c>
      <c r="H32" s="54">
        <f t="shared" si="2"/>
        <v>580000</v>
      </c>
      <c r="I32" s="258" t="s">
        <v>719</v>
      </c>
      <c r="J32" s="59" t="s">
        <v>782</v>
      </c>
      <c r="K32" s="59" t="s">
        <v>783</v>
      </c>
      <c r="L32" s="59" t="s">
        <v>749</v>
      </c>
      <c r="M32" s="59"/>
      <c r="N32" s="59"/>
      <c r="O32" s="59"/>
      <c r="P32" s="120">
        <v>45955.0</v>
      </c>
      <c r="Q32" s="305"/>
    </row>
    <row r="33" ht="15.75" customHeight="1">
      <c r="A33" s="44">
        <v>3.0</v>
      </c>
      <c r="B33" s="44" t="s">
        <v>137</v>
      </c>
      <c r="C33" s="44" t="s">
        <v>726</v>
      </c>
      <c r="D33" s="35">
        <v>1.0</v>
      </c>
      <c r="E33" s="35">
        <v>0.0</v>
      </c>
      <c r="F33" s="35">
        <f t="shared" si="1"/>
        <v>1</v>
      </c>
      <c r="G33" s="40">
        <v>1760000.0</v>
      </c>
      <c r="H33" s="40">
        <f t="shared" si="2"/>
        <v>1760000</v>
      </c>
      <c r="I33" s="257" t="s">
        <v>276</v>
      </c>
      <c r="J33" s="44" t="s">
        <v>784</v>
      </c>
      <c r="K33" s="44" t="s">
        <v>785</v>
      </c>
      <c r="L33" s="44" t="s">
        <v>749</v>
      </c>
      <c r="M33" s="44"/>
      <c r="N33" s="44"/>
      <c r="O33" s="44"/>
      <c r="P33" s="119">
        <v>45955.0</v>
      </c>
      <c r="Q33" s="304"/>
    </row>
    <row r="34" ht="15.75" customHeight="1">
      <c r="A34" s="59">
        <v>3.0</v>
      </c>
      <c r="B34" s="59" t="s">
        <v>137</v>
      </c>
      <c r="C34" s="59" t="s">
        <v>726</v>
      </c>
      <c r="D34" s="52">
        <v>1.0</v>
      </c>
      <c r="E34" s="52">
        <v>0.0</v>
      </c>
      <c r="F34" s="52">
        <f t="shared" si="1"/>
        <v>1</v>
      </c>
      <c r="G34" s="54">
        <v>1760000.0</v>
      </c>
      <c r="H34" s="54">
        <f t="shared" si="2"/>
        <v>1760000</v>
      </c>
      <c r="I34" s="258" t="s">
        <v>701</v>
      </c>
      <c r="J34" s="59" t="s">
        <v>784</v>
      </c>
      <c r="K34" s="59" t="s">
        <v>786</v>
      </c>
      <c r="L34" s="59" t="s">
        <v>749</v>
      </c>
      <c r="M34" s="59"/>
      <c r="N34" s="59"/>
      <c r="O34" s="59"/>
      <c r="P34" s="120">
        <v>45955.0</v>
      </c>
      <c r="Q34" s="305"/>
    </row>
    <row r="35" ht="15.75" customHeight="1">
      <c r="A35" s="44">
        <v>3.0</v>
      </c>
      <c r="B35" s="44" t="s">
        <v>137</v>
      </c>
      <c r="C35" s="44" t="s">
        <v>726</v>
      </c>
      <c r="D35" s="35">
        <v>1.0</v>
      </c>
      <c r="E35" s="33">
        <v>1.0</v>
      </c>
      <c r="F35" s="35">
        <f t="shared" si="1"/>
        <v>0</v>
      </c>
      <c r="G35" s="40">
        <v>1760000.0</v>
      </c>
      <c r="H35" s="40">
        <f t="shared" si="2"/>
        <v>1760000</v>
      </c>
      <c r="I35" s="257" t="s">
        <v>703</v>
      </c>
      <c r="J35" s="44" t="s">
        <v>784</v>
      </c>
      <c r="K35" s="44" t="s">
        <v>787</v>
      </c>
      <c r="L35" s="44" t="s">
        <v>749</v>
      </c>
      <c r="M35" s="44"/>
      <c r="N35" s="44"/>
      <c r="O35" s="44"/>
      <c r="P35" s="119">
        <v>45955.0</v>
      </c>
      <c r="Q35" s="304"/>
    </row>
    <row r="36" ht="15.75" customHeight="1">
      <c r="A36" s="59">
        <v>3.0</v>
      </c>
      <c r="B36" s="59" t="s">
        <v>137</v>
      </c>
      <c r="C36" s="59" t="s">
        <v>726</v>
      </c>
      <c r="D36" s="52">
        <v>1.0</v>
      </c>
      <c r="E36" s="49">
        <v>1.0</v>
      </c>
      <c r="F36" s="52">
        <f t="shared" si="1"/>
        <v>0</v>
      </c>
      <c r="G36" s="54">
        <v>1760000.0</v>
      </c>
      <c r="H36" s="54">
        <f t="shared" si="2"/>
        <v>1760000</v>
      </c>
      <c r="I36" s="258" t="s">
        <v>721</v>
      </c>
      <c r="J36" s="59" t="s">
        <v>784</v>
      </c>
      <c r="K36" s="59" t="s">
        <v>788</v>
      </c>
      <c r="L36" s="59" t="s">
        <v>749</v>
      </c>
      <c r="M36" s="59"/>
      <c r="N36" s="59"/>
      <c r="O36" s="59"/>
      <c r="P36" s="120">
        <v>45955.0</v>
      </c>
      <c r="Q36" s="305"/>
    </row>
    <row r="37" ht="15.75" customHeight="1">
      <c r="A37" s="121">
        <v>3.0</v>
      </c>
      <c r="B37" s="121" t="s">
        <v>137</v>
      </c>
      <c r="C37" s="121" t="s">
        <v>726</v>
      </c>
      <c r="D37" s="204">
        <v>1.0</v>
      </c>
      <c r="E37" s="197">
        <v>0.0</v>
      </c>
      <c r="F37" s="35">
        <f t="shared" si="1"/>
        <v>1</v>
      </c>
      <c r="G37" s="40">
        <v>1760000.0</v>
      </c>
      <c r="H37" s="315">
        <f t="shared" si="2"/>
        <v>1760000</v>
      </c>
      <c r="I37" s="316" t="s">
        <v>722</v>
      </c>
      <c r="J37" s="44" t="s">
        <v>784</v>
      </c>
      <c r="K37" s="44" t="s">
        <v>789</v>
      </c>
      <c r="L37" s="44" t="s">
        <v>749</v>
      </c>
      <c r="M37" s="121"/>
      <c r="N37" s="121"/>
      <c r="O37" s="121"/>
      <c r="P37" s="119">
        <v>45955.0</v>
      </c>
      <c r="Q37" s="304"/>
    </row>
    <row r="38" ht="15.75" customHeight="1">
      <c r="A38" s="59" t="s">
        <v>790</v>
      </c>
      <c r="B38" s="59"/>
      <c r="C38" s="59"/>
      <c r="D38" s="52">
        <f>SUM(D3:D37)</f>
        <v>36</v>
      </c>
      <c r="E38" s="52"/>
      <c r="F38" s="52"/>
      <c r="G38" s="54">
        <f t="shared" ref="G38:H38" si="3">SUM(G3:G37)</f>
        <v>23624000</v>
      </c>
      <c r="H38" s="54">
        <f t="shared" si="3"/>
        <v>24043000</v>
      </c>
      <c r="I38" s="258"/>
      <c r="J38" s="59"/>
      <c r="K38" s="59"/>
      <c r="L38" s="59"/>
      <c r="M38" s="59"/>
      <c r="N38" s="59"/>
      <c r="O38" s="59"/>
      <c r="P38" s="120"/>
      <c r="Q38" s="305"/>
    </row>
    <row r="39" ht="15.75" customHeight="1">
      <c r="A39" s="44" t="s">
        <v>791</v>
      </c>
      <c r="B39" s="44"/>
      <c r="C39" s="44"/>
      <c r="D39" s="35"/>
      <c r="E39" s="35"/>
      <c r="F39" s="35"/>
      <c r="G39" s="40"/>
      <c r="H39" s="40"/>
      <c r="I39" s="257"/>
      <c r="J39" s="44"/>
      <c r="K39" s="44"/>
      <c r="L39" s="44"/>
      <c r="M39" s="44"/>
      <c r="N39" s="44"/>
      <c r="O39" s="44"/>
      <c r="P39" s="119"/>
      <c r="Q39" s="304"/>
    </row>
    <row r="40" ht="15.75" customHeight="1">
      <c r="A40" s="113" t="s">
        <v>367</v>
      </c>
      <c r="B40" s="113"/>
      <c r="C40" s="113"/>
      <c r="D40" s="193">
        <f>SUM(D38-D39)</f>
        <v>36</v>
      </c>
      <c r="E40" s="193"/>
      <c r="F40" s="193"/>
      <c r="G40" s="318"/>
      <c r="H40" s="318"/>
      <c r="I40" s="319"/>
      <c r="J40" s="113"/>
      <c r="K40" s="113"/>
      <c r="L40" s="113"/>
      <c r="M40" s="113"/>
      <c r="N40" s="113"/>
      <c r="O40" s="113"/>
      <c r="P40" s="120"/>
      <c r="Q40" s="305"/>
    </row>
    <row r="41" ht="15.75" customHeight="1">
      <c r="A41" s="44"/>
      <c r="B41" s="44"/>
      <c r="C41" s="44"/>
      <c r="D41" s="35"/>
      <c r="E41" s="35"/>
      <c r="F41" s="35"/>
      <c r="G41" s="40"/>
      <c r="H41" s="40">
        <f>D41*G41</f>
        <v>0</v>
      </c>
      <c r="I41" s="257"/>
      <c r="J41" s="44"/>
      <c r="K41" s="44"/>
      <c r="L41" s="44"/>
      <c r="M41" s="44"/>
      <c r="N41" s="44"/>
      <c r="O41" s="44"/>
      <c r="P41" s="119"/>
      <c r="Q41" s="44"/>
    </row>
    <row r="42" ht="15.75" customHeight="1">
      <c r="G42" s="17"/>
      <c r="H42" s="17"/>
    </row>
    <row r="43" ht="15.75" customHeight="1">
      <c r="G43" s="17"/>
      <c r="H43" s="17"/>
    </row>
    <row r="44" ht="15.75" customHeight="1">
      <c r="G44" s="17"/>
      <c r="H44" s="17"/>
    </row>
    <row r="45" ht="15.75" customHeight="1">
      <c r="G45" s="17"/>
      <c r="H45" s="17"/>
    </row>
    <row r="46" ht="15.75" customHeight="1">
      <c r="G46" s="17"/>
      <c r="H46" s="17"/>
    </row>
    <row r="47" ht="15.75" customHeight="1">
      <c r="G47" s="17"/>
      <c r="H47" s="17"/>
    </row>
    <row r="48" ht="15.75" customHeight="1">
      <c r="G48" s="17"/>
      <c r="H48" s="17"/>
    </row>
    <row r="49" ht="15.75" customHeight="1">
      <c r="G49" s="17"/>
      <c r="H49" s="17"/>
    </row>
    <row r="50" ht="15.75" customHeight="1">
      <c r="G50" s="17"/>
      <c r="H50" s="17"/>
    </row>
    <row r="51" ht="15.75" customHeight="1">
      <c r="G51" s="17"/>
      <c r="H51" s="17"/>
    </row>
    <row r="52" ht="15.75" customHeight="1">
      <c r="G52" s="17"/>
      <c r="H52" s="17"/>
    </row>
    <row r="53" ht="15.75" customHeight="1">
      <c r="G53" s="17"/>
      <c r="H53" s="17"/>
    </row>
    <row r="54" ht="15.75" customHeight="1">
      <c r="G54" s="17"/>
      <c r="H54" s="17"/>
    </row>
    <row r="55" ht="15.75" customHeight="1">
      <c r="G55" s="17"/>
      <c r="H55" s="17"/>
    </row>
    <row r="56" ht="15.75" customHeight="1">
      <c r="G56" s="17"/>
      <c r="H56" s="17"/>
    </row>
    <row r="57" ht="15.75" customHeight="1">
      <c r="G57" s="17"/>
      <c r="H57" s="17"/>
    </row>
    <row r="58" ht="15.75" customHeight="1">
      <c r="G58" s="17"/>
      <c r="H58" s="17"/>
    </row>
    <row r="59" ht="15.75" customHeight="1">
      <c r="G59" s="17"/>
      <c r="H59" s="17"/>
    </row>
    <row r="60" ht="15.75" customHeight="1">
      <c r="G60" s="17"/>
      <c r="H60" s="17"/>
    </row>
    <row r="61" ht="15.75" customHeight="1">
      <c r="G61" s="17"/>
      <c r="H61" s="17"/>
    </row>
    <row r="62" ht="15.75" customHeight="1">
      <c r="G62" s="17"/>
      <c r="H62" s="17"/>
    </row>
    <row r="63" ht="15.75" customHeight="1">
      <c r="G63" s="17"/>
      <c r="H63" s="17"/>
    </row>
    <row r="64" ht="15.75" customHeight="1">
      <c r="G64" s="17"/>
      <c r="H64" s="17"/>
    </row>
    <row r="65" ht="15.75" customHeight="1">
      <c r="G65" s="17"/>
      <c r="H65" s="17"/>
    </row>
    <row r="66" ht="15.75" customHeight="1">
      <c r="G66" s="17"/>
      <c r="H66" s="17"/>
    </row>
    <row r="67" ht="15.75" customHeight="1">
      <c r="G67" s="17"/>
      <c r="H67" s="17"/>
    </row>
    <row r="68" ht="15.75" customHeight="1">
      <c r="G68" s="17"/>
      <c r="H68" s="17"/>
    </row>
    <row r="69" ht="15.75" customHeight="1">
      <c r="G69" s="17"/>
      <c r="H69" s="17"/>
    </row>
    <row r="70" ht="15.75" customHeight="1">
      <c r="G70" s="17"/>
      <c r="H70" s="17"/>
    </row>
    <row r="71" ht="15.75" customHeight="1">
      <c r="G71" s="17"/>
      <c r="H71" s="17"/>
    </row>
    <row r="72" ht="15.75" customHeight="1">
      <c r="G72" s="17"/>
      <c r="H72" s="17"/>
    </row>
    <row r="73" ht="15.75" customHeight="1">
      <c r="G73" s="17"/>
      <c r="H73" s="17"/>
    </row>
    <row r="74" ht="15.75" customHeight="1">
      <c r="G74" s="17"/>
      <c r="H74" s="17"/>
    </row>
    <row r="75" ht="15.75" customHeight="1">
      <c r="G75" s="17"/>
      <c r="H75" s="17"/>
    </row>
    <row r="76" ht="15.75" customHeight="1">
      <c r="G76" s="17"/>
      <c r="H76" s="17"/>
    </row>
    <row r="77" ht="15.75" customHeight="1">
      <c r="G77" s="17"/>
      <c r="H77" s="17"/>
    </row>
    <row r="78" ht="15.75" customHeight="1">
      <c r="G78" s="17"/>
      <c r="H78" s="17"/>
    </row>
    <row r="79" ht="15.75" customHeight="1">
      <c r="G79" s="17"/>
      <c r="H79" s="17"/>
    </row>
    <row r="80" ht="15.75" customHeight="1">
      <c r="G80" s="17"/>
      <c r="H80" s="17"/>
    </row>
    <row r="81" ht="15.75" customHeight="1">
      <c r="G81" s="17"/>
      <c r="H81" s="17"/>
    </row>
    <row r="82" ht="15.75" customHeight="1">
      <c r="G82" s="17"/>
      <c r="H82" s="17"/>
    </row>
    <row r="83" ht="15.75" customHeight="1">
      <c r="G83" s="17"/>
      <c r="H83" s="17"/>
    </row>
    <row r="84" ht="15.75" customHeight="1">
      <c r="G84" s="17"/>
      <c r="H84" s="17"/>
    </row>
    <row r="85" ht="15.75" customHeight="1">
      <c r="G85" s="17"/>
      <c r="H85" s="17"/>
    </row>
    <row r="86" ht="15.75" customHeight="1">
      <c r="G86" s="17"/>
      <c r="H86" s="17"/>
    </row>
    <row r="87" ht="15.75" customHeight="1">
      <c r="G87" s="17"/>
      <c r="H87" s="17"/>
    </row>
    <row r="88" ht="15.75" customHeight="1">
      <c r="G88" s="17"/>
      <c r="H88" s="17"/>
    </row>
    <row r="89" ht="15.75" customHeight="1">
      <c r="G89" s="17"/>
      <c r="H89" s="17"/>
    </row>
    <row r="90" ht="15.75" customHeight="1">
      <c r="G90" s="17"/>
      <c r="H90" s="17"/>
    </row>
    <row r="91" ht="15.75" customHeight="1">
      <c r="G91" s="17"/>
      <c r="H91" s="17"/>
    </row>
    <row r="92" ht="15.75" customHeight="1">
      <c r="G92" s="17"/>
      <c r="H92" s="17"/>
    </row>
    <row r="93" ht="15.75" customHeight="1">
      <c r="G93" s="17"/>
      <c r="H93" s="17"/>
    </row>
    <row r="94" ht="15.75" customHeight="1">
      <c r="G94" s="17"/>
      <c r="H94" s="17"/>
    </row>
    <row r="95" ht="15.75" customHeight="1">
      <c r="G95" s="17"/>
      <c r="H95" s="17"/>
    </row>
    <row r="96" ht="15.75" customHeight="1">
      <c r="G96" s="17"/>
      <c r="H96" s="17"/>
    </row>
    <row r="97" ht="15.75" customHeight="1">
      <c r="G97" s="17"/>
      <c r="H97" s="17"/>
    </row>
    <row r="98" ht="15.75" customHeight="1">
      <c r="G98" s="17"/>
      <c r="H98" s="17"/>
    </row>
    <row r="99" ht="15.75" customHeight="1">
      <c r="G99" s="17"/>
      <c r="H99" s="17"/>
    </row>
    <row r="100" ht="15.75" customHeight="1">
      <c r="G100" s="17"/>
      <c r="H100" s="17"/>
    </row>
    <row r="101" ht="15.75" customHeight="1">
      <c r="G101" s="17"/>
      <c r="H101" s="17"/>
    </row>
    <row r="102" ht="15.75" customHeight="1">
      <c r="G102" s="17"/>
      <c r="H102" s="17"/>
    </row>
    <row r="103" ht="15.75" customHeight="1">
      <c r="G103" s="17"/>
      <c r="H103" s="17"/>
    </row>
    <row r="104" ht="15.75" customHeight="1">
      <c r="G104" s="17"/>
      <c r="H104" s="17"/>
    </row>
    <row r="105" ht="15.75" customHeight="1">
      <c r="G105" s="17"/>
      <c r="H105" s="17"/>
    </row>
    <row r="106" ht="15.75" customHeight="1">
      <c r="G106" s="17"/>
      <c r="H106" s="17"/>
    </row>
    <row r="107" ht="15.75" customHeight="1">
      <c r="G107" s="17"/>
      <c r="H107" s="17"/>
    </row>
    <row r="108" ht="15.75" customHeight="1">
      <c r="G108" s="17"/>
      <c r="H108" s="17"/>
    </row>
    <row r="109" ht="15.75" customHeight="1">
      <c r="G109" s="17"/>
      <c r="H109" s="17"/>
    </row>
    <row r="110" ht="15.75" customHeight="1">
      <c r="G110" s="17"/>
      <c r="H110" s="17"/>
    </row>
    <row r="111" ht="15.75" customHeight="1">
      <c r="G111" s="17"/>
      <c r="H111" s="17"/>
    </row>
    <row r="112" ht="15.75" customHeight="1">
      <c r="G112" s="17"/>
      <c r="H112" s="17"/>
    </row>
    <row r="113" ht="15.75" customHeight="1">
      <c r="G113" s="17"/>
      <c r="H113" s="17"/>
    </row>
    <row r="114" ht="15.75" customHeight="1">
      <c r="G114" s="17"/>
      <c r="H114" s="17"/>
    </row>
    <row r="115" ht="15.75" customHeight="1">
      <c r="G115" s="17"/>
      <c r="H115" s="17"/>
    </row>
    <row r="116" ht="15.75" customHeight="1">
      <c r="G116" s="17"/>
      <c r="H116" s="17"/>
    </row>
    <row r="117" ht="15.75" customHeight="1">
      <c r="G117" s="17"/>
      <c r="H117" s="17"/>
    </row>
    <row r="118" ht="15.75" customHeight="1">
      <c r="G118" s="17"/>
      <c r="H118" s="17"/>
    </row>
    <row r="119" ht="15.75" customHeight="1">
      <c r="G119" s="17"/>
      <c r="H119" s="17"/>
    </row>
    <row r="120" ht="15.75" customHeight="1">
      <c r="G120" s="17"/>
      <c r="H120" s="17"/>
    </row>
    <row r="121" ht="15.75" customHeight="1">
      <c r="G121" s="17"/>
      <c r="H121" s="17"/>
    </row>
    <row r="122" ht="15.75" customHeight="1">
      <c r="G122" s="17"/>
      <c r="H122" s="17"/>
    </row>
    <row r="123" ht="15.75" customHeight="1">
      <c r="G123" s="17"/>
      <c r="H123" s="17"/>
    </row>
    <row r="124" ht="15.75" customHeight="1">
      <c r="G124" s="17"/>
      <c r="H124" s="17"/>
    </row>
    <row r="125" ht="15.75" customHeight="1">
      <c r="G125" s="17"/>
      <c r="H125" s="17"/>
    </row>
    <row r="126" ht="15.75" customHeight="1">
      <c r="G126" s="17"/>
      <c r="H126" s="17"/>
    </row>
    <row r="127" ht="15.75" customHeight="1">
      <c r="G127" s="17"/>
      <c r="H127" s="17"/>
    </row>
    <row r="128" ht="15.75" customHeight="1">
      <c r="G128" s="17"/>
      <c r="H128" s="17"/>
    </row>
    <row r="129" ht="15.75" customHeight="1">
      <c r="G129" s="17"/>
      <c r="H129" s="17"/>
    </row>
    <row r="130" ht="15.75" customHeight="1">
      <c r="G130" s="17"/>
      <c r="H130" s="17"/>
    </row>
    <row r="131" ht="15.75" customHeight="1">
      <c r="G131" s="17"/>
      <c r="H131" s="17"/>
    </row>
    <row r="132" ht="15.75" customHeight="1">
      <c r="G132" s="17"/>
      <c r="H132" s="17"/>
    </row>
    <row r="133" ht="15.75" customHeight="1">
      <c r="G133" s="17"/>
      <c r="H133" s="17"/>
    </row>
    <row r="134" ht="15.75" customHeight="1">
      <c r="G134" s="17"/>
      <c r="H134" s="17"/>
    </row>
    <row r="135" ht="15.75" customHeight="1">
      <c r="G135" s="17"/>
      <c r="H135" s="17"/>
    </row>
    <row r="136" ht="15.75" customHeight="1">
      <c r="G136" s="17"/>
      <c r="H136" s="17"/>
    </row>
    <row r="137" ht="15.75" customHeight="1">
      <c r="G137" s="17"/>
      <c r="H137" s="17"/>
    </row>
    <row r="138" ht="15.75" customHeight="1">
      <c r="G138" s="17"/>
      <c r="H138" s="17"/>
    </row>
    <row r="139" ht="15.75" customHeight="1">
      <c r="G139" s="17"/>
      <c r="H139" s="17"/>
    </row>
    <row r="140" ht="15.75" customHeight="1">
      <c r="G140" s="17"/>
      <c r="H140" s="17"/>
    </row>
    <row r="141" ht="15.75" customHeight="1">
      <c r="G141" s="17"/>
      <c r="H141" s="17"/>
    </row>
    <row r="142" ht="15.75" customHeight="1">
      <c r="G142" s="17"/>
      <c r="H142" s="17"/>
    </row>
    <row r="143" ht="15.75" customHeight="1">
      <c r="G143" s="17"/>
      <c r="H143" s="17"/>
    </row>
    <row r="144" ht="15.75" customHeight="1">
      <c r="G144" s="17"/>
      <c r="H144" s="17"/>
    </row>
    <row r="145" ht="15.75" customHeight="1">
      <c r="G145" s="17"/>
      <c r="H145" s="17"/>
    </row>
    <row r="146" ht="15.75" customHeight="1">
      <c r="G146" s="17"/>
      <c r="H146" s="17"/>
    </row>
    <row r="147" ht="15.75" customHeight="1">
      <c r="G147" s="17"/>
      <c r="H147" s="17"/>
    </row>
    <row r="148" ht="15.75" customHeight="1">
      <c r="G148" s="17"/>
      <c r="H148" s="17"/>
    </row>
    <row r="149" ht="15.75" customHeight="1">
      <c r="G149" s="17"/>
      <c r="H149" s="17"/>
    </row>
    <row r="150" ht="15.75" customHeight="1">
      <c r="G150" s="17"/>
      <c r="H150" s="17"/>
    </row>
    <row r="151" ht="15.75" customHeight="1">
      <c r="G151" s="17"/>
      <c r="H151" s="17"/>
    </row>
    <row r="152" ht="15.75" customHeight="1">
      <c r="G152" s="17"/>
      <c r="H152" s="17"/>
    </row>
    <row r="153" ht="15.75" customHeight="1">
      <c r="G153" s="17"/>
      <c r="H153" s="17"/>
    </row>
    <row r="154" ht="15.75" customHeight="1">
      <c r="G154" s="17"/>
      <c r="H154" s="17"/>
    </row>
    <row r="155" ht="15.75" customHeight="1">
      <c r="G155" s="17"/>
      <c r="H155" s="17"/>
    </row>
    <row r="156" ht="15.75" customHeight="1">
      <c r="G156" s="17"/>
      <c r="H156" s="17"/>
    </row>
    <row r="157" ht="15.75" customHeight="1">
      <c r="G157" s="17"/>
      <c r="H157" s="17"/>
    </row>
    <row r="158" ht="15.75" customHeight="1">
      <c r="G158" s="17"/>
      <c r="H158" s="17"/>
    </row>
    <row r="159" ht="15.75" customHeight="1">
      <c r="G159" s="17"/>
      <c r="H159" s="17"/>
    </row>
    <row r="160" ht="15.75" customHeight="1">
      <c r="G160" s="17"/>
      <c r="H160" s="17"/>
    </row>
    <row r="161" ht="15.75" customHeight="1">
      <c r="G161" s="17"/>
      <c r="H161" s="17"/>
    </row>
    <row r="162" ht="15.75" customHeight="1">
      <c r="G162" s="17"/>
      <c r="H162" s="17"/>
    </row>
    <row r="163" ht="15.75" customHeight="1">
      <c r="G163" s="17"/>
      <c r="H163" s="17"/>
    </row>
    <row r="164" ht="15.75" customHeight="1">
      <c r="G164" s="17"/>
      <c r="H164" s="17"/>
    </row>
    <row r="165" ht="15.75" customHeight="1">
      <c r="G165" s="17"/>
      <c r="H165" s="17"/>
    </row>
    <row r="166" ht="15.75" customHeight="1">
      <c r="G166" s="17"/>
      <c r="H166" s="17"/>
    </row>
    <row r="167" ht="15.75" customHeight="1">
      <c r="G167" s="17"/>
      <c r="H167" s="17"/>
    </row>
    <row r="168" ht="15.75" customHeight="1">
      <c r="G168" s="17"/>
      <c r="H168" s="17"/>
    </row>
    <row r="169" ht="15.75" customHeight="1">
      <c r="G169" s="17"/>
      <c r="H169" s="17"/>
    </row>
    <row r="170" ht="15.75" customHeight="1">
      <c r="G170" s="17"/>
      <c r="H170" s="17"/>
    </row>
    <row r="171" ht="15.75" customHeight="1">
      <c r="G171" s="17"/>
      <c r="H171" s="17"/>
    </row>
    <row r="172" ht="15.75" customHeight="1">
      <c r="G172" s="17"/>
      <c r="H172" s="17"/>
    </row>
    <row r="173" ht="15.75" customHeight="1">
      <c r="G173" s="17"/>
      <c r="H173" s="17"/>
    </row>
    <row r="174" ht="15.75" customHeight="1">
      <c r="G174" s="17"/>
      <c r="H174" s="17"/>
    </row>
    <row r="175" ht="15.75" customHeight="1">
      <c r="G175" s="17"/>
      <c r="H175" s="17"/>
    </row>
    <row r="176" ht="15.75" customHeight="1">
      <c r="G176" s="17"/>
      <c r="H176" s="17"/>
    </row>
    <row r="177" ht="15.75" customHeight="1">
      <c r="G177" s="17"/>
      <c r="H177" s="17"/>
    </row>
    <row r="178" ht="15.75" customHeight="1">
      <c r="G178" s="17"/>
      <c r="H178" s="17"/>
    </row>
    <row r="179" ht="15.75" customHeight="1">
      <c r="G179" s="17"/>
      <c r="H179" s="17"/>
    </row>
    <row r="180" ht="15.75" customHeight="1">
      <c r="G180" s="17"/>
      <c r="H180" s="17"/>
    </row>
    <row r="181" ht="15.75" customHeight="1">
      <c r="G181" s="17"/>
      <c r="H181" s="17"/>
    </row>
    <row r="182" ht="15.75" customHeight="1">
      <c r="G182" s="17"/>
      <c r="H182" s="17"/>
    </row>
    <row r="183" ht="15.75" customHeight="1">
      <c r="G183" s="17"/>
      <c r="H183" s="17"/>
    </row>
    <row r="184" ht="15.75" customHeight="1">
      <c r="G184" s="17"/>
      <c r="H184" s="17"/>
    </row>
    <row r="185" ht="15.75" customHeight="1">
      <c r="G185" s="17"/>
      <c r="H185" s="17"/>
    </row>
    <row r="186" ht="15.75" customHeight="1">
      <c r="G186" s="17"/>
      <c r="H186" s="17"/>
    </row>
    <row r="187" ht="15.75" customHeight="1">
      <c r="G187" s="17"/>
      <c r="H187" s="17"/>
    </row>
    <row r="188" ht="15.75" customHeight="1">
      <c r="G188" s="17"/>
      <c r="H188" s="17"/>
    </row>
    <row r="189" ht="15.75" customHeight="1">
      <c r="G189" s="17"/>
      <c r="H189" s="17"/>
    </row>
    <row r="190" ht="15.75" customHeight="1">
      <c r="G190" s="17"/>
      <c r="H190" s="17"/>
    </row>
    <row r="191" ht="15.75" customHeight="1">
      <c r="G191" s="17"/>
      <c r="H191" s="17"/>
    </row>
    <row r="192" ht="15.75" customHeight="1">
      <c r="G192" s="17"/>
      <c r="H192" s="17"/>
    </row>
    <row r="193" ht="15.75" customHeight="1">
      <c r="G193" s="17"/>
      <c r="H193" s="17"/>
    </row>
    <row r="194" ht="15.75" customHeight="1">
      <c r="G194" s="17"/>
      <c r="H194" s="17"/>
    </row>
    <row r="195" ht="15.75" customHeight="1">
      <c r="G195" s="17"/>
      <c r="H195" s="17"/>
    </row>
    <row r="196" ht="15.75" customHeight="1">
      <c r="G196" s="17"/>
      <c r="H196" s="17"/>
    </row>
    <row r="197" ht="15.75" customHeight="1">
      <c r="G197" s="17"/>
      <c r="H197" s="17"/>
    </row>
    <row r="198" ht="15.75" customHeight="1">
      <c r="G198" s="17"/>
      <c r="H198" s="17"/>
    </row>
    <row r="199" ht="15.75" customHeight="1">
      <c r="G199" s="17"/>
      <c r="H199" s="17"/>
    </row>
    <row r="200" ht="15.75" customHeight="1">
      <c r="G200" s="17"/>
      <c r="H200" s="17"/>
    </row>
    <row r="201" ht="15.75" customHeight="1">
      <c r="G201" s="17"/>
      <c r="H201" s="17"/>
    </row>
    <row r="202" ht="15.75" customHeight="1">
      <c r="G202" s="17"/>
      <c r="H202" s="17"/>
    </row>
    <row r="203" ht="15.75" customHeight="1">
      <c r="G203" s="17"/>
      <c r="H203" s="17"/>
    </row>
    <row r="204" ht="15.75" customHeight="1">
      <c r="G204" s="17"/>
      <c r="H204" s="17"/>
    </row>
    <row r="205" ht="15.75" customHeight="1">
      <c r="G205" s="17"/>
      <c r="H205" s="17"/>
    </row>
    <row r="206" ht="15.75" customHeight="1">
      <c r="G206" s="17"/>
      <c r="H206" s="17"/>
    </row>
    <row r="207" ht="15.75" customHeight="1">
      <c r="G207" s="17"/>
      <c r="H207" s="17"/>
    </row>
    <row r="208" ht="15.75" customHeight="1">
      <c r="G208" s="17"/>
      <c r="H208" s="17"/>
    </row>
    <row r="209" ht="15.75" customHeight="1">
      <c r="G209" s="17"/>
      <c r="H209" s="17"/>
    </row>
    <row r="210" ht="15.75" customHeight="1">
      <c r="G210" s="17"/>
      <c r="H210" s="17"/>
    </row>
    <row r="211" ht="15.75" customHeight="1">
      <c r="G211" s="17"/>
      <c r="H211" s="17"/>
    </row>
    <row r="212" ht="15.75" customHeight="1">
      <c r="G212" s="17"/>
      <c r="H212" s="17"/>
    </row>
    <row r="213" ht="15.75" customHeight="1">
      <c r="G213" s="17"/>
      <c r="H213" s="17"/>
    </row>
    <row r="214" ht="15.75" customHeight="1">
      <c r="G214" s="17"/>
      <c r="H214" s="17"/>
    </row>
    <row r="215" ht="15.75" customHeight="1">
      <c r="G215" s="17"/>
      <c r="H215" s="17"/>
    </row>
    <row r="216" ht="15.75" customHeight="1">
      <c r="G216" s="17"/>
      <c r="H216" s="17"/>
    </row>
    <row r="217" ht="15.75" customHeight="1">
      <c r="G217" s="17"/>
      <c r="H217" s="17"/>
    </row>
    <row r="218" ht="15.75" customHeight="1">
      <c r="G218" s="17"/>
      <c r="H218" s="17"/>
    </row>
    <row r="219" ht="15.75" customHeight="1">
      <c r="G219" s="17"/>
      <c r="H219" s="17"/>
    </row>
    <row r="220" ht="15.75" customHeight="1">
      <c r="G220" s="17"/>
      <c r="H220" s="17"/>
    </row>
    <row r="221" ht="15.75" customHeight="1">
      <c r="G221" s="17"/>
      <c r="H221" s="17"/>
    </row>
    <row r="222" ht="15.75" customHeight="1">
      <c r="G222" s="17"/>
      <c r="H222" s="17"/>
    </row>
    <row r="223" ht="15.75" customHeight="1">
      <c r="G223" s="17"/>
      <c r="H223" s="17"/>
    </row>
    <row r="224" ht="15.75" customHeight="1">
      <c r="G224" s="17"/>
      <c r="H224" s="17"/>
    </row>
    <row r="225" ht="15.75" customHeight="1">
      <c r="G225" s="17"/>
      <c r="H225" s="17"/>
    </row>
    <row r="226" ht="15.75" customHeight="1">
      <c r="G226" s="17"/>
      <c r="H226" s="17"/>
    </row>
    <row r="227" ht="15.75" customHeight="1">
      <c r="G227" s="17"/>
      <c r="H227" s="17"/>
    </row>
    <row r="228" ht="15.75" customHeight="1">
      <c r="G228" s="17"/>
      <c r="H228" s="17"/>
    </row>
    <row r="229" ht="15.75" customHeight="1">
      <c r="G229" s="17"/>
      <c r="H229" s="17"/>
    </row>
    <row r="230" ht="15.75" customHeight="1">
      <c r="G230" s="17"/>
      <c r="H230" s="17"/>
    </row>
    <row r="231" ht="15.75" customHeight="1">
      <c r="G231" s="17"/>
      <c r="H231" s="17"/>
    </row>
    <row r="232" ht="15.75" customHeight="1">
      <c r="G232" s="17"/>
      <c r="H232" s="17"/>
    </row>
    <row r="233" ht="15.75" customHeight="1">
      <c r="G233" s="17"/>
      <c r="H233" s="17"/>
    </row>
    <row r="234" ht="15.75" customHeight="1">
      <c r="G234" s="17"/>
      <c r="H234" s="17"/>
    </row>
    <row r="235" ht="15.75" customHeight="1">
      <c r="G235" s="17"/>
      <c r="H235" s="17"/>
    </row>
    <row r="236" ht="15.75" customHeight="1">
      <c r="G236" s="17"/>
      <c r="H236" s="17"/>
    </row>
    <row r="237" ht="15.75" customHeight="1">
      <c r="G237" s="17"/>
      <c r="H237" s="17"/>
    </row>
    <row r="238" ht="15.75" customHeight="1">
      <c r="G238" s="17"/>
      <c r="H238" s="17"/>
    </row>
    <row r="239" ht="15.75" customHeight="1">
      <c r="G239" s="17"/>
      <c r="H239" s="17"/>
    </row>
    <row r="240" ht="15.75" customHeight="1">
      <c r="G240" s="17"/>
      <c r="H240" s="17"/>
    </row>
    <row r="241" ht="15.75" customHeight="1">
      <c r="G241" s="17"/>
      <c r="H241" s="17"/>
    </row>
    <row r="242" ht="15.75" customHeight="1">
      <c r="G242" s="17"/>
      <c r="H242" s="17"/>
    </row>
    <row r="243" ht="15.75" customHeight="1">
      <c r="G243" s="17"/>
      <c r="H243" s="17"/>
    </row>
    <row r="244" ht="15.75" customHeight="1">
      <c r="G244" s="17"/>
      <c r="H244" s="17"/>
    </row>
    <row r="245" ht="15.75" customHeight="1">
      <c r="G245" s="17"/>
      <c r="H245" s="17"/>
    </row>
    <row r="246" ht="15.75" customHeight="1">
      <c r="G246" s="17"/>
      <c r="H246" s="17"/>
    </row>
    <row r="247" ht="15.75" customHeight="1">
      <c r="G247" s="17"/>
      <c r="H247" s="17"/>
    </row>
    <row r="248" ht="15.75" customHeight="1">
      <c r="G248" s="17"/>
      <c r="H248" s="17"/>
    </row>
    <row r="249" ht="15.75" customHeight="1">
      <c r="G249" s="17"/>
      <c r="H249" s="17"/>
    </row>
    <row r="250" ht="15.75" customHeight="1">
      <c r="G250" s="17"/>
      <c r="H250" s="17"/>
    </row>
    <row r="251" ht="15.75" customHeight="1">
      <c r="G251" s="17"/>
      <c r="H251" s="17"/>
    </row>
    <row r="252" ht="15.75" customHeight="1">
      <c r="G252" s="17"/>
      <c r="H252" s="17"/>
    </row>
    <row r="253" ht="15.75" customHeight="1">
      <c r="G253" s="17"/>
      <c r="H253" s="17"/>
    </row>
    <row r="254" ht="15.75" customHeight="1">
      <c r="G254" s="17"/>
      <c r="H254" s="17"/>
    </row>
    <row r="255" ht="15.75" customHeight="1">
      <c r="G255" s="17"/>
      <c r="H255" s="17"/>
    </row>
    <row r="256" ht="15.75" customHeight="1">
      <c r="G256" s="17"/>
      <c r="H256" s="17"/>
    </row>
    <row r="257" ht="15.75" customHeight="1">
      <c r="G257" s="17"/>
      <c r="H257" s="17"/>
    </row>
    <row r="258" ht="15.75" customHeight="1">
      <c r="G258" s="17"/>
      <c r="H258" s="17"/>
    </row>
    <row r="259" ht="15.75" customHeight="1">
      <c r="G259" s="17"/>
      <c r="H259" s="17"/>
    </row>
    <row r="260" ht="15.75" customHeight="1">
      <c r="G260" s="17"/>
      <c r="H260" s="17"/>
    </row>
    <row r="261" ht="15.75" customHeight="1">
      <c r="G261" s="17"/>
      <c r="H261" s="17"/>
    </row>
    <row r="262" ht="15.75" customHeight="1">
      <c r="G262" s="17"/>
      <c r="H262" s="17"/>
    </row>
    <row r="263" ht="15.75" customHeight="1">
      <c r="G263" s="17"/>
      <c r="H263" s="17"/>
    </row>
    <row r="264" ht="15.75" customHeight="1">
      <c r="G264" s="17"/>
      <c r="H264" s="17"/>
    </row>
    <row r="265" ht="15.75" customHeight="1">
      <c r="G265" s="17"/>
      <c r="H265" s="17"/>
    </row>
    <row r="266" ht="15.75" customHeight="1">
      <c r="G266" s="17"/>
      <c r="H266" s="17"/>
    </row>
    <row r="267" ht="15.75" customHeight="1">
      <c r="G267" s="17"/>
      <c r="H267" s="17"/>
    </row>
    <row r="268" ht="15.75" customHeight="1">
      <c r="G268" s="17"/>
      <c r="H268" s="17"/>
    </row>
    <row r="269" ht="15.75" customHeight="1">
      <c r="G269" s="17"/>
      <c r="H269" s="17"/>
    </row>
    <row r="270" ht="15.75" customHeight="1">
      <c r="G270" s="17"/>
      <c r="H270" s="17"/>
    </row>
    <row r="271" ht="15.75" customHeight="1">
      <c r="G271" s="17"/>
      <c r="H271" s="17"/>
    </row>
    <row r="272" ht="15.75" customHeight="1">
      <c r="G272" s="17"/>
      <c r="H272" s="17"/>
    </row>
    <row r="273" ht="15.75" customHeight="1">
      <c r="G273" s="17"/>
      <c r="H273" s="17"/>
    </row>
    <row r="274" ht="15.75" customHeight="1">
      <c r="G274" s="17"/>
      <c r="H274" s="17"/>
    </row>
    <row r="275" ht="15.75" customHeight="1">
      <c r="G275" s="17"/>
      <c r="H275" s="17"/>
    </row>
    <row r="276" ht="15.75" customHeight="1">
      <c r="G276" s="17"/>
      <c r="H276" s="17"/>
    </row>
    <row r="277" ht="15.75" customHeight="1">
      <c r="G277" s="17"/>
      <c r="H277" s="17"/>
    </row>
    <row r="278" ht="15.75" customHeight="1">
      <c r="G278" s="17"/>
      <c r="H278" s="17"/>
    </row>
    <row r="279" ht="15.75" customHeight="1">
      <c r="G279" s="17"/>
      <c r="H279" s="17"/>
    </row>
    <row r="280" ht="15.75" customHeight="1">
      <c r="G280" s="17"/>
      <c r="H280" s="17"/>
    </row>
    <row r="281" ht="15.75" customHeight="1">
      <c r="G281" s="17"/>
      <c r="H281" s="17"/>
    </row>
    <row r="282" ht="15.75" customHeight="1">
      <c r="G282" s="17"/>
      <c r="H282" s="17"/>
    </row>
    <row r="283" ht="15.75" customHeight="1">
      <c r="G283" s="17"/>
      <c r="H283" s="17"/>
    </row>
    <row r="284" ht="15.75" customHeight="1">
      <c r="G284" s="17"/>
      <c r="H284" s="17"/>
    </row>
    <row r="285" ht="15.75" customHeight="1">
      <c r="G285" s="17"/>
      <c r="H285" s="17"/>
    </row>
    <row r="286" ht="15.75" customHeight="1">
      <c r="G286" s="17"/>
      <c r="H286" s="17"/>
    </row>
    <row r="287" ht="15.75" customHeight="1">
      <c r="G287" s="17"/>
      <c r="H287" s="17"/>
    </row>
    <row r="288" ht="15.75" customHeight="1">
      <c r="G288" s="17"/>
      <c r="H288" s="17"/>
    </row>
    <row r="289" ht="15.75" customHeight="1">
      <c r="G289" s="17"/>
      <c r="H289" s="17"/>
    </row>
    <row r="290" ht="15.75" customHeight="1">
      <c r="G290" s="17"/>
      <c r="H290" s="17"/>
    </row>
    <row r="291" ht="15.75" customHeight="1">
      <c r="G291" s="17"/>
      <c r="H291" s="17"/>
    </row>
    <row r="292" ht="15.75" customHeight="1">
      <c r="G292" s="17"/>
      <c r="H292" s="17"/>
    </row>
    <row r="293" ht="15.75" customHeight="1">
      <c r="G293" s="17"/>
      <c r="H293" s="17"/>
    </row>
    <row r="294" ht="15.75" customHeight="1">
      <c r="G294" s="17"/>
      <c r="H294" s="17"/>
    </row>
    <row r="295" ht="15.75" customHeight="1">
      <c r="G295" s="17"/>
      <c r="H295" s="17"/>
    </row>
    <row r="296" ht="15.75" customHeight="1">
      <c r="G296" s="17"/>
      <c r="H296" s="17"/>
    </row>
    <row r="297" ht="15.75" customHeight="1">
      <c r="G297" s="17"/>
      <c r="H297" s="17"/>
    </row>
    <row r="298" ht="15.75" customHeight="1">
      <c r="G298" s="17"/>
      <c r="H298" s="17"/>
    </row>
    <row r="299" ht="15.75" customHeight="1">
      <c r="G299" s="17"/>
      <c r="H299" s="17"/>
    </row>
    <row r="300" ht="15.75" customHeight="1">
      <c r="G300" s="17"/>
      <c r="H300" s="17"/>
    </row>
    <row r="301" ht="15.75" customHeight="1">
      <c r="G301" s="17"/>
      <c r="H301" s="17"/>
    </row>
    <row r="302" ht="15.75" customHeight="1">
      <c r="G302" s="17"/>
      <c r="H302" s="17"/>
    </row>
    <row r="303" ht="15.75" customHeight="1">
      <c r="G303" s="17"/>
      <c r="H303" s="17"/>
    </row>
    <row r="304" ht="15.75" customHeight="1">
      <c r="G304" s="17"/>
      <c r="H304" s="17"/>
    </row>
    <row r="305" ht="15.75" customHeight="1">
      <c r="G305" s="17"/>
      <c r="H305" s="17"/>
    </row>
    <row r="306" ht="15.75" customHeight="1">
      <c r="G306" s="17"/>
      <c r="H306" s="17"/>
    </row>
    <row r="307" ht="15.75" customHeight="1">
      <c r="G307" s="17"/>
      <c r="H307" s="17"/>
    </row>
    <row r="308" ht="15.75" customHeight="1">
      <c r="G308" s="17"/>
      <c r="H308" s="17"/>
    </row>
    <row r="309" ht="15.75" customHeight="1">
      <c r="G309" s="17"/>
      <c r="H309" s="17"/>
    </row>
    <row r="310" ht="15.75" customHeight="1">
      <c r="G310" s="17"/>
      <c r="H310" s="17"/>
    </row>
    <row r="311" ht="15.75" customHeight="1">
      <c r="G311" s="17"/>
      <c r="H311" s="17"/>
    </row>
    <row r="312" ht="15.75" customHeight="1">
      <c r="G312" s="17"/>
      <c r="H312" s="17"/>
    </row>
    <row r="313" ht="15.75" customHeight="1">
      <c r="G313" s="17"/>
      <c r="H313" s="17"/>
    </row>
    <row r="314" ht="15.75" customHeight="1">
      <c r="G314" s="17"/>
      <c r="H314" s="17"/>
    </row>
    <row r="315" ht="15.75" customHeight="1">
      <c r="G315" s="17"/>
      <c r="H315" s="17"/>
    </row>
    <row r="316" ht="15.75" customHeight="1">
      <c r="G316" s="17"/>
      <c r="H316" s="17"/>
    </row>
    <row r="317" ht="15.75" customHeight="1">
      <c r="G317" s="17"/>
      <c r="H317" s="17"/>
    </row>
    <row r="318" ht="15.75" customHeight="1">
      <c r="G318" s="17"/>
      <c r="H318" s="17"/>
    </row>
    <row r="319" ht="15.75" customHeight="1">
      <c r="G319" s="17"/>
      <c r="H319" s="17"/>
    </row>
    <row r="320" ht="15.75" customHeight="1">
      <c r="G320" s="17"/>
      <c r="H320" s="17"/>
    </row>
    <row r="321" ht="15.75" customHeight="1">
      <c r="G321" s="17"/>
      <c r="H321" s="17"/>
    </row>
    <row r="322" ht="15.75" customHeight="1">
      <c r="G322" s="17"/>
      <c r="H322" s="17"/>
    </row>
    <row r="323" ht="15.75" customHeight="1">
      <c r="G323" s="17"/>
      <c r="H323" s="17"/>
    </row>
    <row r="324" ht="15.75" customHeight="1">
      <c r="G324" s="17"/>
      <c r="H324" s="17"/>
    </row>
    <row r="325" ht="15.75" customHeight="1">
      <c r="G325" s="17"/>
      <c r="H325" s="17"/>
    </row>
    <row r="326" ht="15.75" customHeight="1">
      <c r="G326" s="17"/>
      <c r="H326" s="17"/>
    </row>
    <row r="327" ht="15.75" customHeight="1">
      <c r="G327" s="17"/>
      <c r="H327" s="17"/>
    </row>
    <row r="328" ht="15.75" customHeight="1">
      <c r="G328" s="17"/>
      <c r="H328" s="17"/>
    </row>
    <row r="329" ht="15.75" customHeight="1">
      <c r="G329" s="17"/>
      <c r="H329" s="17"/>
    </row>
    <row r="330" ht="15.75" customHeight="1">
      <c r="G330" s="17"/>
      <c r="H330" s="17"/>
    </row>
    <row r="331" ht="15.75" customHeight="1">
      <c r="G331" s="17"/>
      <c r="H331" s="17"/>
    </row>
    <row r="332" ht="15.75" customHeight="1">
      <c r="G332" s="17"/>
      <c r="H332" s="17"/>
    </row>
    <row r="333" ht="15.75" customHeight="1">
      <c r="G333" s="17"/>
      <c r="H333" s="17"/>
    </row>
    <row r="334" ht="15.75" customHeight="1">
      <c r="G334" s="17"/>
      <c r="H334" s="17"/>
    </row>
    <row r="335" ht="15.75" customHeight="1">
      <c r="G335" s="17"/>
      <c r="H335" s="17"/>
    </row>
    <row r="336" ht="15.75" customHeight="1">
      <c r="G336" s="17"/>
      <c r="H336" s="17"/>
    </row>
    <row r="337" ht="15.75" customHeight="1">
      <c r="G337" s="17"/>
      <c r="H337" s="17"/>
    </row>
    <row r="338" ht="15.75" customHeight="1">
      <c r="G338" s="17"/>
      <c r="H338" s="17"/>
    </row>
    <row r="339" ht="15.75" customHeight="1">
      <c r="G339" s="17"/>
      <c r="H339" s="17"/>
    </row>
    <row r="340" ht="15.75" customHeight="1">
      <c r="G340" s="17"/>
      <c r="H340" s="17"/>
    </row>
    <row r="341" ht="15.75" customHeight="1">
      <c r="G341" s="17"/>
      <c r="H341" s="17"/>
    </row>
    <row r="342" ht="15.75" customHeight="1">
      <c r="G342" s="17"/>
      <c r="H342" s="17"/>
    </row>
    <row r="343" ht="15.75" customHeight="1">
      <c r="G343" s="17"/>
      <c r="H343" s="17"/>
    </row>
    <row r="344" ht="15.75" customHeight="1">
      <c r="G344" s="17"/>
      <c r="H344" s="17"/>
    </row>
    <row r="345" ht="15.75" customHeight="1">
      <c r="G345" s="17"/>
      <c r="H345" s="17"/>
    </row>
    <row r="346" ht="15.75" customHeight="1">
      <c r="G346" s="17"/>
      <c r="H346" s="17"/>
    </row>
    <row r="347" ht="15.75" customHeight="1">
      <c r="G347" s="17"/>
      <c r="H347" s="17"/>
    </row>
    <row r="348" ht="15.75" customHeight="1">
      <c r="G348" s="17"/>
      <c r="H348" s="17"/>
    </row>
    <row r="349" ht="15.75" customHeight="1">
      <c r="G349" s="17"/>
      <c r="H349" s="17"/>
    </row>
    <row r="350" ht="15.75" customHeight="1">
      <c r="G350" s="17"/>
      <c r="H350" s="17"/>
    </row>
    <row r="351" ht="15.75" customHeight="1">
      <c r="G351" s="17"/>
      <c r="H351" s="17"/>
    </row>
    <row r="352" ht="15.75" customHeight="1">
      <c r="G352" s="17"/>
      <c r="H352" s="17"/>
    </row>
    <row r="353" ht="15.75" customHeight="1">
      <c r="G353" s="17"/>
      <c r="H353" s="17"/>
    </row>
    <row r="354" ht="15.75" customHeight="1">
      <c r="G354" s="17"/>
      <c r="H354" s="17"/>
    </row>
    <row r="355" ht="15.75" customHeight="1">
      <c r="G355" s="17"/>
      <c r="H355" s="17"/>
    </row>
    <row r="356" ht="15.75" customHeight="1">
      <c r="G356" s="17"/>
      <c r="H356" s="17"/>
    </row>
    <row r="357" ht="15.75" customHeight="1">
      <c r="G357" s="17"/>
      <c r="H357" s="17"/>
    </row>
    <row r="358" ht="15.75" customHeight="1">
      <c r="G358" s="17"/>
      <c r="H358" s="17"/>
    </row>
    <row r="359" ht="15.75" customHeight="1">
      <c r="G359" s="17"/>
      <c r="H359" s="17"/>
    </row>
    <row r="360" ht="15.75" customHeight="1">
      <c r="G360" s="17"/>
      <c r="H360" s="17"/>
    </row>
    <row r="361" ht="15.75" customHeight="1">
      <c r="G361" s="17"/>
      <c r="H361" s="17"/>
    </row>
    <row r="362" ht="15.75" customHeight="1">
      <c r="G362" s="17"/>
      <c r="H362" s="17"/>
    </row>
    <row r="363" ht="15.75" customHeight="1">
      <c r="G363" s="17"/>
      <c r="H363" s="17"/>
    </row>
    <row r="364" ht="15.75" customHeight="1">
      <c r="G364" s="17"/>
      <c r="H364" s="17"/>
    </row>
    <row r="365" ht="15.75" customHeight="1">
      <c r="G365" s="17"/>
      <c r="H365" s="17"/>
    </row>
    <row r="366" ht="15.75" customHeight="1">
      <c r="G366" s="17"/>
      <c r="H366" s="17"/>
    </row>
    <row r="367" ht="15.75" customHeight="1">
      <c r="G367" s="17"/>
      <c r="H367" s="17"/>
    </row>
    <row r="368" ht="15.75" customHeight="1">
      <c r="G368" s="17"/>
      <c r="H368" s="17"/>
    </row>
    <row r="369" ht="15.75" customHeight="1">
      <c r="G369" s="17"/>
      <c r="H369" s="17"/>
    </row>
    <row r="370" ht="15.75" customHeight="1">
      <c r="G370" s="17"/>
      <c r="H370" s="17"/>
    </row>
    <row r="371" ht="15.75" customHeight="1">
      <c r="G371" s="17"/>
      <c r="H371" s="17"/>
    </row>
    <row r="372" ht="15.75" customHeight="1">
      <c r="G372" s="17"/>
      <c r="H372" s="17"/>
    </row>
    <row r="373" ht="15.75" customHeight="1">
      <c r="G373" s="17"/>
      <c r="H373" s="17"/>
    </row>
    <row r="374" ht="15.75" customHeight="1">
      <c r="G374" s="17"/>
      <c r="H374" s="17"/>
    </row>
    <row r="375" ht="15.75" customHeight="1">
      <c r="G375" s="17"/>
      <c r="H375" s="17"/>
    </row>
    <row r="376" ht="15.75" customHeight="1">
      <c r="G376" s="17"/>
      <c r="H376" s="17"/>
    </row>
    <row r="377" ht="15.75" customHeight="1">
      <c r="G377" s="17"/>
      <c r="H377" s="17"/>
    </row>
    <row r="378" ht="15.75" customHeight="1">
      <c r="G378" s="17"/>
      <c r="H378" s="17"/>
    </row>
    <row r="379" ht="15.75" customHeight="1">
      <c r="G379" s="17"/>
      <c r="H379" s="17"/>
    </row>
    <row r="380" ht="15.75" customHeight="1">
      <c r="G380" s="17"/>
      <c r="H380" s="17"/>
    </row>
    <row r="381" ht="15.75" customHeight="1">
      <c r="G381" s="17"/>
      <c r="H381" s="17"/>
    </row>
    <row r="382" ht="15.75" customHeight="1">
      <c r="G382" s="17"/>
      <c r="H382" s="17"/>
    </row>
    <row r="383" ht="15.75" customHeight="1">
      <c r="G383" s="17"/>
      <c r="H383" s="17"/>
    </row>
    <row r="384" ht="15.75" customHeight="1">
      <c r="G384" s="17"/>
      <c r="H384" s="17"/>
    </row>
    <row r="385" ht="15.75" customHeight="1">
      <c r="G385" s="17"/>
      <c r="H385" s="17"/>
    </row>
    <row r="386" ht="15.75" customHeight="1">
      <c r="G386" s="17"/>
      <c r="H386" s="17"/>
    </row>
    <row r="387" ht="15.75" customHeight="1">
      <c r="G387" s="17"/>
      <c r="H387" s="17"/>
    </row>
    <row r="388" ht="15.75" customHeight="1">
      <c r="G388" s="17"/>
      <c r="H388" s="17"/>
    </row>
    <row r="389" ht="15.75" customHeight="1">
      <c r="G389" s="17"/>
      <c r="H389" s="17"/>
    </row>
    <row r="390" ht="15.75" customHeight="1">
      <c r="G390" s="17"/>
      <c r="H390" s="17"/>
    </row>
    <row r="391" ht="15.75" customHeight="1">
      <c r="G391" s="17"/>
      <c r="H391" s="17"/>
    </row>
    <row r="392" ht="15.75" customHeight="1">
      <c r="G392" s="17"/>
      <c r="H392" s="17"/>
    </row>
    <row r="393" ht="15.75" customHeight="1">
      <c r="G393" s="17"/>
      <c r="H393" s="17"/>
    </row>
    <row r="394" ht="15.75" customHeight="1">
      <c r="G394" s="17"/>
      <c r="H394" s="17"/>
    </row>
    <row r="395" ht="15.75" customHeight="1">
      <c r="G395" s="17"/>
      <c r="H395" s="17"/>
    </row>
    <row r="396" ht="15.75" customHeight="1">
      <c r="G396" s="17"/>
      <c r="H396" s="17"/>
    </row>
    <row r="397" ht="15.75" customHeight="1">
      <c r="G397" s="17"/>
      <c r="H397" s="17"/>
    </row>
    <row r="398" ht="15.75" customHeight="1">
      <c r="G398" s="17"/>
      <c r="H398" s="17"/>
    </row>
    <row r="399" ht="15.75" customHeight="1">
      <c r="G399" s="17"/>
      <c r="H399" s="17"/>
    </row>
    <row r="400" ht="15.75" customHeight="1">
      <c r="G400" s="17"/>
      <c r="H400" s="17"/>
    </row>
    <row r="401" ht="15.75" customHeight="1">
      <c r="G401" s="17"/>
      <c r="H401" s="17"/>
    </row>
    <row r="402" ht="15.75" customHeight="1">
      <c r="G402" s="17"/>
      <c r="H402" s="17"/>
    </row>
    <row r="403" ht="15.75" customHeight="1">
      <c r="G403" s="17"/>
      <c r="H403" s="17"/>
    </row>
    <row r="404" ht="15.75" customHeight="1">
      <c r="G404" s="17"/>
      <c r="H404" s="17"/>
    </row>
    <row r="405" ht="15.75" customHeight="1">
      <c r="G405" s="17"/>
      <c r="H405" s="17"/>
    </row>
    <row r="406" ht="15.75" customHeight="1">
      <c r="G406" s="17"/>
      <c r="H406" s="17"/>
    </row>
    <row r="407" ht="15.75" customHeight="1">
      <c r="G407" s="17"/>
      <c r="H407" s="17"/>
    </row>
    <row r="408" ht="15.75" customHeight="1">
      <c r="G408" s="17"/>
      <c r="H408" s="17"/>
    </row>
    <row r="409" ht="15.75" customHeight="1">
      <c r="G409" s="17"/>
      <c r="H409" s="17"/>
    </row>
    <row r="410" ht="15.75" customHeight="1">
      <c r="G410" s="17"/>
      <c r="H410" s="17"/>
    </row>
    <row r="411" ht="15.75" customHeight="1">
      <c r="G411" s="17"/>
      <c r="H411" s="17"/>
    </row>
    <row r="412" ht="15.75" customHeight="1">
      <c r="G412" s="17"/>
      <c r="H412" s="17"/>
    </row>
    <row r="413" ht="15.75" customHeight="1">
      <c r="G413" s="17"/>
      <c r="H413" s="17"/>
    </row>
    <row r="414" ht="15.75" customHeight="1">
      <c r="G414" s="17"/>
      <c r="H414" s="17"/>
    </row>
    <row r="415" ht="15.75" customHeight="1">
      <c r="G415" s="17"/>
      <c r="H415" s="17"/>
    </row>
    <row r="416" ht="15.75" customHeight="1">
      <c r="G416" s="17"/>
      <c r="H416" s="17"/>
    </row>
    <row r="417" ht="15.75" customHeight="1">
      <c r="G417" s="17"/>
      <c r="H417" s="17"/>
    </row>
    <row r="418" ht="15.75" customHeight="1">
      <c r="G418" s="17"/>
      <c r="H418" s="17"/>
    </row>
    <row r="419" ht="15.75" customHeight="1">
      <c r="G419" s="17"/>
      <c r="H419" s="17"/>
    </row>
    <row r="420" ht="15.75" customHeight="1">
      <c r="G420" s="17"/>
      <c r="H420" s="17"/>
    </row>
    <row r="421" ht="15.75" customHeight="1">
      <c r="G421" s="17"/>
      <c r="H421" s="17"/>
    </row>
    <row r="422" ht="15.75" customHeight="1">
      <c r="G422" s="17"/>
      <c r="H422" s="17"/>
    </row>
    <row r="423" ht="15.75" customHeight="1">
      <c r="G423" s="17"/>
      <c r="H423" s="17"/>
    </row>
    <row r="424" ht="15.75" customHeight="1">
      <c r="G424" s="17"/>
      <c r="H424" s="17"/>
    </row>
    <row r="425" ht="15.75" customHeight="1">
      <c r="G425" s="17"/>
      <c r="H425" s="17"/>
    </row>
    <row r="426" ht="15.75" customHeight="1">
      <c r="G426" s="17"/>
      <c r="H426" s="17"/>
    </row>
    <row r="427" ht="15.75" customHeight="1">
      <c r="G427" s="17"/>
      <c r="H427" s="17"/>
    </row>
    <row r="428" ht="15.75" customHeight="1">
      <c r="G428" s="17"/>
      <c r="H428" s="17"/>
    </row>
    <row r="429" ht="15.75" customHeight="1">
      <c r="G429" s="17"/>
      <c r="H429" s="17"/>
    </row>
    <row r="430" ht="15.75" customHeight="1">
      <c r="G430" s="17"/>
      <c r="H430" s="17"/>
    </row>
    <row r="431" ht="15.75" customHeight="1">
      <c r="G431" s="17"/>
      <c r="H431" s="17"/>
    </row>
    <row r="432" ht="15.75" customHeight="1">
      <c r="G432" s="17"/>
      <c r="H432" s="17"/>
    </row>
    <row r="433" ht="15.75" customHeight="1">
      <c r="G433" s="17"/>
      <c r="H433" s="17"/>
    </row>
    <row r="434" ht="15.75" customHeight="1">
      <c r="G434" s="17"/>
      <c r="H434" s="17"/>
    </row>
    <row r="435" ht="15.75" customHeight="1">
      <c r="G435" s="17"/>
      <c r="H435" s="17"/>
    </row>
    <row r="436" ht="15.75" customHeight="1">
      <c r="G436" s="17"/>
      <c r="H436" s="17"/>
    </row>
    <row r="437" ht="15.75" customHeight="1">
      <c r="G437" s="17"/>
      <c r="H437" s="17"/>
    </row>
    <row r="438" ht="15.75" customHeight="1">
      <c r="G438" s="17"/>
      <c r="H438" s="17"/>
    </row>
    <row r="439" ht="15.75" customHeight="1">
      <c r="G439" s="17"/>
      <c r="H439" s="17"/>
    </row>
    <row r="440" ht="15.75" customHeight="1">
      <c r="G440" s="17"/>
      <c r="H440" s="17"/>
    </row>
    <row r="441" ht="15.75" customHeight="1">
      <c r="G441" s="17"/>
      <c r="H441" s="17"/>
    </row>
    <row r="442" ht="15.75" customHeight="1">
      <c r="G442" s="17"/>
      <c r="H442" s="17"/>
    </row>
    <row r="443" ht="15.75" customHeight="1">
      <c r="G443" s="17"/>
      <c r="H443" s="17"/>
    </row>
    <row r="444" ht="15.75" customHeight="1">
      <c r="G444" s="17"/>
      <c r="H444" s="17"/>
    </row>
    <row r="445" ht="15.75" customHeight="1">
      <c r="G445" s="17"/>
      <c r="H445" s="17"/>
    </row>
    <row r="446" ht="15.75" customHeight="1">
      <c r="G446" s="17"/>
      <c r="H446" s="17"/>
    </row>
    <row r="447" ht="15.75" customHeight="1">
      <c r="G447" s="17"/>
      <c r="H447" s="17"/>
    </row>
    <row r="448" ht="15.75" customHeight="1">
      <c r="G448" s="17"/>
      <c r="H448" s="17"/>
    </row>
    <row r="449" ht="15.75" customHeight="1">
      <c r="G449" s="17"/>
      <c r="H449" s="17"/>
    </row>
    <row r="450" ht="15.75" customHeight="1">
      <c r="G450" s="17"/>
      <c r="H450" s="17"/>
    </row>
    <row r="451" ht="15.75" customHeight="1">
      <c r="G451" s="17"/>
      <c r="H451" s="17"/>
    </row>
    <row r="452" ht="15.75" customHeight="1">
      <c r="G452" s="17"/>
      <c r="H452" s="17"/>
    </row>
    <row r="453" ht="15.75" customHeight="1">
      <c r="G453" s="17"/>
      <c r="H453" s="17"/>
    </row>
    <row r="454" ht="15.75" customHeight="1">
      <c r="G454" s="17"/>
      <c r="H454" s="17"/>
    </row>
    <row r="455" ht="15.75" customHeight="1">
      <c r="G455" s="17"/>
      <c r="H455" s="17"/>
    </row>
    <row r="456" ht="15.75" customHeight="1">
      <c r="G456" s="17"/>
      <c r="H456" s="17"/>
    </row>
    <row r="457" ht="15.75" customHeight="1">
      <c r="G457" s="17"/>
      <c r="H457" s="17"/>
    </row>
    <row r="458" ht="15.75" customHeight="1">
      <c r="G458" s="17"/>
      <c r="H458" s="17"/>
    </row>
    <row r="459" ht="15.75" customHeight="1">
      <c r="G459" s="17"/>
      <c r="H459" s="17"/>
    </row>
    <row r="460" ht="15.75" customHeight="1">
      <c r="G460" s="17"/>
      <c r="H460" s="17"/>
    </row>
    <row r="461" ht="15.75" customHeight="1">
      <c r="G461" s="17"/>
      <c r="H461" s="17"/>
    </row>
    <row r="462" ht="15.75" customHeight="1">
      <c r="G462" s="17"/>
      <c r="H462" s="17"/>
    </row>
    <row r="463" ht="15.75" customHeight="1">
      <c r="G463" s="17"/>
      <c r="H463" s="17"/>
    </row>
    <row r="464" ht="15.75" customHeight="1">
      <c r="G464" s="17"/>
      <c r="H464" s="17"/>
    </row>
    <row r="465" ht="15.75" customHeight="1">
      <c r="G465" s="17"/>
      <c r="H465" s="17"/>
    </row>
    <row r="466" ht="15.75" customHeight="1">
      <c r="G466" s="17"/>
      <c r="H466" s="17"/>
    </row>
    <row r="467" ht="15.75" customHeight="1">
      <c r="G467" s="17"/>
      <c r="H467" s="17"/>
    </row>
    <row r="468" ht="15.75" customHeight="1">
      <c r="G468" s="17"/>
      <c r="H468" s="17"/>
    </row>
    <row r="469" ht="15.75" customHeight="1">
      <c r="G469" s="17"/>
      <c r="H469" s="17"/>
    </row>
    <row r="470" ht="15.75" customHeight="1">
      <c r="G470" s="17"/>
      <c r="H470" s="17"/>
    </row>
    <row r="471" ht="15.75" customHeight="1">
      <c r="G471" s="17"/>
      <c r="H471" s="17"/>
    </row>
    <row r="472" ht="15.75" customHeight="1">
      <c r="G472" s="17"/>
      <c r="H472" s="17"/>
    </row>
    <row r="473" ht="15.75" customHeight="1">
      <c r="G473" s="17"/>
      <c r="H473" s="17"/>
    </row>
    <row r="474" ht="15.75" customHeight="1">
      <c r="G474" s="17"/>
      <c r="H474" s="17"/>
    </row>
    <row r="475" ht="15.75" customHeight="1">
      <c r="G475" s="17"/>
      <c r="H475" s="17"/>
    </row>
    <row r="476" ht="15.75" customHeight="1">
      <c r="G476" s="17"/>
      <c r="H476" s="17"/>
    </row>
    <row r="477" ht="15.75" customHeight="1">
      <c r="G477" s="17"/>
      <c r="H477" s="17"/>
    </row>
    <row r="478" ht="15.75" customHeight="1">
      <c r="G478" s="17"/>
      <c r="H478" s="17"/>
    </row>
    <row r="479" ht="15.75" customHeight="1">
      <c r="G479" s="17"/>
      <c r="H479" s="17"/>
    </row>
    <row r="480" ht="15.75" customHeight="1">
      <c r="G480" s="17"/>
      <c r="H480" s="17"/>
    </row>
    <row r="481" ht="15.75" customHeight="1">
      <c r="G481" s="17"/>
      <c r="H481" s="17"/>
    </row>
    <row r="482" ht="15.75" customHeight="1">
      <c r="G482" s="17"/>
      <c r="H482" s="17"/>
    </row>
    <row r="483" ht="15.75" customHeight="1">
      <c r="G483" s="17"/>
      <c r="H483" s="17"/>
    </row>
    <row r="484" ht="15.75" customHeight="1">
      <c r="G484" s="17"/>
      <c r="H484" s="17"/>
    </row>
    <row r="485" ht="15.75" customHeight="1">
      <c r="G485" s="17"/>
      <c r="H485" s="17"/>
    </row>
    <row r="486" ht="15.75" customHeight="1">
      <c r="G486" s="17"/>
      <c r="H486" s="17"/>
    </row>
    <row r="487" ht="15.75" customHeight="1">
      <c r="G487" s="17"/>
      <c r="H487" s="17"/>
    </row>
    <row r="488" ht="15.75" customHeight="1">
      <c r="G488" s="17"/>
      <c r="H488" s="17"/>
    </row>
    <row r="489" ht="15.75" customHeight="1">
      <c r="G489" s="17"/>
      <c r="H489" s="17"/>
    </row>
    <row r="490" ht="15.75" customHeight="1">
      <c r="G490" s="17"/>
      <c r="H490" s="17"/>
    </row>
    <row r="491" ht="15.75" customHeight="1">
      <c r="G491" s="17"/>
      <c r="H491" s="17"/>
    </row>
    <row r="492" ht="15.75" customHeight="1">
      <c r="G492" s="17"/>
      <c r="H492" s="17"/>
    </row>
    <row r="493" ht="15.75" customHeight="1">
      <c r="G493" s="17"/>
      <c r="H493" s="17"/>
    </row>
    <row r="494" ht="15.75" customHeight="1">
      <c r="G494" s="17"/>
      <c r="H494" s="17"/>
    </row>
    <row r="495" ht="15.75" customHeight="1">
      <c r="G495" s="17"/>
      <c r="H495" s="17"/>
    </row>
    <row r="496" ht="15.75" customHeight="1">
      <c r="G496" s="17"/>
      <c r="H496" s="17"/>
    </row>
    <row r="497" ht="15.75" customHeight="1">
      <c r="G497" s="17"/>
      <c r="H497" s="17"/>
    </row>
    <row r="498" ht="15.75" customHeight="1">
      <c r="G498" s="17"/>
      <c r="H498" s="17"/>
    </row>
    <row r="499" ht="15.75" customHeight="1">
      <c r="G499" s="17"/>
      <c r="H499" s="17"/>
    </row>
    <row r="500" ht="15.75" customHeight="1">
      <c r="G500" s="17"/>
      <c r="H500" s="17"/>
    </row>
    <row r="501" ht="15.75" customHeight="1">
      <c r="G501" s="17"/>
      <c r="H501" s="17"/>
    </row>
    <row r="502" ht="15.75" customHeight="1">
      <c r="G502" s="17"/>
      <c r="H502" s="17"/>
    </row>
    <row r="503" ht="15.75" customHeight="1">
      <c r="G503" s="17"/>
      <c r="H503" s="17"/>
    </row>
    <row r="504" ht="15.75" customHeight="1">
      <c r="G504" s="17"/>
      <c r="H504" s="17"/>
    </row>
    <row r="505" ht="15.75" customHeight="1">
      <c r="G505" s="17"/>
      <c r="H505" s="17"/>
    </row>
    <row r="506" ht="15.75" customHeight="1">
      <c r="G506" s="17"/>
      <c r="H506" s="17"/>
    </row>
    <row r="507" ht="15.75" customHeight="1">
      <c r="G507" s="17"/>
      <c r="H507" s="17"/>
    </row>
    <row r="508" ht="15.75" customHeight="1">
      <c r="G508" s="17"/>
      <c r="H508" s="17"/>
    </row>
    <row r="509" ht="15.75" customHeight="1">
      <c r="G509" s="17"/>
      <c r="H509" s="17"/>
    </row>
    <row r="510" ht="15.75" customHeight="1">
      <c r="G510" s="17"/>
      <c r="H510" s="17"/>
    </row>
    <row r="511" ht="15.75" customHeight="1">
      <c r="G511" s="17"/>
      <c r="H511" s="17"/>
    </row>
    <row r="512" ht="15.75" customHeight="1">
      <c r="G512" s="17"/>
      <c r="H512" s="17"/>
    </row>
    <row r="513" ht="15.75" customHeight="1">
      <c r="G513" s="17"/>
      <c r="H513" s="17"/>
    </row>
    <row r="514" ht="15.75" customHeight="1">
      <c r="G514" s="17"/>
      <c r="H514" s="17"/>
    </row>
    <row r="515" ht="15.75" customHeight="1">
      <c r="G515" s="17"/>
      <c r="H515" s="17"/>
    </row>
    <row r="516" ht="15.75" customHeight="1">
      <c r="G516" s="17"/>
      <c r="H516" s="17"/>
    </row>
    <row r="517" ht="15.75" customHeight="1">
      <c r="G517" s="17"/>
      <c r="H517" s="17"/>
    </row>
    <row r="518" ht="15.75" customHeight="1">
      <c r="G518" s="17"/>
      <c r="H518" s="17"/>
    </row>
    <row r="519" ht="15.75" customHeight="1">
      <c r="G519" s="17"/>
      <c r="H519" s="17"/>
    </row>
    <row r="520" ht="15.75" customHeight="1">
      <c r="G520" s="17"/>
      <c r="H520" s="17"/>
    </row>
    <row r="521" ht="15.75" customHeight="1">
      <c r="G521" s="17"/>
      <c r="H521" s="17"/>
    </row>
    <row r="522" ht="15.75" customHeight="1">
      <c r="G522" s="17"/>
      <c r="H522" s="17"/>
    </row>
    <row r="523" ht="15.75" customHeight="1">
      <c r="G523" s="17"/>
      <c r="H523" s="17"/>
    </row>
    <row r="524" ht="15.75" customHeight="1">
      <c r="G524" s="17"/>
      <c r="H524" s="17"/>
    </row>
    <row r="525" ht="15.75" customHeight="1">
      <c r="G525" s="17"/>
      <c r="H525" s="17"/>
    </row>
    <row r="526" ht="15.75" customHeight="1">
      <c r="G526" s="17"/>
      <c r="H526" s="17"/>
    </row>
    <row r="527" ht="15.75" customHeight="1">
      <c r="G527" s="17"/>
      <c r="H527" s="17"/>
    </row>
    <row r="528" ht="15.75" customHeight="1">
      <c r="G528" s="17"/>
      <c r="H528" s="17"/>
    </row>
    <row r="529" ht="15.75" customHeight="1">
      <c r="G529" s="17"/>
      <c r="H529" s="17"/>
    </row>
    <row r="530" ht="15.75" customHeight="1">
      <c r="G530" s="17"/>
      <c r="H530" s="17"/>
    </row>
    <row r="531" ht="15.75" customHeight="1">
      <c r="G531" s="17"/>
      <c r="H531" s="17"/>
    </row>
    <row r="532" ht="15.75" customHeight="1">
      <c r="G532" s="17"/>
      <c r="H532" s="17"/>
    </row>
    <row r="533" ht="15.75" customHeight="1">
      <c r="G533" s="17"/>
      <c r="H533" s="17"/>
    </row>
    <row r="534" ht="15.75" customHeight="1">
      <c r="G534" s="17"/>
      <c r="H534" s="17"/>
    </row>
    <row r="535" ht="15.75" customHeight="1">
      <c r="G535" s="17"/>
      <c r="H535" s="17"/>
    </row>
    <row r="536" ht="15.75" customHeight="1">
      <c r="G536" s="17"/>
      <c r="H536" s="17"/>
    </row>
    <row r="537" ht="15.75" customHeight="1">
      <c r="G537" s="17"/>
      <c r="H537" s="17"/>
    </row>
    <row r="538" ht="15.75" customHeight="1">
      <c r="G538" s="17"/>
      <c r="H538" s="17"/>
    </row>
    <row r="539" ht="15.75" customHeight="1">
      <c r="G539" s="17"/>
      <c r="H539" s="17"/>
    </row>
    <row r="540" ht="15.75" customHeight="1">
      <c r="G540" s="17"/>
      <c r="H540" s="17"/>
    </row>
    <row r="541" ht="15.75" customHeight="1">
      <c r="G541" s="17"/>
      <c r="H541" s="17"/>
    </row>
    <row r="542" ht="15.75" customHeight="1">
      <c r="G542" s="17"/>
      <c r="H542" s="17"/>
    </row>
    <row r="543" ht="15.75" customHeight="1">
      <c r="G543" s="17"/>
      <c r="H543" s="17"/>
    </row>
    <row r="544" ht="15.75" customHeight="1">
      <c r="G544" s="17"/>
      <c r="H544" s="17"/>
    </row>
    <row r="545" ht="15.75" customHeight="1">
      <c r="G545" s="17"/>
      <c r="H545" s="17"/>
    </row>
    <row r="546" ht="15.75" customHeight="1">
      <c r="G546" s="17"/>
      <c r="H546" s="17"/>
    </row>
    <row r="547" ht="15.75" customHeight="1">
      <c r="G547" s="17"/>
      <c r="H547" s="17"/>
    </row>
    <row r="548" ht="15.75" customHeight="1">
      <c r="G548" s="17"/>
      <c r="H548" s="17"/>
    </row>
    <row r="549" ht="15.75" customHeight="1">
      <c r="G549" s="17"/>
      <c r="H549" s="17"/>
    </row>
    <row r="550" ht="15.75" customHeight="1">
      <c r="G550" s="17"/>
      <c r="H550" s="17"/>
    </row>
    <row r="551" ht="15.75" customHeight="1">
      <c r="G551" s="17"/>
      <c r="H551" s="17"/>
    </row>
    <row r="552" ht="15.75" customHeight="1">
      <c r="G552" s="17"/>
      <c r="H552" s="17"/>
    </row>
    <row r="553" ht="15.75" customHeight="1">
      <c r="G553" s="17"/>
      <c r="H553" s="17"/>
    </row>
    <row r="554" ht="15.75" customHeight="1">
      <c r="G554" s="17"/>
      <c r="H554" s="17"/>
    </row>
    <row r="555" ht="15.75" customHeight="1">
      <c r="G555" s="17"/>
      <c r="H555" s="17"/>
    </row>
    <row r="556" ht="15.75" customHeight="1">
      <c r="G556" s="17"/>
      <c r="H556" s="17"/>
    </row>
    <row r="557" ht="15.75" customHeight="1">
      <c r="G557" s="17"/>
      <c r="H557" s="17"/>
    </row>
    <row r="558" ht="15.75" customHeight="1">
      <c r="G558" s="17"/>
      <c r="H558" s="17"/>
    </row>
    <row r="559" ht="15.75" customHeight="1">
      <c r="G559" s="17"/>
      <c r="H559" s="17"/>
    </row>
    <row r="560" ht="15.75" customHeight="1">
      <c r="G560" s="17"/>
      <c r="H560" s="17"/>
    </row>
    <row r="561" ht="15.75" customHeight="1">
      <c r="G561" s="17"/>
      <c r="H561" s="17"/>
    </row>
    <row r="562" ht="15.75" customHeight="1">
      <c r="G562" s="17"/>
      <c r="H562" s="17"/>
    </row>
    <row r="563" ht="15.75" customHeight="1">
      <c r="G563" s="17"/>
      <c r="H563" s="17"/>
    </row>
    <row r="564" ht="15.75" customHeight="1">
      <c r="G564" s="17"/>
      <c r="H564" s="17"/>
    </row>
    <row r="565" ht="15.75" customHeight="1">
      <c r="G565" s="17"/>
      <c r="H565" s="17"/>
    </row>
    <row r="566" ht="15.75" customHeight="1">
      <c r="G566" s="17"/>
      <c r="H566" s="17"/>
    </row>
    <row r="567" ht="15.75" customHeight="1">
      <c r="G567" s="17"/>
      <c r="H567" s="17"/>
    </row>
    <row r="568" ht="15.75" customHeight="1">
      <c r="G568" s="17"/>
      <c r="H568" s="17"/>
    </row>
    <row r="569" ht="15.75" customHeight="1">
      <c r="G569" s="17"/>
      <c r="H569" s="17"/>
    </row>
    <row r="570" ht="15.75" customHeight="1">
      <c r="G570" s="17"/>
      <c r="H570" s="17"/>
    </row>
    <row r="571" ht="15.75" customHeight="1">
      <c r="G571" s="17"/>
      <c r="H571" s="17"/>
    </row>
    <row r="572" ht="15.75" customHeight="1">
      <c r="G572" s="17"/>
      <c r="H572" s="17"/>
    </row>
    <row r="573" ht="15.75" customHeight="1">
      <c r="G573" s="17"/>
      <c r="H573" s="17"/>
    </row>
    <row r="574" ht="15.75" customHeight="1">
      <c r="G574" s="17"/>
      <c r="H574" s="17"/>
    </row>
    <row r="575" ht="15.75" customHeight="1">
      <c r="G575" s="17"/>
      <c r="H575" s="17"/>
    </row>
    <row r="576" ht="15.75" customHeight="1">
      <c r="G576" s="17"/>
      <c r="H576" s="17"/>
    </row>
    <row r="577" ht="15.75" customHeight="1">
      <c r="G577" s="17"/>
      <c r="H577" s="17"/>
    </row>
    <row r="578" ht="15.75" customHeight="1">
      <c r="G578" s="17"/>
      <c r="H578" s="17"/>
    </row>
    <row r="579" ht="15.75" customHeight="1">
      <c r="G579" s="17"/>
      <c r="H579" s="17"/>
    </row>
    <row r="580" ht="15.75" customHeight="1">
      <c r="G580" s="17"/>
      <c r="H580" s="17"/>
    </row>
    <row r="581" ht="15.75" customHeight="1">
      <c r="G581" s="17"/>
      <c r="H581" s="17"/>
    </row>
    <row r="582" ht="15.75" customHeight="1">
      <c r="G582" s="17"/>
      <c r="H582" s="17"/>
    </row>
    <row r="583" ht="15.75" customHeight="1">
      <c r="G583" s="17"/>
      <c r="H583" s="17"/>
    </row>
    <row r="584" ht="15.75" customHeight="1">
      <c r="G584" s="17"/>
      <c r="H584" s="17"/>
    </row>
    <row r="585" ht="15.75" customHeight="1">
      <c r="G585" s="17"/>
      <c r="H585" s="17"/>
    </row>
    <row r="586" ht="15.75" customHeight="1">
      <c r="G586" s="17"/>
      <c r="H586" s="17"/>
    </row>
    <row r="587" ht="15.75" customHeight="1">
      <c r="G587" s="17"/>
      <c r="H587" s="17"/>
    </row>
    <row r="588" ht="15.75" customHeight="1">
      <c r="G588" s="17"/>
      <c r="H588" s="17"/>
    </row>
    <row r="589" ht="15.75" customHeight="1">
      <c r="G589" s="17"/>
      <c r="H589" s="17"/>
    </row>
    <row r="590" ht="15.75" customHeight="1">
      <c r="G590" s="17"/>
      <c r="H590" s="17"/>
    </row>
    <row r="591" ht="15.75" customHeight="1">
      <c r="G591" s="17"/>
      <c r="H591" s="17"/>
    </row>
    <row r="592" ht="15.75" customHeight="1">
      <c r="G592" s="17"/>
      <c r="H592" s="17"/>
    </row>
    <row r="593" ht="15.75" customHeight="1">
      <c r="G593" s="17"/>
      <c r="H593" s="17"/>
    </row>
    <row r="594" ht="15.75" customHeight="1">
      <c r="G594" s="17"/>
      <c r="H594" s="17"/>
    </row>
    <row r="595" ht="15.75" customHeight="1">
      <c r="G595" s="17"/>
      <c r="H595" s="17"/>
    </row>
    <row r="596" ht="15.75" customHeight="1">
      <c r="G596" s="17"/>
      <c r="H596" s="17"/>
    </row>
    <row r="597" ht="15.75" customHeight="1">
      <c r="G597" s="17"/>
      <c r="H597" s="17"/>
    </row>
    <row r="598" ht="15.75" customHeight="1">
      <c r="G598" s="17"/>
      <c r="H598" s="17"/>
    </row>
    <row r="599" ht="15.75" customHeight="1">
      <c r="G599" s="17"/>
      <c r="H599" s="17"/>
    </row>
    <row r="600" ht="15.75" customHeight="1">
      <c r="G600" s="17"/>
      <c r="H600" s="17"/>
    </row>
    <row r="601" ht="15.75" customHeight="1">
      <c r="G601" s="17"/>
      <c r="H601" s="17"/>
    </row>
    <row r="602" ht="15.75" customHeight="1">
      <c r="G602" s="17"/>
      <c r="H602" s="17"/>
    </row>
    <row r="603" ht="15.75" customHeight="1">
      <c r="G603" s="17"/>
      <c r="H603" s="17"/>
    </row>
    <row r="604" ht="15.75" customHeight="1">
      <c r="G604" s="17"/>
      <c r="H604" s="17"/>
    </row>
    <row r="605" ht="15.75" customHeight="1">
      <c r="G605" s="17"/>
      <c r="H605" s="17"/>
    </row>
    <row r="606" ht="15.75" customHeight="1">
      <c r="G606" s="17"/>
      <c r="H606" s="17"/>
    </row>
    <row r="607" ht="15.75" customHeight="1">
      <c r="G607" s="17"/>
      <c r="H607" s="17"/>
    </row>
    <row r="608" ht="15.75" customHeight="1">
      <c r="G608" s="17"/>
      <c r="H608" s="17"/>
    </row>
    <row r="609" ht="15.75" customHeight="1">
      <c r="G609" s="17"/>
      <c r="H609" s="17"/>
    </row>
    <row r="610" ht="15.75" customHeight="1">
      <c r="G610" s="17"/>
      <c r="H610" s="17"/>
    </row>
    <row r="611" ht="15.75" customHeight="1">
      <c r="G611" s="17"/>
      <c r="H611" s="17"/>
    </row>
    <row r="612" ht="15.75" customHeight="1">
      <c r="G612" s="17"/>
      <c r="H612" s="17"/>
    </row>
    <row r="613" ht="15.75" customHeight="1">
      <c r="G613" s="17"/>
      <c r="H613" s="17"/>
    </row>
    <row r="614" ht="15.75" customHeight="1">
      <c r="G614" s="17"/>
      <c r="H614" s="17"/>
    </row>
    <row r="615" ht="15.75" customHeight="1">
      <c r="G615" s="17"/>
      <c r="H615" s="17"/>
    </row>
    <row r="616" ht="15.75" customHeight="1">
      <c r="G616" s="17"/>
      <c r="H616" s="17"/>
    </row>
    <row r="617" ht="15.75" customHeight="1">
      <c r="G617" s="17"/>
      <c r="H617" s="17"/>
    </row>
    <row r="618" ht="15.75" customHeight="1">
      <c r="G618" s="17"/>
      <c r="H618" s="17"/>
    </row>
    <row r="619" ht="15.75" customHeight="1">
      <c r="G619" s="17"/>
      <c r="H619" s="17"/>
    </row>
    <row r="620" ht="15.75" customHeight="1">
      <c r="G620" s="17"/>
      <c r="H620" s="17"/>
    </row>
    <row r="621" ht="15.75" customHeight="1">
      <c r="G621" s="17"/>
      <c r="H621" s="17"/>
    </row>
    <row r="622" ht="15.75" customHeight="1">
      <c r="G622" s="17"/>
      <c r="H622" s="17"/>
    </row>
    <row r="623" ht="15.75" customHeight="1">
      <c r="G623" s="17"/>
      <c r="H623" s="17"/>
    </row>
    <row r="624" ht="15.75" customHeight="1">
      <c r="G624" s="17"/>
      <c r="H624" s="17"/>
    </row>
    <row r="625" ht="15.75" customHeight="1">
      <c r="G625" s="17"/>
      <c r="H625" s="17"/>
    </row>
    <row r="626" ht="15.75" customHeight="1">
      <c r="G626" s="17"/>
      <c r="H626" s="17"/>
    </row>
    <row r="627" ht="15.75" customHeight="1">
      <c r="G627" s="17"/>
      <c r="H627" s="17"/>
    </row>
    <row r="628" ht="15.75" customHeight="1">
      <c r="G628" s="17"/>
      <c r="H628" s="17"/>
    </row>
    <row r="629" ht="15.75" customHeight="1">
      <c r="G629" s="17"/>
      <c r="H629" s="17"/>
    </row>
    <row r="630" ht="15.75" customHeight="1">
      <c r="G630" s="17"/>
      <c r="H630" s="17"/>
    </row>
    <row r="631" ht="15.75" customHeight="1">
      <c r="G631" s="17"/>
      <c r="H631" s="17"/>
    </row>
    <row r="632" ht="15.75" customHeight="1">
      <c r="G632" s="17"/>
      <c r="H632" s="17"/>
    </row>
    <row r="633" ht="15.75" customHeight="1">
      <c r="G633" s="17"/>
      <c r="H633" s="17"/>
    </row>
    <row r="634" ht="15.75" customHeight="1">
      <c r="G634" s="17"/>
      <c r="H634" s="17"/>
    </row>
    <row r="635" ht="15.75" customHeight="1">
      <c r="G635" s="17"/>
      <c r="H635" s="17"/>
    </row>
    <row r="636" ht="15.75" customHeight="1">
      <c r="G636" s="17"/>
      <c r="H636" s="17"/>
    </row>
    <row r="637" ht="15.75" customHeight="1">
      <c r="G637" s="17"/>
      <c r="H637" s="17"/>
    </row>
    <row r="638" ht="15.75" customHeight="1">
      <c r="G638" s="17"/>
      <c r="H638" s="17"/>
    </row>
    <row r="639" ht="15.75" customHeight="1">
      <c r="G639" s="17"/>
      <c r="H639" s="17"/>
    </row>
    <row r="640" ht="15.75" customHeight="1">
      <c r="G640" s="17"/>
      <c r="H640" s="17"/>
    </row>
    <row r="641" ht="15.75" customHeight="1">
      <c r="G641" s="17"/>
      <c r="H641" s="17"/>
    </row>
    <row r="642" ht="15.75" customHeight="1">
      <c r="G642" s="17"/>
      <c r="H642" s="17"/>
    </row>
    <row r="643" ht="15.75" customHeight="1">
      <c r="G643" s="17"/>
      <c r="H643" s="17"/>
    </row>
    <row r="644" ht="15.75" customHeight="1">
      <c r="G644" s="17"/>
      <c r="H644" s="17"/>
    </row>
    <row r="645" ht="15.75" customHeight="1">
      <c r="G645" s="17"/>
      <c r="H645" s="17"/>
    </row>
    <row r="646" ht="15.75" customHeight="1">
      <c r="G646" s="17"/>
      <c r="H646" s="17"/>
    </row>
    <row r="647" ht="15.75" customHeight="1">
      <c r="G647" s="17"/>
      <c r="H647" s="17"/>
    </row>
    <row r="648" ht="15.75" customHeight="1">
      <c r="G648" s="17"/>
      <c r="H648" s="17"/>
    </row>
    <row r="649" ht="15.75" customHeight="1">
      <c r="G649" s="17"/>
      <c r="H649" s="17"/>
    </row>
    <row r="650" ht="15.75" customHeight="1">
      <c r="G650" s="17"/>
      <c r="H650" s="17"/>
    </row>
    <row r="651" ht="15.75" customHeight="1">
      <c r="G651" s="17"/>
      <c r="H651" s="17"/>
    </row>
    <row r="652" ht="15.75" customHeight="1">
      <c r="G652" s="17"/>
      <c r="H652" s="17"/>
    </row>
    <row r="653" ht="15.75" customHeight="1">
      <c r="G653" s="17"/>
      <c r="H653" s="17"/>
    </row>
    <row r="654" ht="15.75" customHeight="1">
      <c r="G654" s="17"/>
      <c r="H654" s="17"/>
    </row>
    <row r="655" ht="15.75" customHeight="1">
      <c r="G655" s="17"/>
      <c r="H655" s="17"/>
    </row>
    <row r="656" ht="15.75" customHeight="1">
      <c r="G656" s="17"/>
      <c r="H656" s="17"/>
    </row>
    <row r="657" ht="15.75" customHeight="1">
      <c r="G657" s="17"/>
      <c r="H657" s="17"/>
    </row>
    <row r="658" ht="15.75" customHeight="1">
      <c r="G658" s="17"/>
      <c r="H658" s="17"/>
    </row>
    <row r="659" ht="15.75" customHeight="1">
      <c r="G659" s="17"/>
      <c r="H659" s="17"/>
    </row>
    <row r="660" ht="15.75" customHeight="1">
      <c r="G660" s="17"/>
      <c r="H660" s="17"/>
    </row>
    <row r="661" ht="15.75" customHeight="1">
      <c r="G661" s="17"/>
      <c r="H661" s="17"/>
    </row>
    <row r="662" ht="15.75" customHeight="1">
      <c r="G662" s="17"/>
      <c r="H662" s="17"/>
    </row>
    <row r="663" ht="15.75" customHeight="1">
      <c r="G663" s="17"/>
      <c r="H663" s="17"/>
    </row>
    <row r="664" ht="15.75" customHeight="1">
      <c r="G664" s="17"/>
      <c r="H664" s="17"/>
    </row>
    <row r="665" ht="15.75" customHeight="1">
      <c r="G665" s="17"/>
      <c r="H665" s="17"/>
    </row>
    <row r="666" ht="15.75" customHeight="1">
      <c r="G666" s="17"/>
      <c r="H666" s="17"/>
    </row>
    <row r="667" ht="15.75" customHeight="1">
      <c r="G667" s="17"/>
      <c r="H667" s="17"/>
    </row>
    <row r="668" ht="15.75" customHeight="1">
      <c r="G668" s="17"/>
      <c r="H668" s="17"/>
    </row>
    <row r="669" ht="15.75" customHeight="1">
      <c r="G669" s="17"/>
      <c r="H669" s="17"/>
    </row>
    <row r="670" ht="15.75" customHeight="1">
      <c r="G670" s="17"/>
      <c r="H670" s="17"/>
    </row>
    <row r="671" ht="15.75" customHeight="1">
      <c r="G671" s="17"/>
      <c r="H671" s="17"/>
    </row>
    <row r="672" ht="15.75" customHeight="1">
      <c r="G672" s="17"/>
      <c r="H672" s="17"/>
    </row>
    <row r="673" ht="15.75" customHeight="1">
      <c r="G673" s="17"/>
      <c r="H673" s="17"/>
    </row>
    <row r="674" ht="15.75" customHeight="1">
      <c r="G674" s="17"/>
      <c r="H674" s="17"/>
    </row>
    <row r="675" ht="15.75" customHeight="1">
      <c r="G675" s="17"/>
      <c r="H675" s="17"/>
    </row>
    <row r="676" ht="15.75" customHeight="1">
      <c r="G676" s="17"/>
      <c r="H676" s="17"/>
    </row>
    <row r="677" ht="15.75" customHeight="1">
      <c r="G677" s="17"/>
      <c r="H677" s="17"/>
    </row>
    <row r="678" ht="15.75" customHeight="1">
      <c r="G678" s="17"/>
      <c r="H678" s="17"/>
    </row>
    <row r="679" ht="15.75" customHeight="1">
      <c r="G679" s="17"/>
      <c r="H679" s="17"/>
    </row>
    <row r="680" ht="15.75" customHeight="1">
      <c r="G680" s="17"/>
      <c r="H680" s="17"/>
    </row>
    <row r="681" ht="15.75" customHeight="1">
      <c r="G681" s="17"/>
      <c r="H681" s="17"/>
    </row>
    <row r="682" ht="15.75" customHeight="1">
      <c r="G682" s="17"/>
      <c r="H682" s="17"/>
    </row>
    <row r="683" ht="15.75" customHeight="1">
      <c r="G683" s="17"/>
      <c r="H683" s="17"/>
    </row>
    <row r="684" ht="15.75" customHeight="1">
      <c r="G684" s="17"/>
      <c r="H684" s="17"/>
    </row>
    <row r="685" ht="15.75" customHeight="1">
      <c r="G685" s="17"/>
      <c r="H685" s="17"/>
    </row>
    <row r="686" ht="15.75" customHeight="1">
      <c r="G686" s="17"/>
      <c r="H686" s="17"/>
    </row>
    <row r="687" ht="15.75" customHeight="1">
      <c r="G687" s="17"/>
      <c r="H687" s="17"/>
    </row>
    <row r="688" ht="15.75" customHeight="1">
      <c r="G688" s="17"/>
      <c r="H688" s="17"/>
    </row>
    <row r="689" ht="15.75" customHeight="1">
      <c r="G689" s="17"/>
      <c r="H689" s="17"/>
    </row>
    <row r="690" ht="15.75" customHeight="1">
      <c r="G690" s="17"/>
      <c r="H690" s="17"/>
    </row>
    <row r="691" ht="15.75" customHeight="1">
      <c r="G691" s="17"/>
      <c r="H691" s="17"/>
    </row>
    <row r="692" ht="15.75" customHeight="1">
      <c r="G692" s="17"/>
      <c r="H692" s="17"/>
    </row>
    <row r="693" ht="15.75" customHeight="1">
      <c r="G693" s="17"/>
      <c r="H693" s="17"/>
    </row>
    <row r="694" ht="15.75" customHeight="1">
      <c r="G694" s="17"/>
      <c r="H694" s="17"/>
    </row>
    <row r="695" ht="15.75" customHeight="1">
      <c r="G695" s="17"/>
      <c r="H695" s="17"/>
    </row>
    <row r="696" ht="15.75" customHeight="1">
      <c r="G696" s="17"/>
      <c r="H696" s="17"/>
    </row>
    <row r="697" ht="15.75" customHeight="1">
      <c r="G697" s="17"/>
      <c r="H697" s="17"/>
    </row>
    <row r="698" ht="15.75" customHeight="1">
      <c r="G698" s="17"/>
      <c r="H698" s="17"/>
    </row>
    <row r="699" ht="15.75" customHeight="1">
      <c r="G699" s="17"/>
      <c r="H699" s="17"/>
    </row>
    <row r="700" ht="15.75" customHeight="1">
      <c r="G700" s="17"/>
      <c r="H700" s="17"/>
    </row>
    <row r="701" ht="15.75" customHeight="1">
      <c r="G701" s="17"/>
      <c r="H701" s="17"/>
    </row>
    <row r="702" ht="15.75" customHeight="1">
      <c r="G702" s="17"/>
      <c r="H702" s="17"/>
    </row>
    <row r="703" ht="15.75" customHeight="1">
      <c r="G703" s="17"/>
      <c r="H703" s="17"/>
    </row>
    <row r="704" ht="15.75" customHeight="1">
      <c r="G704" s="17"/>
      <c r="H704" s="17"/>
    </row>
    <row r="705" ht="15.75" customHeight="1">
      <c r="G705" s="17"/>
      <c r="H705" s="17"/>
    </row>
    <row r="706" ht="15.75" customHeight="1">
      <c r="G706" s="17"/>
      <c r="H706" s="17"/>
    </row>
    <row r="707" ht="15.75" customHeight="1">
      <c r="G707" s="17"/>
      <c r="H707" s="17"/>
    </row>
    <row r="708" ht="15.75" customHeight="1">
      <c r="G708" s="17"/>
      <c r="H708" s="17"/>
    </row>
    <row r="709" ht="15.75" customHeight="1">
      <c r="G709" s="17"/>
      <c r="H709" s="17"/>
    </row>
    <row r="710" ht="15.75" customHeight="1">
      <c r="G710" s="17"/>
      <c r="H710" s="17"/>
    </row>
    <row r="711" ht="15.75" customHeight="1">
      <c r="G711" s="17"/>
      <c r="H711" s="17"/>
    </row>
    <row r="712" ht="15.75" customHeight="1">
      <c r="G712" s="17"/>
      <c r="H712" s="17"/>
    </row>
    <row r="713" ht="15.75" customHeight="1">
      <c r="G713" s="17"/>
      <c r="H713" s="17"/>
    </row>
    <row r="714" ht="15.75" customHeight="1">
      <c r="G714" s="17"/>
      <c r="H714" s="17"/>
    </row>
    <row r="715" ht="15.75" customHeight="1">
      <c r="G715" s="17"/>
      <c r="H715" s="17"/>
    </row>
    <row r="716" ht="15.75" customHeight="1">
      <c r="G716" s="17"/>
      <c r="H716" s="17"/>
    </row>
    <row r="717" ht="15.75" customHeight="1">
      <c r="G717" s="17"/>
      <c r="H717" s="17"/>
    </row>
    <row r="718" ht="15.75" customHeight="1">
      <c r="G718" s="17"/>
      <c r="H718" s="17"/>
    </row>
    <row r="719" ht="15.75" customHeight="1">
      <c r="G719" s="17"/>
      <c r="H719" s="17"/>
    </row>
    <row r="720" ht="15.75" customHeight="1">
      <c r="G720" s="17"/>
      <c r="H720" s="17"/>
    </row>
    <row r="721" ht="15.75" customHeight="1">
      <c r="G721" s="17"/>
      <c r="H721" s="17"/>
    </row>
    <row r="722" ht="15.75" customHeight="1">
      <c r="G722" s="17"/>
      <c r="H722" s="17"/>
    </row>
    <row r="723" ht="15.75" customHeight="1">
      <c r="G723" s="17"/>
      <c r="H723" s="17"/>
    </row>
    <row r="724" ht="15.75" customHeight="1">
      <c r="G724" s="17"/>
      <c r="H724" s="17"/>
    </row>
    <row r="725" ht="15.75" customHeight="1">
      <c r="G725" s="17"/>
      <c r="H725" s="17"/>
    </row>
    <row r="726" ht="15.75" customHeight="1">
      <c r="G726" s="17"/>
      <c r="H726" s="17"/>
    </row>
    <row r="727" ht="15.75" customHeight="1">
      <c r="G727" s="17"/>
      <c r="H727" s="17"/>
    </row>
    <row r="728" ht="15.75" customHeight="1">
      <c r="G728" s="17"/>
      <c r="H728" s="17"/>
    </row>
    <row r="729" ht="15.75" customHeight="1">
      <c r="G729" s="17"/>
      <c r="H729" s="17"/>
    </row>
    <row r="730" ht="15.75" customHeight="1">
      <c r="G730" s="17"/>
      <c r="H730" s="17"/>
    </row>
    <row r="731" ht="15.75" customHeight="1">
      <c r="G731" s="17"/>
      <c r="H731" s="17"/>
    </row>
    <row r="732" ht="15.75" customHeight="1">
      <c r="G732" s="17"/>
      <c r="H732" s="17"/>
    </row>
    <row r="733" ht="15.75" customHeight="1">
      <c r="G733" s="17"/>
      <c r="H733" s="17"/>
    </row>
    <row r="734" ht="15.75" customHeight="1">
      <c r="G734" s="17"/>
      <c r="H734" s="17"/>
    </row>
    <row r="735" ht="15.75" customHeight="1">
      <c r="G735" s="17"/>
      <c r="H735" s="17"/>
    </row>
    <row r="736" ht="15.75" customHeight="1">
      <c r="G736" s="17"/>
      <c r="H736" s="17"/>
    </row>
    <row r="737" ht="15.75" customHeight="1">
      <c r="G737" s="17"/>
      <c r="H737" s="17"/>
    </row>
    <row r="738" ht="15.75" customHeight="1">
      <c r="G738" s="17"/>
      <c r="H738" s="17"/>
    </row>
    <row r="739" ht="15.75" customHeight="1">
      <c r="G739" s="17"/>
      <c r="H739" s="17"/>
    </row>
    <row r="740" ht="15.75" customHeight="1">
      <c r="G740" s="17"/>
      <c r="H740" s="17"/>
    </row>
    <row r="741" ht="15.75" customHeight="1">
      <c r="G741" s="17"/>
      <c r="H741" s="17"/>
    </row>
    <row r="742" ht="15.75" customHeight="1">
      <c r="G742" s="17"/>
      <c r="H742" s="17"/>
    </row>
    <row r="743" ht="15.75" customHeight="1">
      <c r="G743" s="17"/>
      <c r="H743" s="17"/>
    </row>
    <row r="744" ht="15.75" customHeight="1">
      <c r="G744" s="17"/>
      <c r="H744" s="17"/>
    </row>
    <row r="745" ht="15.75" customHeight="1">
      <c r="G745" s="17"/>
      <c r="H745" s="17"/>
    </row>
    <row r="746" ht="15.75" customHeight="1">
      <c r="G746" s="17"/>
      <c r="H746" s="17"/>
    </row>
    <row r="747" ht="15.75" customHeight="1">
      <c r="G747" s="17"/>
      <c r="H747" s="17"/>
    </row>
    <row r="748" ht="15.75" customHeight="1">
      <c r="G748" s="17"/>
      <c r="H748" s="17"/>
    </row>
    <row r="749" ht="15.75" customHeight="1">
      <c r="G749" s="17"/>
      <c r="H749" s="17"/>
    </row>
    <row r="750" ht="15.75" customHeight="1">
      <c r="G750" s="17"/>
      <c r="H750" s="17"/>
    </row>
    <row r="751" ht="15.75" customHeight="1">
      <c r="G751" s="17"/>
      <c r="H751" s="17"/>
    </row>
    <row r="752" ht="15.75" customHeight="1">
      <c r="G752" s="17"/>
      <c r="H752" s="17"/>
    </row>
    <row r="753" ht="15.75" customHeight="1">
      <c r="G753" s="17"/>
      <c r="H753" s="17"/>
    </row>
    <row r="754" ht="15.75" customHeight="1">
      <c r="G754" s="17"/>
      <c r="H754" s="17"/>
    </row>
    <row r="755" ht="15.75" customHeight="1">
      <c r="G755" s="17"/>
      <c r="H755" s="17"/>
    </row>
    <row r="756" ht="15.75" customHeight="1">
      <c r="G756" s="17"/>
      <c r="H756" s="17"/>
    </row>
    <row r="757" ht="15.75" customHeight="1">
      <c r="G757" s="17"/>
      <c r="H757" s="17"/>
    </row>
    <row r="758" ht="15.75" customHeight="1">
      <c r="G758" s="17"/>
      <c r="H758" s="17"/>
    </row>
    <row r="759" ht="15.75" customHeight="1">
      <c r="G759" s="17"/>
      <c r="H759" s="17"/>
    </row>
    <row r="760" ht="15.75" customHeight="1">
      <c r="G760" s="17"/>
      <c r="H760" s="17"/>
    </row>
    <row r="761" ht="15.75" customHeight="1">
      <c r="G761" s="17"/>
      <c r="H761" s="17"/>
    </row>
    <row r="762" ht="15.75" customHeight="1">
      <c r="G762" s="17"/>
      <c r="H762" s="17"/>
    </row>
    <row r="763" ht="15.75" customHeight="1">
      <c r="G763" s="17"/>
      <c r="H763" s="17"/>
    </row>
    <row r="764" ht="15.75" customHeight="1">
      <c r="G764" s="17"/>
      <c r="H764" s="17"/>
    </row>
    <row r="765" ht="15.75" customHeight="1">
      <c r="G765" s="17"/>
      <c r="H765" s="17"/>
    </row>
    <row r="766" ht="15.75" customHeight="1">
      <c r="G766" s="17"/>
      <c r="H766" s="17"/>
    </row>
    <row r="767" ht="15.75" customHeight="1">
      <c r="G767" s="17"/>
      <c r="H767" s="17"/>
    </row>
    <row r="768" ht="15.75" customHeight="1">
      <c r="G768" s="17"/>
      <c r="H768" s="17"/>
    </row>
    <row r="769" ht="15.75" customHeight="1">
      <c r="G769" s="17"/>
      <c r="H769" s="17"/>
    </row>
    <row r="770" ht="15.75" customHeight="1">
      <c r="G770" s="17"/>
      <c r="H770" s="17"/>
    </row>
    <row r="771" ht="15.75" customHeight="1">
      <c r="G771" s="17"/>
      <c r="H771" s="17"/>
    </row>
    <row r="772" ht="15.75" customHeight="1">
      <c r="G772" s="17"/>
      <c r="H772" s="17"/>
    </row>
    <row r="773" ht="15.75" customHeight="1">
      <c r="G773" s="17"/>
      <c r="H773" s="17"/>
    </row>
    <row r="774" ht="15.75" customHeight="1">
      <c r="G774" s="17"/>
      <c r="H774" s="17"/>
    </row>
    <row r="775" ht="15.75" customHeight="1">
      <c r="G775" s="17"/>
      <c r="H775" s="17"/>
    </row>
    <row r="776" ht="15.75" customHeight="1">
      <c r="G776" s="17"/>
      <c r="H776" s="17"/>
    </row>
    <row r="777" ht="15.75" customHeight="1">
      <c r="G777" s="17"/>
      <c r="H777" s="17"/>
    </row>
    <row r="778" ht="15.75" customHeight="1">
      <c r="G778" s="17"/>
      <c r="H778" s="17"/>
    </row>
    <row r="779" ht="15.75" customHeight="1">
      <c r="G779" s="17"/>
      <c r="H779" s="17"/>
    </row>
    <row r="780" ht="15.75" customHeight="1">
      <c r="G780" s="17"/>
      <c r="H780" s="17"/>
    </row>
    <row r="781" ht="15.75" customHeight="1">
      <c r="G781" s="17"/>
      <c r="H781" s="17"/>
    </row>
    <row r="782" ht="15.75" customHeight="1">
      <c r="G782" s="17"/>
      <c r="H782" s="17"/>
    </row>
    <row r="783" ht="15.75" customHeight="1">
      <c r="G783" s="17"/>
      <c r="H783" s="17"/>
    </row>
    <row r="784" ht="15.75" customHeight="1">
      <c r="G784" s="17"/>
      <c r="H784" s="17"/>
    </row>
    <row r="785" ht="15.75" customHeight="1">
      <c r="G785" s="17"/>
      <c r="H785" s="17"/>
    </row>
    <row r="786" ht="15.75" customHeight="1">
      <c r="G786" s="17"/>
      <c r="H786" s="17"/>
    </row>
    <row r="787" ht="15.75" customHeight="1">
      <c r="G787" s="17"/>
      <c r="H787" s="17"/>
    </row>
    <row r="788" ht="15.75" customHeight="1">
      <c r="G788" s="17"/>
      <c r="H788" s="17"/>
    </row>
    <row r="789" ht="15.75" customHeight="1">
      <c r="G789" s="17"/>
      <c r="H789" s="17"/>
    </row>
    <row r="790" ht="15.75" customHeight="1">
      <c r="G790" s="17"/>
      <c r="H790" s="17"/>
    </row>
    <row r="791" ht="15.75" customHeight="1">
      <c r="G791" s="17"/>
      <c r="H791" s="17"/>
    </row>
    <row r="792" ht="15.75" customHeight="1">
      <c r="G792" s="17"/>
      <c r="H792" s="17"/>
    </row>
    <row r="793" ht="15.75" customHeight="1">
      <c r="G793" s="17"/>
      <c r="H793" s="17"/>
    </row>
    <row r="794" ht="15.75" customHeight="1">
      <c r="G794" s="17"/>
      <c r="H794" s="17"/>
    </row>
    <row r="795" ht="15.75" customHeight="1">
      <c r="G795" s="17"/>
      <c r="H795" s="17"/>
    </row>
    <row r="796" ht="15.75" customHeight="1">
      <c r="G796" s="17"/>
      <c r="H796" s="17"/>
    </row>
    <row r="797" ht="15.75" customHeight="1">
      <c r="G797" s="17"/>
      <c r="H797" s="17"/>
    </row>
    <row r="798" ht="15.75" customHeight="1">
      <c r="G798" s="17"/>
      <c r="H798" s="17"/>
    </row>
    <row r="799" ht="15.75" customHeight="1">
      <c r="G799" s="17"/>
      <c r="H799" s="17"/>
    </row>
    <row r="800" ht="15.75" customHeight="1">
      <c r="G800" s="17"/>
      <c r="H800" s="17"/>
    </row>
    <row r="801" ht="15.75" customHeight="1">
      <c r="G801" s="17"/>
      <c r="H801" s="17"/>
    </row>
    <row r="802" ht="15.75" customHeight="1">
      <c r="G802" s="17"/>
      <c r="H802" s="17"/>
    </row>
    <row r="803" ht="15.75" customHeight="1">
      <c r="G803" s="17"/>
      <c r="H803" s="17"/>
    </row>
    <row r="804" ht="15.75" customHeight="1">
      <c r="G804" s="17"/>
      <c r="H804" s="17"/>
    </row>
    <row r="805" ht="15.75" customHeight="1">
      <c r="G805" s="17"/>
      <c r="H805" s="17"/>
    </row>
    <row r="806" ht="15.75" customHeight="1">
      <c r="G806" s="17"/>
      <c r="H806" s="17"/>
    </row>
    <row r="807" ht="15.75" customHeight="1">
      <c r="G807" s="17"/>
      <c r="H807" s="17"/>
    </row>
    <row r="808" ht="15.75" customHeight="1">
      <c r="G808" s="17"/>
      <c r="H808" s="17"/>
    </row>
    <row r="809" ht="15.75" customHeight="1">
      <c r="G809" s="17"/>
      <c r="H809" s="17"/>
    </row>
    <row r="810" ht="15.75" customHeight="1">
      <c r="G810" s="17"/>
      <c r="H810" s="17"/>
    </row>
    <row r="811" ht="15.75" customHeight="1">
      <c r="G811" s="17"/>
      <c r="H811" s="17"/>
    </row>
    <row r="812" ht="15.75" customHeight="1">
      <c r="G812" s="17"/>
      <c r="H812" s="17"/>
    </row>
    <row r="813" ht="15.75" customHeight="1">
      <c r="G813" s="17"/>
      <c r="H813" s="17"/>
    </row>
    <row r="814" ht="15.75" customHeight="1">
      <c r="G814" s="17"/>
      <c r="H814" s="17"/>
    </row>
    <row r="815" ht="15.75" customHeight="1">
      <c r="G815" s="17"/>
      <c r="H815" s="17"/>
    </row>
    <row r="816" ht="15.75" customHeight="1">
      <c r="G816" s="17"/>
      <c r="H816" s="17"/>
    </row>
    <row r="817" ht="15.75" customHeight="1">
      <c r="G817" s="17"/>
      <c r="H817" s="17"/>
    </row>
    <row r="818" ht="15.75" customHeight="1">
      <c r="G818" s="17"/>
      <c r="H818" s="17"/>
    </row>
    <row r="819" ht="15.75" customHeight="1">
      <c r="G819" s="17"/>
      <c r="H819" s="17"/>
    </row>
    <row r="820" ht="15.75" customHeight="1">
      <c r="G820" s="17"/>
      <c r="H820" s="17"/>
    </row>
    <row r="821" ht="15.75" customHeight="1">
      <c r="G821" s="17"/>
      <c r="H821" s="17"/>
    </row>
    <row r="822" ht="15.75" customHeight="1">
      <c r="G822" s="17"/>
      <c r="H822" s="17"/>
    </row>
    <row r="823" ht="15.75" customHeight="1">
      <c r="G823" s="17"/>
      <c r="H823" s="17"/>
    </row>
    <row r="824" ht="15.75" customHeight="1">
      <c r="G824" s="17"/>
      <c r="H824" s="17"/>
    </row>
    <row r="825" ht="15.75" customHeight="1">
      <c r="G825" s="17"/>
      <c r="H825" s="17"/>
    </row>
    <row r="826" ht="15.75" customHeight="1">
      <c r="G826" s="17"/>
      <c r="H826" s="17"/>
    </row>
    <row r="827" ht="15.75" customHeight="1">
      <c r="G827" s="17"/>
      <c r="H827" s="17"/>
    </row>
    <row r="828" ht="15.75" customHeight="1">
      <c r="G828" s="17"/>
      <c r="H828" s="17"/>
    </row>
    <row r="829" ht="15.75" customHeight="1">
      <c r="G829" s="17"/>
      <c r="H829" s="17"/>
    </row>
    <row r="830" ht="15.75" customHeight="1">
      <c r="G830" s="17"/>
      <c r="H830" s="17"/>
    </row>
    <row r="831" ht="15.75" customHeight="1">
      <c r="G831" s="17"/>
      <c r="H831" s="17"/>
    </row>
    <row r="832" ht="15.75" customHeight="1">
      <c r="G832" s="17"/>
      <c r="H832" s="17"/>
    </row>
    <row r="833" ht="15.75" customHeight="1">
      <c r="G833" s="17"/>
      <c r="H833" s="17"/>
    </row>
    <row r="834" ht="15.75" customHeight="1">
      <c r="G834" s="17"/>
      <c r="H834" s="17"/>
    </row>
    <row r="835" ht="15.75" customHeight="1">
      <c r="G835" s="17"/>
      <c r="H835" s="17"/>
    </row>
    <row r="836" ht="15.75" customHeight="1">
      <c r="G836" s="17"/>
      <c r="H836" s="17"/>
    </row>
    <row r="837" ht="15.75" customHeight="1">
      <c r="G837" s="17"/>
      <c r="H837" s="17"/>
    </row>
    <row r="838" ht="15.75" customHeight="1">
      <c r="G838" s="17"/>
      <c r="H838" s="17"/>
    </row>
    <row r="839" ht="15.75" customHeight="1">
      <c r="G839" s="17"/>
      <c r="H839" s="17"/>
    </row>
    <row r="840" ht="15.75" customHeight="1">
      <c r="G840" s="17"/>
      <c r="H840" s="17"/>
    </row>
    <row r="841" ht="15.75" customHeight="1">
      <c r="G841" s="17"/>
      <c r="H841" s="17"/>
    </row>
    <row r="842" ht="15.75" customHeight="1">
      <c r="G842" s="17"/>
      <c r="H842" s="17"/>
    </row>
    <row r="843" ht="15.75" customHeight="1">
      <c r="G843" s="17"/>
      <c r="H843" s="17"/>
    </row>
    <row r="844" ht="15.75" customHeight="1">
      <c r="G844" s="17"/>
      <c r="H844" s="17"/>
    </row>
    <row r="845" ht="15.75" customHeight="1">
      <c r="G845" s="17"/>
      <c r="H845" s="17"/>
    </row>
    <row r="846" ht="15.75" customHeight="1">
      <c r="G846" s="17"/>
      <c r="H846" s="17"/>
    </row>
    <row r="847" ht="15.75" customHeight="1">
      <c r="G847" s="17"/>
      <c r="H847" s="17"/>
    </row>
    <row r="848" ht="15.75" customHeight="1">
      <c r="G848" s="17"/>
      <c r="H848" s="17"/>
    </row>
    <row r="849" ht="15.75" customHeight="1">
      <c r="G849" s="17"/>
      <c r="H849" s="17"/>
    </row>
    <row r="850" ht="15.75" customHeight="1">
      <c r="G850" s="17"/>
      <c r="H850" s="17"/>
    </row>
    <row r="851" ht="15.75" customHeight="1">
      <c r="G851" s="17"/>
      <c r="H851" s="17"/>
    </row>
    <row r="852" ht="15.75" customHeight="1">
      <c r="G852" s="17"/>
      <c r="H852" s="17"/>
    </row>
    <row r="853" ht="15.75" customHeight="1">
      <c r="G853" s="17"/>
      <c r="H853" s="17"/>
    </row>
    <row r="854" ht="15.75" customHeight="1">
      <c r="G854" s="17"/>
      <c r="H854" s="17"/>
    </row>
    <row r="855" ht="15.75" customHeight="1">
      <c r="G855" s="17"/>
      <c r="H855" s="17"/>
    </row>
    <row r="856" ht="15.75" customHeight="1">
      <c r="G856" s="17"/>
      <c r="H856" s="17"/>
    </row>
    <row r="857" ht="15.75" customHeight="1">
      <c r="G857" s="17"/>
      <c r="H857" s="17"/>
    </row>
    <row r="858" ht="15.75" customHeight="1">
      <c r="G858" s="17"/>
      <c r="H858" s="17"/>
    </row>
    <row r="859" ht="15.75" customHeight="1">
      <c r="G859" s="17"/>
      <c r="H859" s="17"/>
    </row>
    <row r="860" ht="15.75" customHeight="1">
      <c r="G860" s="17"/>
      <c r="H860" s="17"/>
    </row>
    <row r="861" ht="15.75" customHeight="1">
      <c r="G861" s="17"/>
      <c r="H861" s="17"/>
    </row>
    <row r="862" ht="15.75" customHeight="1">
      <c r="G862" s="17"/>
      <c r="H862" s="17"/>
    </row>
    <row r="863" ht="15.75" customHeight="1">
      <c r="G863" s="17"/>
      <c r="H863" s="17"/>
    </row>
    <row r="864" ht="15.75" customHeight="1">
      <c r="G864" s="17"/>
      <c r="H864" s="17"/>
    </row>
    <row r="865" ht="15.75" customHeight="1">
      <c r="G865" s="17"/>
      <c r="H865" s="17"/>
    </row>
    <row r="866" ht="15.75" customHeight="1">
      <c r="G866" s="17"/>
      <c r="H866" s="17"/>
    </row>
    <row r="867" ht="15.75" customHeight="1">
      <c r="G867" s="17"/>
      <c r="H867" s="17"/>
    </row>
    <row r="868" ht="15.75" customHeight="1">
      <c r="G868" s="17"/>
      <c r="H868" s="17"/>
    </row>
    <row r="869" ht="15.75" customHeight="1">
      <c r="G869" s="17"/>
      <c r="H869" s="17"/>
    </row>
    <row r="870" ht="15.75" customHeight="1">
      <c r="G870" s="17"/>
      <c r="H870" s="17"/>
    </row>
    <row r="871" ht="15.75" customHeight="1">
      <c r="G871" s="17"/>
      <c r="H871" s="17"/>
    </row>
    <row r="872" ht="15.75" customHeight="1">
      <c r="G872" s="17"/>
      <c r="H872" s="17"/>
    </row>
    <row r="873" ht="15.75" customHeight="1">
      <c r="G873" s="17"/>
      <c r="H873" s="17"/>
    </row>
    <row r="874" ht="15.75" customHeight="1">
      <c r="G874" s="17"/>
      <c r="H874" s="17"/>
    </row>
    <row r="875" ht="15.75" customHeight="1">
      <c r="G875" s="17"/>
      <c r="H875" s="17"/>
    </row>
    <row r="876" ht="15.75" customHeight="1">
      <c r="G876" s="17"/>
      <c r="H876" s="17"/>
    </row>
    <row r="877" ht="15.75" customHeight="1">
      <c r="G877" s="17"/>
      <c r="H877" s="17"/>
    </row>
    <row r="878" ht="15.75" customHeight="1">
      <c r="G878" s="17"/>
      <c r="H878" s="17"/>
    </row>
    <row r="879" ht="15.75" customHeight="1">
      <c r="G879" s="17"/>
      <c r="H879" s="17"/>
    </row>
    <row r="880" ht="15.75" customHeight="1">
      <c r="G880" s="17"/>
      <c r="H880" s="17"/>
    </row>
    <row r="881" ht="15.75" customHeight="1">
      <c r="G881" s="17"/>
      <c r="H881" s="17"/>
    </row>
    <row r="882" ht="15.75" customHeight="1">
      <c r="G882" s="17"/>
      <c r="H882" s="17"/>
    </row>
    <row r="883" ht="15.75" customHeight="1">
      <c r="G883" s="17"/>
      <c r="H883" s="17"/>
    </row>
    <row r="884" ht="15.75" customHeight="1">
      <c r="G884" s="17"/>
      <c r="H884" s="17"/>
    </row>
    <row r="885" ht="15.75" customHeight="1">
      <c r="G885" s="17"/>
      <c r="H885" s="17"/>
    </row>
    <row r="886" ht="15.75" customHeight="1">
      <c r="G886" s="17"/>
      <c r="H886" s="17"/>
    </row>
    <row r="887" ht="15.75" customHeight="1">
      <c r="G887" s="17"/>
      <c r="H887" s="17"/>
    </row>
    <row r="888" ht="15.75" customHeight="1">
      <c r="G888" s="17"/>
      <c r="H888" s="17"/>
    </row>
    <row r="889" ht="15.75" customHeight="1">
      <c r="G889" s="17"/>
      <c r="H889" s="17"/>
    </row>
    <row r="890" ht="15.75" customHeight="1">
      <c r="G890" s="17"/>
      <c r="H890" s="17"/>
    </row>
    <row r="891" ht="15.75" customHeight="1">
      <c r="G891" s="17"/>
      <c r="H891" s="17"/>
    </row>
    <row r="892" ht="15.75" customHeight="1">
      <c r="G892" s="17"/>
      <c r="H892" s="17"/>
    </row>
    <row r="893" ht="15.75" customHeight="1">
      <c r="G893" s="17"/>
      <c r="H893" s="17"/>
    </row>
    <row r="894" ht="15.75" customHeight="1">
      <c r="G894" s="17"/>
      <c r="H894" s="17"/>
    </row>
    <row r="895" ht="15.75" customHeight="1">
      <c r="G895" s="17"/>
      <c r="H895" s="17"/>
    </row>
    <row r="896" ht="15.75" customHeight="1">
      <c r="G896" s="17"/>
      <c r="H896" s="17"/>
    </row>
    <row r="897" ht="15.75" customHeight="1">
      <c r="G897" s="17"/>
      <c r="H897" s="17"/>
    </row>
    <row r="898" ht="15.75" customHeight="1">
      <c r="G898" s="17"/>
      <c r="H898" s="17"/>
    </row>
    <row r="899" ht="15.75" customHeight="1">
      <c r="G899" s="17"/>
      <c r="H899" s="17"/>
    </row>
    <row r="900" ht="15.75" customHeight="1">
      <c r="G900" s="17"/>
      <c r="H900" s="17"/>
    </row>
    <row r="901" ht="15.75" customHeight="1">
      <c r="G901" s="17"/>
      <c r="H901" s="17"/>
    </row>
    <row r="902" ht="15.75" customHeight="1">
      <c r="G902" s="17"/>
      <c r="H902" s="17"/>
    </row>
    <row r="903" ht="15.75" customHeight="1">
      <c r="G903" s="17"/>
      <c r="H903" s="17"/>
    </row>
    <row r="904" ht="15.75" customHeight="1">
      <c r="G904" s="17"/>
      <c r="H904" s="17"/>
    </row>
    <row r="905" ht="15.75" customHeight="1">
      <c r="G905" s="17"/>
      <c r="H905" s="17"/>
    </row>
    <row r="906" ht="15.75" customHeight="1">
      <c r="G906" s="17"/>
      <c r="H906" s="17"/>
    </row>
    <row r="907" ht="15.75" customHeight="1">
      <c r="G907" s="17"/>
      <c r="H907" s="17"/>
    </row>
    <row r="908" ht="15.75" customHeight="1">
      <c r="G908" s="17"/>
      <c r="H908" s="17"/>
    </row>
    <row r="909" ht="15.75" customHeight="1">
      <c r="G909" s="17"/>
      <c r="H909" s="17"/>
    </row>
    <row r="910" ht="15.75" customHeight="1">
      <c r="G910" s="17"/>
      <c r="H910" s="17"/>
    </row>
    <row r="911" ht="15.75" customHeight="1">
      <c r="G911" s="17"/>
      <c r="H911" s="17"/>
    </row>
    <row r="912" ht="15.75" customHeight="1">
      <c r="G912" s="17"/>
      <c r="H912" s="17"/>
    </row>
    <row r="913" ht="15.75" customHeight="1">
      <c r="G913" s="17"/>
      <c r="H913" s="17"/>
    </row>
    <row r="914" ht="15.75" customHeight="1">
      <c r="G914" s="17"/>
      <c r="H914" s="17"/>
    </row>
    <row r="915" ht="15.75" customHeight="1">
      <c r="G915" s="17"/>
      <c r="H915" s="17"/>
    </row>
    <row r="916" ht="15.75" customHeight="1">
      <c r="G916" s="17"/>
      <c r="H916" s="17"/>
    </row>
    <row r="917" ht="15.75" customHeight="1">
      <c r="G917" s="17"/>
      <c r="H917" s="17"/>
    </row>
    <row r="918" ht="15.75" customHeight="1">
      <c r="G918" s="17"/>
      <c r="H918" s="17"/>
    </row>
    <row r="919" ht="15.75" customHeight="1">
      <c r="G919" s="17"/>
      <c r="H919" s="17"/>
    </row>
    <row r="920" ht="15.75" customHeight="1">
      <c r="G920" s="17"/>
      <c r="H920" s="17"/>
    </row>
    <row r="921" ht="15.75" customHeight="1">
      <c r="G921" s="17"/>
      <c r="H921" s="17"/>
    </row>
    <row r="922" ht="15.75" customHeight="1">
      <c r="G922" s="17"/>
      <c r="H922" s="17"/>
    </row>
    <row r="923" ht="15.75" customHeight="1">
      <c r="G923" s="17"/>
      <c r="H923" s="17"/>
    </row>
    <row r="924" ht="15.75" customHeight="1">
      <c r="G924" s="17"/>
      <c r="H924" s="17"/>
    </row>
    <row r="925" ht="15.75" customHeight="1">
      <c r="G925" s="17"/>
      <c r="H925" s="17"/>
    </row>
    <row r="926" ht="15.75" customHeight="1">
      <c r="G926" s="17"/>
      <c r="H926" s="17"/>
    </row>
    <row r="927" ht="15.75" customHeight="1">
      <c r="G927" s="17"/>
      <c r="H927" s="17"/>
    </row>
    <row r="928" ht="15.75" customHeight="1">
      <c r="G928" s="17"/>
      <c r="H928" s="17"/>
    </row>
    <row r="929" ht="15.75" customHeight="1">
      <c r="G929" s="17"/>
      <c r="H929" s="17"/>
    </row>
    <row r="930" ht="15.75" customHeight="1">
      <c r="G930" s="17"/>
      <c r="H930" s="17"/>
    </row>
    <row r="931" ht="15.75" customHeight="1">
      <c r="G931" s="17"/>
      <c r="H931" s="17"/>
    </row>
    <row r="932" ht="15.75" customHeight="1">
      <c r="G932" s="17"/>
      <c r="H932" s="17"/>
    </row>
    <row r="933" ht="15.75" customHeight="1">
      <c r="G933" s="17"/>
      <c r="H933" s="17"/>
    </row>
    <row r="934" ht="15.75" customHeight="1">
      <c r="G934" s="17"/>
      <c r="H934" s="17"/>
    </row>
    <row r="935" ht="15.75" customHeight="1">
      <c r="G935" s="17"/>
      <c r="H935" s="17"/>
    </row>
    <row r="936" ht="15.75" customHeight="1">
      <c r="G936" s="17"/>
      <c r="H936" s="17"/>
    </row>
    <row r="937" ht="15.75" customHeight="1">
      <c r="G937" s="17"/>
      <c r="H937" s="17"/>
    </row>
    <row r="938" ht="15.75" customHeight="1">
      <c r="G938" s="17"/>
      <c r="H938" s="17"/>
    </row>
    <row r="939" ht="15.75" customHeight="1">
      <c r="G939" s="17"/>
      <c r="H939" s="17"/>
    </row>
    <row r="940" ht="15.75" customHeight="1">
      <c r="G940" s="17"/>
      <c r="H940" s="17"/>
    </row>
    <row r="941" ht="15.75" customHeight="1">
      <c r="G941" s="17"/>
      <c r="H941" s="17"/>
    </row>
    <row r="942" ht="15.75" customHeight="1">
      <c r="G942" s="17"/>
      <c r="H942" s="17"/>
    </row>
    <row r="943" ht="15.75" customHeight="1">
      <c r="G943" s="17"/>
      <c r="H943" s="17"/>
    </row>
    <row r="944" ht="15.75" customHeight="1">
      <c r="G944" s="17"/>
      <c r="H944" s="17"/>
    </row>
    <row r="945" ht="15.75" customHeight="1">
      <c r="G945" s="17"/>
      <c r="H945" s="17"/>
    </row>
    <row r="946" ht="15.75" customHeight="1">
      <c r="G946" s="17"/>
      <c r="H946" s="17"/>
    </row>
    <row r="947" ht="15.75" customHeight="1">
      <c r="G947" s="17"/>
      <c r="H947" s="17"/>
    </row>
    <row r="948" ht="15.75" customHeight="1">
      <c r="G948" s="17"/>
      <c r="H948" s="17"/>
    </row>
    <row r="949" ht="15.75" customHeight="1">
      <c r="G949" s="17"/>
      <c r="H949" s="17"/>
    </row>
    <row r="950" ht="15.75" customHeight="1">
      <c r="G950" s="17"/>
      <c r="H950" s="17"/>
    </row>
    <row r="951" ht="15.75" customHeight="1">
      <c r="G951" s="17"/>
      <c r="H951" s="17"/>
    </row>
    <row r="952" ht="15.75" customHeight="1">
      <c r="G952" s="17"/>
      <c r="H952" s="17"/>
    </row>
    <row r="953" ht="15.75" customHeight="1">
      <c r="G953" s="17"/>
      <c r="H953" s="17"/>
    </row>
    <row r="954" ht="15.75" customHeight="1">
      <c r="G954" s="17"/>
      <c r="H954" s="17"/>
    </row>
    <row r="955" ht="15.75" customHeight="1">
      <c r="G955" s="17"/>
      <c r="H955" s="17"/>
    </row>
    <row r="956" ht="15.75" customHeight="1">
      <c r="G956" s="17"/>
      <c r="H956" s="17"/>
    </row>
    <row r="957" ht="15.75" customHeight="1">
      <c r="G957" s="17"/>
      <c r="H957" s="17"/>
    </row>
    <row r="958" ht="15.75" customHeight="1">
      <c r="G958" s="17"/>
      <c r="H958" s="17"/>
    </row>
    <row r="959" ht="15.75" customHeight="1">
      <c r="G959" s="17"/>
      <c r="H959" s="17"/>
    </row>
    <row r="960" ht="15.75" customHeight="1">
      <c r="G960" s="17"/>
      <c r="H960" s="17"/>
    </row>
    <row r="961" ht="15.75" customHeight="1">
      <c r="G961" s="17"/>
      <c r="H961" s="17"/>
    </row>
    <row r="962" ht="15.75" customHeight="1">
      <c r="G962" s="17"/>
      <c r="H962" s="17"/>
    </row>
    <row r="963" ht="15.75" customHeight="1">
      <c r="G963" s="17"/>
      <c r="H963" s="17"/>
    </row>
    <row r="964" ht="15.75" customHeight="1">
      <c r="G964" s="17"/>
      <c r="H964" s="17"/>
    </row>
    <row r="965" ht="15.75" customHeight="1">
      <c r="G965" s="17"/>
      <c r="H965" s="17"/>
    </row>
    <row r="966" ht="15.75" customHeight="1">
      <c r="G966" s="17"/>
      <c r="H966" s="17"/>
    </row>
    <row r="967" ht="15.75" customHeight="1">
      <c r="G967" s="17"/>
      <c r="H967" s="17"/>
    </row>
    <row r="968" ht="15.75" customHeight="1">
      <c r="G968" s="17"/>
      <c r="H968" s="17"/>
    </row>
    <row r="969" ht="15.75" customHeight="1">
      <c r="G969" s="17"/>
      <c r="H969" s="17"/>
    </row>
    <row r="970" ht="15.75" customHeight="1">
      <c r="G970" s="17"/>
      <c r="H970" s="17"/>
    </row>
    <row r="971" ht="15.75" customHeight="1">
      <c r="G971" s="17"/>
      <c r="H971" s="17"/>
    </row>
    <row r="972" ht="15.75" customHeight="1">
      <c r="G972" s="17"/>
      <c r="H972" s="17"/>
    </row>
    <row r="973" ht="15.75" customHeight="1">
      <c r="G973" s="17"/>
      <c r="H973" s="17"/>
    </row>
    <row r="974" ht="15.75" customHeight="1">
      <c r="G974" s="17"/>
      <c r="H974" s="17"/>
    </row>
    <row r="975" ht="15.75" customHeight="1">
      <c r="G975" s="17"/>
      <c r="H975" s="17"/>
    </row>
    <row r="976" ht="15.75" customHeight="1">
      <c r="G976" s="17"/>
      <c r="H976" s="17"/>
    </row>
    <row r="977" ht="15.75" customHeight="1">
      <c r="G977" s="17"/>
      <c r="H977" s="17"/>
    </row>
    <row r="978" ht="15.75" customHeight="1">
      <c r="G978" s="17"/>
      <c r="H978" s="17"/>
    </row>
    <row r="979" ht="15.75" customHeight="1">
      <c r="G979" s="17"/>
      <c r="H979" s="17"/>
    </row>
    <row r="980" ht="15.75" customHeight="1">
      <c r="G980" s="17"/>
      <c r="H980" s="17"/>
    </row>
    <row r="981" ht="15.75" customHeight="1">
      <c r="G981" s="17"/>
      <c r="H981" s="17"/>
    </row>
    <row r="982" ht="15.75" customHeight="1">
      <c r="G982" s="17"/>
      <c r="H982" s="17"/>
    </row>
    <row r="983" ht="15.75" customHeight="1">
      <c r="G983" s="17"/>
      <c r="H983" s="17"/>
    </row>
    <row r="984" ht="15.75" customHeight="1">
      <c r="G984" s="17"/>
      <c r="H984" s="17"/>
    </row>
    <row r="985" ht="15.75" customHeight="1">
      <c r="G985" s="17"/>
      <c r="H985" s="17"/>
    </row>
    <row r="986" ht="15.75" customHeight="1">
      <c r="G986" s="17"/>
      <c r="H986" s="17"/>
    </row>
    <row r="987" ht="15.75" customHeight="1">
      <c r="G987" s="17"/>
      <c r="H987" s="17"/>
    </row>
    <row r="988" ht="15.75" customHeight="1">
      <c r="G988" s="17"/>
      <c r="H988" s="17"/>
    </row>
    <row r="989" ht="15.75" customHeight="1">
      <c r="G989" s="17"/>
      <c r="H989" s="17"/>
    </row>
    <row r="990" ht="15.75" customHeight="1">
      <c r="G990" s="17"/>
      <c r="H990" s="17"/>
    </row>
    <row r="991" ht="15.75" customHeight="1">
      <c r="G991" s="17"/>
      <c r="H991" s="17"/>
    </row>
    <row r="992" ht="15.75" customHeight="1">
      <c r="G992" s="17"/>
      <c r="H992" s="17"/>
    </row>
    <row r="993" ht="15.75" customHeight="1">
      <c r="G993" s="17"/>
      <c r="H993" s="17"/>
    </row>
    <row r="994" ht="15.75" customHeight="1">
      <c r="G994" s="17"/>
      <c r="H994" s="17"/>
    </row>
    <row r="995" ht="15.75" customHeight="1">
      <c r="G995" s="17"/>
      <c r="H995" s="17"/>
    </row>
    <row r="996" ht="15.75" customHeight="1">
      <c r="G996" s="17"/>
      <c r="H996" s="17"/>
    </row>
    <row r="997" ht="15.75" customHeight="1">
      <c r="G997" s="17"/>
      <c r="H997" s="17"/>
    </row>
    <row r="998" ht="15.75" customHeight="1">
      <c r="G998" s="17"/>
      <c r="H998" s="17"/>
    </row>
    <row r="999" ht="15.75" customHeight="1">
      <c r="G999" s="17"/>
      <c r="H999" s="17"/>
    </row>
    <row r="1000" ht="15.75" customHeight="1">
      <c r="G1000" s="17"/>
      <c r="H1000" s="17"/>
    </row>
  </sheetData>
  <autoFilter ref="$A$2:$Z$41"/>
  <mergeCells count="1">
    <mergeCell ref="G1:Q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9.13"/>
    <col customWidth="1" min="3" max="3" width="26.38"/>
    <col customWidth="1" min="4" max="4" width="15.38"/>
    <col customWidth="1" min="5" max="5" width="14.0"/>
    <col customWidth="1" min="6" max="6" width="12.63"/>
    <col customWidth="1" min="7" max="7" width="18.0"/>
    <col customWidth="1" min="8" max="8" width="16.38"/>
    <col customWidth="1" min="9" max="9" width="16.13"/>
    <col customWidth="1" min="10" max="10" width="23.13"/>
    <col customWidth="1" min="11" max="11" width="18.63"/>
    <col customWidth="1" min="12" max="12" width="32.88"/>
    <col customWidth="1" min="13" max="13" width="14.38"/>
    <col customWidth="1" min="14" max="14" width="25.5"/>
    <col customWidth="1" min="15" max="15" width="14.0"/>
    <col customWidth="1" min="16" max="16" width="21.13"/>
    <col customWidth="1" min="17" max="17" width="15.88"/>
    <col customWidth="1" min="18" max="26" width="8.88"/>
  </cols>
  <sheetData>
    <row r="1">
      <c r="A1" s="262" t="s">
        <v>359</v>
      </c>
      <c r="B1" s="75" t="s">
        <v>706</v>
      </c>
      <c r="C1" s="147" t="s">
        <v>794</v>
      </c>
      <c r="D1" s="147"/>
      <c r="E1" s="147"/>
      <c r="F1" s="147"/>
      <c r="G1" s="147"/>
    </row>
    <row r="2">
      <c r="A2" s="20" t="s">
        <v>2</v>
      </c>
      <c r="B2" s="22" t="s">
        <v>3</v>
      </c>
      <c r="C2" s="22" t="s">
        <v>4</v>
      </c>
      <c r="D2" s="22" t="s">
        <v>5</v>
      </c>
      <c r="E2" s="22" t="s">
        <v>6</v>
      </c>
      <c r="F2" s="22" t="s">
        <v>212</v>
      </c>
      <c r="G2" s="78" t="s">
        <v>26</v>
      </c>
      <c r="H2" s="78" t="s">
        <v>27</v>
      </c>
      <c r="I2" s="22" t="s">
        <v>28</v>
      </c>
      <c r="J2" s="22" t="s">
        <v>213</v>
      </c>
      <c r="K2" s="22" t="s">
        <v>15</v>
      </c>
      <c r="L2" s="22" t="s">
        <v>16</v>
      </c>
      <c r="M2" s="22" t="s">
        <v>29</v>
      </c>
      <c r="N2" s="22" t="s">
        <v>30</v>
      </c>
      <c r="O2" s="22" t="s">
        <v>20</v>
      </c>
      <c r="P2" s="30" t="s">
        <v>21</v>
      </c>
      <c r="Q2" s="30" t="s">
        <v>34</v>
      </c>
    </row>
    <row r="3">
      <c r="A3" s="44">
        <v>1.0</v>
      </c>
      <c r="B3" s="44" t="s">
        <v>172</v>
      </c>
      <c r="C3" s="44" t="s">
        <v>368</v>
      </c>
      <c r="D3" s="44">
        <v>3.0</v>
      </c>
      <c r="E3" s="44">
        <v>1.0</v>
      </c>
      <c r="F3" s="44">
        <f t="shared" ref="F3:F27" si="1">D3-E3</f>
        <v>2</v>
      </c>
      <c r="G3" s="82">
        <v>825000.0</v>
      </c>
      <c r="H3" s="82">
        <f t="shared" ref="H3:H11" si="2">D3*G3</f>
        <v>2475000</v>
      </c>
      <c r="I3" s="257" t="s">
        <v>221</v>
      </c>
      <c r="J3" s="44" t="s">
        <v>729</v>
      </c>
      <c r="K3" s="44" t="s">
        <v>329</v>
      </c>
      <c r="L3" s="44" t="s">
        <v>326</v>
      </c>
      <c r="M3" s="44" t="s">
        <v>730</v>
      </c>
      <c r="N3" s="34" t="s">
        <v>731</v>
      </c>
      <c r="O3" s="330" t="s">
        <v>732</v>
      </c>
      <c r="P3" s="44" t="s">
        <v>174</v>
      </c>
      <c r="Q3" s="44" t="s">
        <v>733</v>
      </c>
      <c r="R3" s="19"/>
      <c r="S3" s="19"/>
      <c r="T3" s="19"/>
      <c r="U3" s="19"/>
      <c r="V3" s="19"/>
      <c r="W3" s="19"/>
      <c r="X3" s="19"/>
      <c r="Y3" s="19"/>
      <c r="Z3" s="19"/>
    </row>
    <row r="4">
      <c r="A4" s="59">
        <v>1.0</v>
      </c>
      <c r="B4" s="59" t="s">
        <v>172</v>
      </c>
      <c r="C4" s="59" t="s">
        <v>368</v>
      </c>
      <c r="D4" s="59">
        <v>1.0</v>
      </c>
      <c r="E4" s="59">
        <v>0.0</v>
      </c>
      <c r="F4" s="59">
        <f t="shared" si="1"/>
        <v>1</v>
      </c>
      <c r="G4" s="89">
        <v>825000.0</v>
      </c>
      <c r="H4" s="89">
        <f t="shared" si="2"/>
        <v>825000</v>
      </c>
      <c r="I4" s="258" t="s">
        <v>89</v>
      </c>
      <c r="J4" s="59" t="s">
        <v>729</v>
      </c>
      <c r="K4" s="59" t="s">
        <v>329</v>
      </c>
      <c r="L4" s="59" t="s">
        <v>326</v>
      </c>
      <c r="M4" s="59" t="s">
        <v>730</v>
      </c>
      <c r="N4" s="69" t="s">
        <v>731</v>
      </c>
      <c r="O4" s="337" t="s">
        <v>732</v>
      </c>
      <c r="P4" s="59" t="s">
        <v>174</v>
      </c>
      <c r="Q4" s="59" t="s">
        <v>733</v>
      </c>
      <c r="R4" s="19"/>
      <c r="S4" s="19"/>
      <c r="T4" s="19"/>
      <c r="U4" s="19"/>
      <c r="V4" s="19"/>
      <c r="W4" s="19"/>
      <c r="X4" s="19"/>
      <c r="Y4" s="19"/>
      <c r="Z4" s="19"/>
    </row>
    <row r="5">
      <c r="A5" s="44">
        <v>1.0</v>
      </c>
      <c r="B5" s="44" t="s">
        <v>172</v>
      </c>
      <c r="C5" s="44" t="s">
        <v>368</v>
      </c>
      <c r="D5" s="44">
        <v>3.0</v>
      </c>
      <c r="E5" s="44">
        <v>0.0</v>
      </c>
      <c r="F5" s="44">
        <f t="shared" si="1"/>
        <v>3</v>
      </c>
      <c r="G5" s="82">
        <v>825000.0</v>
      </c>
      <c r="H5" s="82">
        <f t="shared" si="2"/>
        <v>2475000</v>
      </c>
      <c r="I5" s="257" t="s">
        <v>179</v>
      </c>
      <c r="J5" s="44" t="s">
        <v>729</v>
      </c>
      <c r="K5" s="44" t="s">
        <v>329</v>
      </c>
      <c r="L5" s="44" t="s">
        <v>326</v>
      </c>
      <c r="M5" s="44" t="s">
        <v>730</v>
      </c>
      <c r="N5" s="34" t="s">
        <v>731</v>
      </c>
      <c r="O5" s="330" t="s">
        <v>732</v>
      </c>
      <c r="P5" s="44" t="s">
        <v>174</v>
      </c>
      <c r="Q5" s="44" t="s">
        <v>733</v>
      </c>
      <c r="R5" s="19"/>
      <c r="S5" s="19"/>
      <c r="T5" s="19"/>
      <c r="U5" s="19"/>
      <c r="V5" s="19"/>
      <c r="W5" s="19"/>
      <c r="X5" s="19"/>
      <c r="Y5" s="19"/>
      <c r="Z5" s="19"/>
    </row>
    <row r="6">
      <c r="A6" s="59">
        <v>1.0</v>
      </c>
      <c r="B6" s="59" t="s">
        <v>172</v>
      </c>
      <c r="C6" s="59" t="s">
        <v>368</v>
      </c>
      <c r="D6" s="59">
        <v>1.0</v>
      </c>
      <c r="E6" s="59">
        <v>0.0</v>
      </c>
      <c r="F6" s="59">
        <f t="shared" si="1"/>
        <v>1</v>
      </c>
      <c r="G6" s="89">
        <v>825000.0</v>
      </c>
      <c r="H6" s="89">
        <f t="shared" si="2"/>
        <v>825000</v>
      </c>
      <c r="I6" s="258" t="s">
        <v>167</v>
      </c>
      <c r="J6" s="59" t="s">
        <v>729</v>
      </c>
      <c r="K6" s="59" t="s">
        <v>329</v>
      </c>
      <c r="L6" s="59" t="s">
        <v>326</v>
      </c>
      <c r="M6" s="59" t="s">
        <v>730</v>
      </c>
      <c r="N6" s="69" t="s">
        <v>731</v>
      </c>
      <c r="O6" s="337" t="s">
        <v>732</v>
      </c>
      <c r="P6" s="59" t="s">
        <v>174</v>
      </c>
      <c r="Q6" s="59" t="s">
        <v>733</v>
      </c>
      <c r="R6" s="19"/>
      <c r="S6" s="19"/>
      <c r="T6" s="19"/>
      <c r="U6" s="19"/>
      <c r="V6" s="19"/>
      <c r="W6" s="19"/>
      <c r="X6" s="19"/>
      <c r="Y6" s="19"/>
      <c r="Z6" s="19"/>
    </row>
    <row r="7">
      <c r="A7" s="44">
        <v>1.0</v>
      </c>
      <c r="B7" s="44" t="s">
        <v>172</v>
      </c>
      <c r="C7" s="44" t="s">
        <v>368</v>
      </c>
      <c r="D7" s="44">
        <v>1.0</v>
      </c>
      <c r="E7" s="44">
        <v>0.0</v>
      </c>
      <c r="F7" s="44">
        <f t="shared" si="1"/>
        <v>1</v>
      </c>
      <c r="G7" s="82">
        <v>825000.0</v>
      </c>
      <c r="H7" s="82">
        <f t="shared" si="2"/>
        <v>825000</v>
      </c>
      <c r="I7" s="257" t="s">
        <v>735</v>
      </c>
      <c r="J7" s="44" t="s">
        <v>729</v>
      </c>
      <c r="K7" s="44" t="s">
        <v>329</v>
      </c>
      <c r="L7" s="44" t="s">
        <v>326</v>
      </c>
      <c r="M7" s="44" t="s">
        <v>730</v>
      </c>
      <c r="N7" s="34" t="s">
        <v>731</v>
      </c>
      <c r="O7" s="330" t="s">
        <v>732</v>
      </c>
      <c r="P7" s="44" t="s">
        <v>174</v>
      </c>
      <c r="Q7" s="44" t="s">
        <v>733</v>
      </c>
      <c r="R7" s="19"/>
      <c r="S7" s="19"/>
      <c r="T7" s="19"/>
      <c r="U7" s="19"/>
      <c r="V7" s="19"/>
      <c r="W7" s="19"/>
      <c r="X7" s="19"/>
      <c r="Y7" s="19"/>
      <c r="Z7" s="19"/>
    </row>
    <row r="8">
      <c r="A8" s="59">
        <v>1.0</v>
      </c>
      <c r="B8" s="59" t="s">
        <v>172</v>
      </c>
      <c r="C8" s="59" t="s">
        <v>368</v>
      </c>
      <c r="D8" s="59">
        <v>1.0</v>
      </c>
      <c r="E8" s="59">
        <v>0.0</v>
      </c>
      <c r="F8" s="59">
        <f t="shared" si="1"/>
        <v>1</v>
      </c>
      <c r="G8" s="89">
        <v>825000.0</v>
      </c>
      <c r="H8" s="89">
        <f t="shared" si="2"/>
        <v>825000</v>
      </c>
      <c r="I8" s="258" t="s">
        <v>201</v>
      </c>
      <c r="J8" s="59" t="s">
        <v>729</v>
      </c>
      <c r="K8" s="59" t="s">
        <v>329</v>
      </c>
      <c r="L8" s="59" t="s">
        <v>326</v>
      </c>
      <c r="M8" s="59" t="s">
        <v>730</v>
      </c>
      <c r="N8" s="69" t="s">
        <v>731</v>
      </c>
      <c r="O8" s="337" t="s">
        <v>732</v>
      </c>
      <c r="P8" s="59" t="s">
        <v>174</v>
      </c>
      <c r="Q8" s="59" t="s">
        <v>733</v>
      </c>
      <c r="R8" s="19"/>
      <c r="S8" s="19"/>
      <c r="T8" s="19"/>
      <c r="U8" s="19"/>
      <c r="V8" s="19"/>
      <c r="W8" s="19"/>
      <c r="X8" s="19"/>
      <c r="Y8" s="19"/>
      <c r="Z8" s="19"/>
    </row>
    <row r="9">
      <c r="A9" s="44">
        <v>1.0</v>
      </c>
      <c r="B9" s="44" t="s">
        <v>172</v>
      </c>
      <c r="C9" s="44" t="s">
        <v>368</v>
      </c>
      <c r="D9" s="44">
        <v>1.0</v>
      </c>
      <c r="E9" s="44">
        <v>0.0</v>
      </c>
      <c r="F9" s="44">
        <f t="shared" si="1"/>
        <v>1</v>
      </c>
      <c r="G9" s="82">
        <v>825000.0</v>
      </c>
      <c r="H9" s="82">
        <f t="shared" si="2"/>
        <v>825000</v>
      </c>
      <c r="I9" s="257" t="s">
        <v>192</v>
      </c>
      <c r="J9" s="44" t="s">
        <v>729</v>
      </c>
      <c r="K9" s="44" t="s">
        <v>329</v>
      </c>
      <c r="L9" s="44" t="s">
        <v>326</v>
      </c>
      <c r="M9" s="44" t="s">
        <v>730</v>
      </c>
      <c r="N9" s="34" t="s">
        <v>731</v>
      </c>
      <c r="O9" s="330" t="s">
        <v>732</v>
      </c>
      <c r="P9" s="44" t="s">
        <v>174</v>
      </c>
      <c r="Q9" s="44" t="s">
        <v>733</v>
      </c>
      <c r="R9" s="19"/>
      <c r="S9" s="19"/>
      <c r="T9" s="19"/>
      <c r="U9" s="19"/>
      <c r="V9" s="19"/>
      <c r="W9" s="19"/>
      <c r="X9" s="19"/>
      <c r="Y9" s="19"/>
      <c r="Z9" s="19"/>
    </row>
    <row r="10">
      <c r="A10" s="59">
        <v>1.0</v>
      </c>
      <c r="B10" s="59" t="s">
        <v>172</v>
      </c>
      <c r="C10" s="59" t="s">
        <v>368</v>
      </c>
      <c r="D10" s="59">
        <v>1.0</v>
      </c>
      <c r="E10" s="59">
        <v>1.0</v>
      </c>
      <c r="F10" s="59">
        <f t="shared" si="1"/>
        <v>0</v>
      </c>
      <c r="G10" s="89">
        <v>825000.0</v>
      </c>
      <c r="H10" s="89">
        <f t="shared" si="2"/>
        <v>825000</v>
      </c>
      <c r="I10" s="258" t="s">
        <v>739</v>
      </c>
      <c r="J10" s="59" t="s">
        <v>729</v>
      </c>
      <c r="K10" s="59" t="s">
        <v>329</v>
      </c>
      <c r="L10" s="59" t="s">
        <v>326</v>
      </c>
      <c r="M10" s="59" t="s">
        <v>730</v>
      </c>
      <c r="N10" s="69" t="s">
        <v>731</v>
      </c>
      <c r="O10" s="337" t="s">
        <v>732</v>
      </c>
      <c r="P10" s="59" t="s">
        <v>174</v>
      </c>
      <c r="Q10" s="59" t="s">
        <v>733</v>
      </c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4">
        <v>1.0</v>
      </c>
      <c r="B11" s="44" t="s">
        <v>172</v>
      </c>
      <c r="C11" s="44" t="s">
        <v>368</v>
      </c>
      <c r="D11" s="44">
        <v>1.0</v>
      </c>
      <c r="E11" s="44">
        <v>0.0</v>
      </c>
      <c r="F11" s="44">
        <f t="shared" si="1"/>
        <v>1</v>
      </c>
      <c r="G11" s="82">
        <v>825000.0</v>
      </c>
      <c r="H11" s="82">
        <f t="shared" si="2"/>
        <v>825000</v>
      </c>
      <c r="I11" s="257" t="s">
        <v>304</v>
      </c>
      <c r="J11" s="44" t="s">
        <v>729</v>
      </c>
      <c r="K11" s="44" t="s">
        <v>329</v>
      </c>
      <c r="L11" s="44" t="s">
        <v>326</v>
      </c>
      <c r="M11" s="44" t="s">
        <v>730</v>
      </c>
      <c r="N11" s="34" t="s">
        <v>731</v>
      </c>
      <c r="O11" s="330" t="s">
        <v>732</v>
      </c>
      <c r="P11" s="44" t="s">
        <v>174</v>
      </c>
      <c r="Q11" s="44" t="s">
        <v>733</v>
      </c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14">
        <v>2.0</v>
      </c>
      <c r="B12" s="114" t="s">
        <v>169</v>
      </c>
      <c r="C12" s="114" t="s">
        <v>347</v>
      </c>
      <c r="D12" s="59">
        <v>5.0</v>
      </c>
      <c r="E12" s="59">
        <v>2.0</v>
      </c>
      <c r="F12" s="59">
        <f t="shared" si="1"/>
        <v>3</v>
      </c>
      <c r="G12" s="89">
        <v>132825.0</v>
      </c>
      <c r="H12" s="89">
        <v>132825.0</v>
      </c>
      <c r="I12" s="258" t="s">
        <v>221</v>
      </c>
      <c r="J12" s="59" t="s">
        <v>740</v>
      </c>
      <c r="K12" s="59" t="s">
        <v>741</v>
      </c>
      <c r="L12" s="59" t="s">
        <v>742</v>
      </c>
      <c r="M12" s="59" t="s">
        <v>743</v>
      </c>
      <c r="N12" s="59" t="s">
        <v>744</v>
      </c>
      <c r="O12" s="58" t="s">
        <v>795</v>
      </c>
      <c r="P12" s="58" t="s">
        <v>796</v>
      </c>
      <c r="Q12" s="59" t="s">
        <v>733</v>
      </c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09">
        <v>2.0</v>
      </c>
      <c r="B13" s="109" t="s">
        <v>169</v>
      </c>
      <c r="C13" s="109" t="s">
        <v>347</v>
      </c>
      <c r="D13" s="44">
        <v>1.0</v>
      </c>
      <c r="E13" s="44">
        <v>0.0</v>
      </c>
      <c r="F13" s="44">
        <f t="shared" si="1"/>
        <v>1</v>
      </c>
      <c r="G13" s="82">
        <v>132825.0</v>
      </c>
      <c r="H13" s="82">
        <f t="shared" ref="H13:H27" si="3">D13*G13</f>
        <v>132825</v>
      </c>
      <c r="I13" s="257" t="s">
        <v>85</v>
      </c>
      <c r="J13" s="44" t="s">
        <v>740</v>
      </c>
      <c r="K13" s="44" t="s">
        <v>741</v>
      </c>
      <c r="L13" s="44" t="s">
        <v>742</v>
      </c>
      <c r="M13" s="44" t="s">
        <v>743</v>
      </c>
      <c r="N13" s="44" t="s">
        <v>744</v>
      </c>
      <c r="O13" s="43" t="s">
        <v>795</v>
      </c>
      <c r="P13" s="43" t="s">
        <v>796</v>
      </c>
      <c r="Q13" s="44" t="s">
        <v>733</v>
      </c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14">
        <v>2.0</v>
      </c>
      <c r="B14" s="114" t="s">
        <v>169</v>
      </c>
      <c r="C14" s="114" t="s">
        <v>347</v>
      </c>
      <c r="D14" s="59">
        <v>1.0</v>
      </c>
      <c r="E14" s="59">
        <v>0.0</v>
      </c>
      <c r="F14" s="59">
        <f t="shared" si="1"/>
        <v>1</v>
      </c>
      <c r="G14" s="89">
        <v>132825.0</v>
      </c>
      <c r="H14" s="89">
        <f t="shared" si="3"/>
        <v>132825</v>
      </c>
      <c r="I14" s="258" t="s">
        <v>113</v>
      </c>
      <c r="J14" s="59" t="s">
        <v>740</v>
      </c>
      <c r="K14" s="59" t="s">
        <v>741</v>
      </c>
      <c r="L14" s="59" t="s">
        <v>742</v>
      </c>
      <c r="M14" s="59" t="s">
        <v>743</v>
      </c>
      <c r="N14" s="59" t="s">
        <v>744</v>
      </c>
      <c r="O14" s="58" t="s">
        <v>795</v>
      </c>
      <c r="P14" s="58" t="s">
        <v>796</v>
      </c>
      <c r="Q14" s="59" t="s">
        <v>733</v>
      </c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09">
        <v>2.0</v>
      </c>
      <c r="B15" s="109" t="s">
        <v>169</v>
      </c>
      <c r="C15" s="109" t="s">
        <v>347</v>
      </c>
      <c r="D15" s="44">
        <v>1.0</v>
      </c>
      <c r="E15" s="44">
        <v>0.0</v>
      </c>
      <c r="F15" s="44">
        <f t="shared" si="1"/>
        <v>1</v>
      </c>
      <c r="G15" s="82">
        <v>132825.0</v>
      </c>
      <c r="H15" s="82">
        <f t="shared" si="3"/>
        <v>132825</v>
      </c>
      <c r="I15" s="257" t="s">
        <v>161</v>
      </c>
      <c r="J15" s="44" t="s">
        <v>740</v>
      </c>
      <c r="K15" s="44" t="s">
        <v>741</v>
      </c>
      <c r="L15" s="44" t="s">
        <v>742</v>
      </c>
      <c r="M15" s="44" t="s">
        <v>743</v>
      </c>
      <c r="N15" s="44" t="s">
        <v>744</v>
      </c>
      <c r="O15" s="43" t="s">
        <v>795</v>
      </c>
      <c r="P15" s="43" t="s">
        <v>796</v>
      </c>
      <c r="Q15" s="44" t="s">
        <v>733</v>
      </c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14">
        <v>2.0</v>
      </c>
      <c r="B16" s="114" t="s">
        <v>169</v>
      </c>
      <c r="C16" s="114" t="s">
        <v>347</v>
      </c>
      <c r="D16" s="59">
        <v>5.0</v>
      </c>
      <c r="E16" s="59">
        <v>0.0</v>
      </c>
      <c r="F16" s="59">
        <f t="shared" si="1"/>
        <v>5</v>
      </c>
      <c r="G16" s="89">
        <v>132825.0</v>
      </c>
      <c r="H16" s="89">
        <f t="shared" si="3"/>
        <v>664125</v>
      </c>
      <c r="I16" s="258" t="s">
        <v>89</v>
      </c>
      <c r="J16" s="59" t="s">
        <v>740</v>
      </c>
      <c r="K16" s="59" t="s">
        <v>741</v>
      </c>
      <c r="L16" s="59" t="s">
        <v>742</v>
      </c>
      <c r="M16" s="59" t="s">
        <v>743</v>
      </c>
      <c r="N16" s="59" t="s">
        <v>744</v>
      </c>
      <c r="O16" s="58" t="s">
        <v>795</v>
      </c>
      <c r="P16" s="58" t="s">
        <v>796</v>
      </c>
      <c r="Q16" s="59" t="s">
        <v>733</v>
      </c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09">
        <v>2.0</v>
      </c>
      <c r="B17" s="109" t="s">
        <v>169</v>
      </c>
      <c r="C17" s="109" t="s">
        <v>347</v>
      </c>
      <c r="D17" s="44">
        <v>2.0</v>
      </c>
      <c r="E17" s="44">
        <v>0.0</v>
      </c>
      <c r="F17" s="44">
        <f t="shared" si="1"/>
        <v>2</v>
      </c>
      <c r="G17" s="82">
        <v>132825.0</v>
      </c>
      <c r="H17" s="82">
        <f t="shared" si="3"/>
        <v>265650</v>
      </c>
      <c r="I17" s="257" t="s">
        <v>179</v>
      </c>
      <c r="J17" s="44" t="s">
        <v>740</v>
      </c>
      <c r="K17" s="44" t="s">
        <v>741</v>
      </c>
      <c r="L17" s="44" t="s">
        <v>742</v>
      </c>
      <c r="M17" s="44" t="s">
        <v>743</v>
      </c>
      <c r="N17" s="44" t="s">
        <v>744</v>
      </c>
      <c r="O17" s="43" t="s">
        <v>795</v>
      </c>
      <c r="P17" s="43" t="s">
        <v>796</v>
      </c>
      <c r="Q17" s="44" t="s">
        <v>733</v>
      </c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14">
        <v>2.0</v>
      </c>
      <c r="B18" s="114" t="s">
        <v>169</v>
      </c>
      <c r="C18" s="114" t="s">
        <v>347</v>
      </c>
      <c r="D18" s="59">
        <v>3.0</v>
      </c>
      <c r="E18" s="59">
        <v>0.0</v>
      </c>
      <c r="F18" s="59">
        <f t="shared" si="1"/>
        <v>3</v>
      </c>
      <c r="G18" s="89">
        <v>132825.0</v>
      </c>
      <c r="H18" s="89">
        <f t="shared" si="3"/>
        <v>398475</v>
      </c>
      <c r="I18" s="258" t="s">
        <v>167</v>
      </c>
      <c r="J18" s="59" t="s">
        <v>740</v>
      </c>
      <c r="K18" s="59" t="s">
        <v>741</v>
      </c>
      <c r="L18" s="59" t="s">
        <v>742</v>
      </c>
      <c r="M18" s="59" t="s">
        <v>743</v>
      </c>
      <c r="N18" s="59" t="s">
        <v>744</v>
      </c>
      <c r="O18" s="58" t="s">
        <v>795</v>
      </c>
      <c r="P18" s="58" t="s">
        <v>796</v>
      </c>
      <c r="Q18" s="59" t="s">
        <v>733</v>
      </c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09">
        <v>2.0</v>
      </c>
      <c r="B19" s="109" t="s">
        <v>169</v>
      </c>
      <c r="C19" s="109" t="s">
        <v>347</v>
      </c>
      <c r="D19" s="44">
        <v>3.0</v>
      </c>
      <c r="E19" s="44">
        <v>0.0</v>
      </c>
      <c r="F19" s="44">
        <f t="shared" si="1"/>
        <v>3</v>
      </c>
      <c r="G19" s="82">
        <v>132825.0</v>
      </c>
      <c r="H19" s="82">
        <f t="shared" si="3"/>
        <v>398475</v>
      </c>
      <c r="I19" s="257" t="s">
        <v>202</v>
      </c>
      <c r="J19" s="44" t="s">
        <v>740</v>
      </c>
      <c r="K19" s="44" t="s">
        <v>741</v>
      </c>
      <c r="L19" s="44" t="s">
        <v>742</v>
      </c>
      <c r="M19" s="44" t="s">
        <v>743</v>
      </c>
      <c r="N19" s="44" t="s">
        <v>744</v>
      </c>
      <c r="O19" s="43" t="s">
        <v>795</v>
      </c>
      <c r="P19" s="43" t="s">
        <v>796</v>
      </c>
      <c r="Q19" s="44" t="s">
        <v>733</v>
      </c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14">
        <v>2.0</v>
      </c>
      <c r="B20" s="114" t="s">
        <v>169</v>
      </c>
      <c r="C20" s="114" t="s">
        <v>347</v>
      </c>
      <c r="D20" s="59">
        <v>1.0</v>
      </c>
      <c r="E20" s="59">
        <v>0.0</v>
      </c>
      <c r="F20" s="59">
        <f t="shared" si="1"/>
        <v>1</v>
      </c>
      <c r="G20" s="89">
        <v>132825.0</v>
      </c>
      <c r="H20" s="89">
        <f t="shared" si="3"/>
        <v>132825</v>
      </c>
      <c r="I20" s="258" t="s">
        <v>228</v>
      </c>
      <c r="J20" s="59" t="s">
        <v>740</v>
      </c>
      <c r="K20" s="59" t="s">
        <v>741</v>
      </c>
      <c r="L20" s="59" t="s">
        <v>742</v>
      </c>
      <c r="M20" s="59" t="s">
        <v>743</v>
      </c>
      <c r="N20" s="59" t="s">
        <v>744</v>
      </c>
      <c r="O20" s="58" t="s">
        <v>795</v>
      </c>
      <c r="P20" s="58" t="s">
        <v>796</v>
      </c>
      <c r="Q20" s="59" t="s">
        <v>733</v>
      </c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09">
        <v>2.0</v>
      </c>
      <c r="B21" s="109" t="s">
        <v>169</v>
      </c>
      <c r="C21" s="109" t="s">
        <v>347</v>
      </c>
      <c r="D21" s="44">
        <v>1.0</v>
      </c>
      <c r="E21" s="44">
        <v>0.0</v>
      </c>
      <c r="F21" s="44">
        <f t="shared" si="1"/>
        <v>1</v>
      </c>
      <c r="G21" s="82">
        <v>132825.0</v>
      </c>
      <c r="H21" s="82">
        <f t="shared" si="3"/>
        <v>132825</v>
      </c>
      <c r="I21" s="257" t="s">
        <v>188</v>
      </c>
      <c r="J21" s="44" t="s">
        <v>740</v>
      </c>
      <c r="K21" s="44" t="s">
        <v>741</v>
      </c>
      <c r="L21" s="44" t="s">
        <v>742</v>
      </c>
      <c r="M21" s="44" t="s">
        <v>743</v>
      </c>
      <c r="N21" s="44" t="s">
        <v>744</v>
      </c>
      <c r="O21" s="43" t="s">
        <v>795</v>
      </c>
      <c r="P21" s="43" t="s">
        <v>796</v>
      </c>
      <c r="Q21" s="44" t="s">
        <v>733</v>
      </c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14">
        <v>2.0</v>
      </c>
      <c r="B22" s="114" t="s">
        <v>169</v>
      </c>
      <c r="C22" s="114" t="s">
        <v>347</v>
      </c>
      <c r="D22" s="59">
        <v>1.0</v>
      </c>
      <c r="E22" s="59">
        <v>0.0</v>
      </c>
      <c r="F22" s="59">
        <f t="shared" si="1"/>
        <v>1</v>
      </c>
      <c r="G22" s="89">
        <v>132825.0</v>
      </c>
      <c r="H22" s="89">
        <f t="shared" si="3"/>
        <v>132825</v>
      </c>
      <c r="I22" s="258" t="s">
        <v>197</v>
      </c>
      <c r="J22" s="59" t="s">
        <v>740</v>
      </c>
      <c r="K22" s="59" t="s">
        <v>741</v>
      </c>
      <c r="L22" s="59" t="s">
        <v>742</v>
      </c>
      <c r="M22" s="59" t="s">
        <v>743</v>
      </c>
      <c r="N22" s="59" t="s">
        <v>744</v>
      </c>
      <c r="O22" s="58" t="s">
        <v>795</v>
      </c>
      <c r="P22" s="58" t="s">
        <v>796</v>
      </c>
      <c r="Q22" s="59" t="s">
        <v>733</v>
      </c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09">
        <v>2.0</v>
      </c>
      <c r="B23" s="109" t="s">
        <v>169</v>
      </c>
      <c r="C23" s="109" t="s">
        <v>347</v>
      </c>
      <c r="D23" s="44">
        <v>1.0</v>
      </c>
      <c r="E23" s="44">
        <v>0.0</v>
      </c>
      <c r="F23" s="44">
        <f t="shared" si="1"/>
        <v>1</v>
      </c>
      <c r="G23" s="82">
        <v>132825.0</v>
      </c>
      <c r="H23" s="82">
        <f t="shared" si="3"/>
        <v>132825</v>
      </c>
      <c r="I23" s="257" t="s">
        <v>160</v>
      </c>
      <c r="J23" s="44" t="s">
        <v>740</v>
      </c>
      <c r="K23" s="44" t="s">
        <v>741</v>
      </c>
      <c r="L23" s="44" t="s">
        <v>742</v>
      </c>
      <c r="M23" s="44" t="s">
        <v>743</v>
      </c>
      <c r="N23" s="44" t="s">
        <v>744</v>
      </c>
      <c r="O23" s="43" t="s">
        <v>795</v>
      </c>
      <c r="P23" s="43" t="s">
        <v>796</v>
      </c>
      <c r="Q23" s="44" t="s">
        <v>733</v>
      </c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14">
        <v>2.0</v>
      </c>
      <c r="B24" s="114" t="s">
        <v>169</v>
      </c>
      <c r="C24" s="114" t="s">
        <v>347</v>
      </c>
      <c r="D24" s="59">
        <v>1.0</v>
      </c>
      <c r="E24" s="59">
        <v>0.0</v>
      </c>
      <c r="F24" s="59">
        <f t="shared" si="1"/>
        <v>1</v>
      </c>
      <c r="G24" s="89">
        <v>132825.0</v>
      </c>
      <c r="H24" s="89">
        <f t="shared" si="3"/>
        <v>132825</v>
      </c>
      <c r="I24" s="258" t="s">
        <v>189</v>
      </c>
      <c r="J24" s="59" t="s">
        <v>740</v>
      </c>
      <c r="K24" s="59" t="s">
        <v>741</v>
      </c>
      <c r="L24" s="59" t="s">
        <v>742</v>
      </c>
      <c r="M24" s="59" t="s">
        <v>743</v>
      </c>
      <c r="N24" s="59" t="s">
        <v>744</v>
      </c>
      <c r="O24" s="58" t="s">
        <v>795</v>
      </c>
      <c r="P24" s="58" t="s">
        <v>796</v>
      </c>
      <c r="Q24" s="59" t="s">
        <v>733</v>
      </c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09">
        <v>2.0</v>
      </c>
      <c r="B25" s="109" t="s">
        <v>169</v>
      </c>
      <c r="C25" s="109" t="s">
        <v>347</v>
      </c>
      <c r="D25" s="44">
        <v>1.0</v>
      </c>
      <c r="E25" s="44">
        <v>0.0</v>
      </c>
      <c r="F25" s="44">
        <f t="shared" si="1"/>
        <v>1</v>
      </c>
      <c r="G25" s="82">
        <v>132825.0</v>
      </c>
      <c r="H25" s="82">
        <f t="shared" si="3"/>
        <v>132825</v>
      </c>
      <c r="I25" s="257" t="s">
        <v>304</v>
      </c>
      <c r="J25" s="44" t="s">
        <v>740</v>
      </c>
      <c r="K25" s="44" t="s">
        <v>741</v>
      </c>
      <c r="L25" s="44" t="s">
        <v>742</v>
      </c>
      <c r="M25" s="44" t="s">
        <v>743</v>
      </c>
      <c r="N25" s="44" t="s">
        <v>744</v>
      </c>
      <c r="O25" s="43" t="s">
        <v>795</v>
      </c>
      <c r="P25" s="43" t="s">
        <v>796</v>
      </c>
      <c r="Q25" s="44" t="s">
        <v>733</v>
      </c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14">
        <v>2.0</v>
      </c>
      <c r="B26" s="114" t="s">
        <v>169</v>
      </c>
      <c r="C26" s="114" t="s">
        <v>347</v>
      </c>
      <c r="D26" s="59">
        <v>1.0</v>
      </c>
      <c r="E26" s="59">
        <v>0.0</v>
      </c>
      <c r="F26" s="59">
        <f t="shared" si="1"/>
        <v>1</v>
      </c>
      <c r="G26" s="89">
        <v>132825.0</v>
      </c>
      <c r="H26" s="89">
        <f t="shared" si="3"/>
        <v>132825</v>
      </c>
      <c r="I26" s="258" t="s">
        <v>760</v>
      </c>
      <c r="J26" s="59" t="s">
        <v>740</v>
      </c>
      <c r="K26" s="59" t="s">
        <v>741</v>
      </c>
      <c r="L26" s="59" t="s">
        <v>742</v>
      </c>
      <c r="M26" s="59" t="s">
        <v>743</v>
      </c>
      <c r="N26" s="59" t="s">
        <v>744</v>
      </c>
      <c r="O26" s="58" t="s">
        <v>795</v>
      </c>
      <c r="P26" s="58" t="s">
        <v>796</v>
      </c>
      <c r="Q26" s="59" t="s">
        <v>733</v>
      </c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09">
        <v>2.0</v>
      </c>
      <c r="B27" s="109" t="s">
        <v>169</v>
      </c>
      <c r="C27" s="109" t="s">
        <v>347</v>
      </c>
      <c r="D27" s="109">
        <v>7.0</v>
      </c>
      <c r="E27" s="109">
        <v>0.0</v>
      </c>
      <c r="F27" s="44">
        <f t="shared" si="1"/>
        <v>7</v>
      </c>
      <c r="G27" s="82">
        <v>132825.0</v>
      </c>
      <c r="H27" s="82">
        <f t="shared" si="3"/>
        <v>929775</v>
      </c>
      <c r="I27" s="361" t="s">
        <v>134</v>
      </c>
      <c r="J27" s="44" t="s">
        <v>740</v>
      </c>
      <c r="K27" s="44" t="s">
        <v>741</v>
      </c>
      <c r="L27" s="44" t="s">
        <v>742</v>
      </c>
      <c r="M27" s="44" t="s">
        <v>743</v>
      </c>
      <c r="N27" s="44" t="s">
        <v>744</v>
      </c>
      <c r="O27" s="43" t="s">
        <v>795</v>
      </c>
      <c r="P27" s="43" t="s">
        <v>796</v>
      </c>
      <c r="Q27" s="44" t="s">
        <v>733</v>
      </c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362"/>
      <c r="B28" s="362"/>
      <c r="C28" s="362"/>
      <c r="D28" s="362"/>
      <c r="E28" s="362"/>
      <c r="F28" s="362"/>
      <c r="G28" s="363"/>
      <c r="H28" s="364"/>
      <c r="I28" s="363"/>
      <c r="J28" s="363"/>
      <c r="K28" s="363"/>
      <c r="L28" s="363"/>
      <c r="M28" s="363"/>
      <c r="N28" s="363"/>
      <c r="O28" s="362"/>
      <c r="P28" s="362"/>
      <c r="Q28" s="36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27"/>
  <conditionalFormatting sqref="F2:F27">
    <cfRule type="cellIs" dxfId="1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9.63"/>
    <col customWidth="1" min="3" max="3" width="8.88"/>
    <col customWidth="1" min="4" max="5" width="13.13"/>
    <col customWidth="1" min="6" max="6" width="14.88"/>
    <col customWidth="1" min="7" max="7" width="16.13"/>
    <col customWidth="1" min="8" max="8" width="19.38"/>
    <col customWidth="1" min="9" max="9" width="16.5"/>
    <col customWidth="1" min="10" max="10" width="19.38"/>
    <col customWidth="1" min="11" max="11" width="29.88"/>
    <col customWidth="1" min="12" max="12" width="14.88"/>
    <col customWidth="1" min="13" max="13" width="31.0"/>
    <col customWidth="1" min="14" max="14" width="16.63"/>
    <col customWidth="1" min="15" max="15" width="23.5"/>
    <col customWidth="1" min="16" max="16" width="17.88"/>
    <col customWidth="1" min="17" max="26" width="8.88"/>
  </cols>
  <sheetData>
    <row r="1">
      <c r="A1" s="262" t="s">
        <v>359</v>
      </c>
      <c r="B1" s="302" t="s">
        <v>797</v>
      </c>
      <c r="C1" s="147" t="s">
        <v>798</v>
      </c>
      <c r="D1" s="147"/>
      <c r="E1" s="147"/>
      <c r="F1" s="147"/>
      <c r="G1" s="147"/>
    </row>
    <row r="2">
      <c r="A2" s="20" t="s">
        <v>2</v>
      </c>
      <c r="B2" s="22" t="s">
        <v>4</v>
      </c>
      <c r="C2" s="22" t="s">
        <v>5</v>
      </c>
      <c r="D2" s="22" t="s">
        <v>6</v>
      </c>
      <c r="E2" s="22" t="s">
        <v>212</v>
      </c>
      <c r="F2" s="78" t="s">
        <v>26</v>
      </c>
      <c r="G2" s="78" t="s">
        <v>27</v>
      </c>
      <c r="H2" s="22" t="s">
        <v>28</v>
      </c>
      <c r="I2" s="22" t="s">
        <v>14</v>
      </c>
      <c r="J2" s="22" t="s">
        <v>15</v>
      </c>
      <c r="K2" s="22" t="s">
        <v>16</v>
      </c>
      <c r="L2" s="22" t="s">
        <v>29</v>
      </c>
      <c r="M2" s="22" t="s">
        <v>30</v>
      </c>
      <c r="N2" s="22" t="s">
        <v>20</v>
      </c>
      <c r="O2" s="30" t="s">
        <v>21</v>
      </c>
      <c r="P2" s="30" t="s">
        <v>34</v>
      </c>
    </row>
    <row r="3">
      <c r="A3" s="44">
        <v>1.0</v>
      </c>
      <c r="B3" s="44" t="s">
        <v>799</v>
      </c>
      <c r="C3" s="44">
        <v>1.0</v>
      </c>
      <c r="D3" s="44">
        <v>1.0</v>
      </c>
      <c r="E3" s="44">
        <f t="shared" ref="E3:E18" si="1">C3-D3</f>
        <v>0</v>
      </c>
      <c r="F3" s="365">
        <v>130000.0</v>
      </c>
      <c r="G3" s="365">
        <f t="shared" ref="G3:G18" si="2">C3*F3</f>
        <v>130000</v>
      </c>
      <c r="H3" s="257" t="s">
        <v>276</v>
      </c>
      <c r="I3" s="44" t="s">
        <v>768</v>
      </c>
      <c r="J3" s="44" t="s">
        <v>769</v>
      </c>
      <c r="K3" s="44" t="s">
        <v>770</v>
      </c>
      <c r="L3" s="44" t="s">
        <v>772</v>
      </c>
      <c r="M3" s="34" t="s">
        <v>774</v>
      </c>
      <c r="N3" s="366" t="s">
        <v>776</v>
      </c>
      <c r="O3" s="44" t="s">
        <v>140</v>
      </c>
      <c r="P3" s="44"/>
      <c r="Q3" s="308"/>
      <c r="R3" s="308"/>
      <c r="S3" s="308"/>
      <c r="T3" s="308"/>
      <c r="U3" s="308"/>
      <c r="V3" s="308"/>
      <c r="W3" s="308"/>
      <c r="X3" s="308"/>
      <c r="Y3" s="308"/>
      <c r="Z3" s="308"/>
    </row>
    <row r="4">
      <c r="A4" s="59">
        <v>1.0</v>
      </c>
      <c r="B4" s="59" t="s">
        <v>799</v>
      </c>
      <c r="C4" s="59">
        <v>1.0</v>
      </c>
      <c r="D4" s="59">
        <v>1.0</v>
      </c>
      <c r="E4" s="59">
        <f t="shared" si="1"/>
        <v>0</v>
      </c>
      <c r="F4" s="367">
        <v>130000.0</v>
      </c>
      <c r="G4" s="367">
        <f t="shared" si="2"/>
        <v>130000</v>
      </c>
      <c r="H4" s="258" t="s">
        <v>800</v>
      </c>
      <c r="I4" s="59" t="s">
        <v>768</v>
      </c>
      <c r="J4" s="59" t="s">
        <v>769</v>
      </c>
      <c r="K4" s="59" t="s">
        <v>770</v>
      </c>
      <c r="L4" s="59" t="s">
        <v>772</v>
      </c>
      <c r="M4" s="69" t="s">
        <v>774</v>
      </c>
      <c r="N4" s="368" t="s">
        <v>776</v>
      </c>
      <c r="O4" s="59" t="s">
        <v>140</v>
      </c>
      <c r="P4" s="59"/>
      <c r="Q4" s="308"/>
      <c r="R4" s="308"/>
      <c r="S4" s="308"/>
      <c r="T4" s="308"/>
      <c r="U4" s="308"/>
      <c r="V4" s="308"/>
      <c r="W4" s="308"/>
      <c r="X4" s="308"/>
      <c r="Y4" s="308"/>
      <c r="Z4" s="308"/>
    </row>
    <row r="5">
      <c r="A5" s="44">
        <v>1.0</v>
      </c>
      <c r="B5" s="44" t="s">
        <v>799</v>
      </c>
      <c r="C5" s="44">
        <v>1.0</v>
      </c>
      <c r="D5" s="44">
        <v>1.0</v>
      </c>
      <c r="E5" s="44">
        <f t="shared" si="1"/>
        <v>0</v>
      </c>
      <c r="F5" s="365">
        <v>130000.0</v>
      </c>
      <c r="G5" s="365">
        <f t="shared" si="2"/>
        <v>130000</v>
      </c>
      <c r="H5" s="257" t="s">
        <v>160</v>
      </c>
      <c r="I5" s="44" t="s">
        <v>768</v>
      </c>
      <c r="J5" s="44" t="s">
        <v>769</v>
      </c>
      <c r="K5" s="44" t="s">
        <v>770</v>
      </c>
      <c r="L5" s="44" t="s">
        <v>772</v>
      </c>
      <c r="M5" s="34" t="s">
        <v>774</v>
      </c>
      <c r="N5" s="366" t="s">
        <v>776</v>
      </c>
      <c r="O5" s="44" t="s">
        <v>140</v>
      </c>
      <c r="P5" s="44"/>
      <c r="Q5" s="308"/>
      <c r="R5" s="308"/>
      <c r="S5" s="308"/>
      <c r="T5" s="308"/>
      <c r="U5" s="308"/>
      <c r="V5" s="308"/>
      <c r="W5" s="308"/>
      <c r="X5" s="308"/>
      <c r="Y5" s="308"/>
      <c r="Z5" s="308"/>
    </row>
    <row r="6">
      <c r="A6" s="59">
        <v>1.0</v>
      </c>
      <c r="B6" s="59" t="s">
        <v>799</v>
      </c>
      <c r="C6" s="59">
        <v>1.0</v>
      </c>
      <c r="D6" s="111">
        <v>1.0</v>
      </c>
      <c r="E6" s="59">
        <f t="shared" si="1"/>
        <v>0</v>
      </c>
      <c r="F6" s="367">
        <v>130000.0</v>
      </c>
      <c r="G6" s="367">
        <f t="shared" si="2"/>
        <v>130000</v>
      </c>
      <c r="H6" s="258" t="s">
        <v>134</v>
      </c>
      <c r="I6" s="59" t="s">
        <v>768</v>
      </c>
      <c r="J6" s="59" t="s">
        <v>769</v>
      </c>
      <c r="K6" s="59" t="s">
        <v>770</v>
      </c>
      <c r="L6" s="59" t="s">
        <v>772</v>
      </c>
      <c r="M6" s="69" t="s">
        <v>774</v>
      </c>
      <c r="N6" s="368" t="s">
        <v>776</v>
      </c>
      <c r="O6" s="59" t="s">
        <v>140</v>
      </c>
      <c r="P6" s="59"/>
      <c r="Q6" s="308"/>
      <c r="R6" s="308"/>
      <c r="S6" s="308"/>
      <c r="T6" s="308"/>
      <c r="U6" s="308"/>
      <c r="V6" s="308"/>
      <c r="W6" s="308"/>
      <c r="X6" s="308"/>
      <c r="Y6" s="308"/>
      <c r="Z6" s="308"/>
    </row>
    <row r="7">
      <c r="A7" s="44">
        <v>1.0</v>
      </c>
      <c r="B7" s="44" t="s">
        <v>799</v>
      </c>
      <c r="C7" s="44">
        <v>1.0</v>
      </c>
      <c r="D7" s="44">
        <v>1.0</v>
      </c>
      <c r="E7" s="44">
        <f t="shared" si="1"/>
        <v>0</v>
      </c>
      <c r="F7" s="365">
        <v>130000.0</v>
      </c>
      <c r="G7" s="365">
        <f t="shared" si="2"/>
        <v>130000</v>
      </c>
      <c r="H7" s="257" t="s">
        <v>801</v>
      </c>
      <c r="I7" s="44" t="s">
        <v>768</v>
      </c>
      <c r="J7" s="44" t="s">
        <v>769</v>
      </c>
      <c r="K7" s="44" t="s">
        <v>770</v>
      </c>
      <c r="L7" s="44" t="s">
        <v>772</v>
      </c>
      <c r="M7" s="34" t="s">
        <v>774</v>
      </c>
      <c r="N7" s="366" t="s">
        <v>776</v>
      </c>
      <c r="O7" s="44" t="s">
        <v>140</v>
      </c>
      <c r="P7" s="44"/>
      <c r="Q7" s="308"/>
      <c r="R7" s="308"/>
      <c r="S7" s="308"/>
      <c r="T7" s="308"/>
      <c r="U7" s="308"/>
      <c r="V7" s="308"/>
      <c r="W7" s="308"/>
      <c r="X7" s="308"/>
      <c r="Y7" s="308"/>
      <c r="Z7" s="308"/>
    </row>
    <row r="8">
      <c r="A8" s="59">
        <v>1.0</v>
      </c>
      <c r="B8" s="59" t="s">
        <v>799</v>
      </c>
      <c r="C8" s="59">
        <v>1.0</v>
      </c>
      <c r="D8" s="111">
        <v>1.0</v>
      </c>
      <c r="E8" s="59">
        <f t="shared" si="1"/>
        <v>0</v>
      </c>
      <c r="F8" s="367">
        <v>130000.0</v>
      </c>
      <c r="G8" s="367">
        <f t="shared" si="2"/>
        <v>130000</v>
      </c>
      <c r="H8" s="258" t="s">
        <v>154</v>
      </c>
      <c r="I8" s="59" t="s">
        <v>768</v>
      </c>
      <c r="J8" s="59" t="s">
        <v>769</v>
      </c>
      <c r="K8" s="59" t="s">
        <v>770</v>
      </c>
      <c r="L8" s="59" t="s">
        <v>772</v>
      </c>
      <c r="M8" s="69" t="s">
        <v>774</v>
      </c>
      <c r="N8" s="368" t="s">
        <v>776</v>
      </c>
      <c r="O8" s="59" t="s">
        <v>140</v>
      </c>
      <c r="P8" s="59"/>
      <c r="Q8" s="308"/>
      <c r="R8" s="308"/>
      <c r="S8" s="308"/>
      <c r="T8" s="308"/>
      <c r="U8" s="308"/>
      <c r="V8" s="308"/>
      <c r="W8" s="308"/>
      <c r="X8" s="308"/>
      <c r="Y8" s="308"/>
      <c r="Z8" s="308"/>
    </row>
    <row r="9">
      <c r="A9" s="44">
        <v>1.0</v>
      </c>
      <c r="B9" s="44" t="s">
        <v>799</v>
      </c>
      <c r="C9" s="44">
        <v>1.0</v>
      </c>
      <c r="D9" s="44">
        <v>0.0</v>
      </c>
      <c r="E9" s="44">
        <f t="shared" si="1"/>
        <v>1</v>
      </c>
      <c r="F9" s="365">
        <v>130000.0</v>
      </c>
      <c r="G9" s="365">
        <f t="shared" si="2"/>
        <v>130000</v>
      </c>
      <c r="H9" s="257" t="s">
        <v>196</v>
      </c>
      <c r="I9" s="44" t="s">
        <v>768</v>
      </c>
      <c r="J9" s="44" t="s">
        <v>769</v>
      </c>
      <c r="K9" s="44" t="s">
        <v>770</v>
      </c>
      <c r="L9" s="44" t="s">
        <v>772</v>
      </c>
      <c r="M9" s="34" t="s">
        <v>774</v>
      </c>
      <c r="N9" s="366" t="s">
        <v>776</v>
      </c>
      <c r="O9" s="44" t="s">
        <v>140</v>
      </c>
      <c r="P9" s="44"/>
      <c r="Q9" s="308"/>
      <c r="R9" s="308"/>
      <c r="S9" s="308"/>
      <c r="T9" s="308"/>
      <c r="U9" s="308"/>
      <c r="V9" s="308"/>
      <c r="W9" s="308"/>
      <c r="X9" s="308"/>
      <c r="Y9" s="308"/>
      <c r="Z9" s="308"/>
    </row>
    <row r="10">
      <c r="A10" s="59">
        <v>1.0</v>
      </c>
      <c r="B10" s="59" t="s">
        <v>799</v>
      </c>
      <c r="C10" s="59">
        <v>1.0</v>
      </c>
      <c r="D10" s="58">
        <v>0.0</v>
      </c>
      <c r="E10" s="59">
        <f t="shared" si="1"/>
        <v>1</v>
      </c>
      <c r="F10" s="367">
        <v>130000.0</v>
      </c>
      <c r="G10" s="367">
        <f t="shared" si="2"/>
        <v>130000</v>
      </c>
      <c r="H10" s="258" t="s">
        <v>111</v>
      </c>
      <c r="I10" s="59" t="s">
        <v>768</v>
      </c>
      <c r="J10" s="59" t="s">
        <v>769</v>
      </c>
      <c r="K10" s="59" t="s">
        <v>770</v>
      </c>
      <c r="L10" s="59" t="s">
        <v>772</v>
      </c>
      <c r="M10" s="69" t="s">
        <v>774</v>
      </c>
      <c r="N10" s="368" t="s">
        <v>776</v>
      </c>
      <c r="O10" s="59" t="s">
        <v>140</v>
      </c>
      <c r="P10" s="59"/>
      <c r="Q10" s="308"/>
      <c r="R10" s="308"/>
      <c r="S10" s="308"/>
      <c r="T10" s="308"/>
      <c r="U10" s="308"/>
      <c r="V10" s="308"/>
      <c r="W10" s="308"/>
      <c r="X10" s="308"/>
      <c r="Y10" s="308"/>
      <c r="Z10" s="308"/>
    </row>
    <row r="11">
      <c r="A11" s="44">
        <v>2.0</v>
      </c>
      <c r="B11" s="44" t="s">
        <v>802</v>
      </c>
      <c r="C11" s="44">
        <v>1.0</v>
      </c>
      <c r="D11" s="44">
        <v>1.0</v>
      </c>
      <c r="E11" s="44">
        <f t="shared" si="1"/>
        <v>0</v>
      </c>
      <c r="F11" s="365">
        <v>105000.0</v>
      </c>
      <c r="G11" s="365">
        <f t="shared" si="2"/>
        <v>105000</v>
      </c>
      <c r="H11" s="257" t="s">
        <v>276</v>
      </c>
      <c r="I11" s="44" t="s">
        <v>768</v>
      </c>
      <c r="J11" s="44" t="s">
        <v>769</v>
      </c>
      <c r="K11" s="44" t="s">
        <v>770</v>
      </c>
      <c r="L11" s="44" t="s">
        <v>772</v>
      </c>
      <c r="M11" s="34" t="s">
        <v>774</v>
      </c>
      <c r="N11" s="366" t="s">
        <v>776</v>
      </c>
      <c r="O11" s="44" t="s">
        <v>140</v>
      </c>
      <c r="P11" s="44"/>
      <c r="Q11" s="308"/>
      <c r="R11" s="308"/>
      <c r="S11" s="308"/>
      <c r="T11" s="308"/>
      <c r="U11" s="308"/>
      <c r="V11" s="308"/>
      <c r="W11" s="308"/>
      <c r="X11" s="308"/>
      <c r="Y11" s="308"/>
      <c r="Z11" s="308"/>
    </row>
    <row r="12">
      <c r="A12" s="59">
        <v>2.0</v>
      </c>
      <c r="B12" s="59" t="s">
        <v>802</v>
      </c>
      <c r="C12" s="59">
        <v>1.0</v>
      </c>
      <c r="D12" s="59">
        <v>1.0</v>
      </c>
      <c r="E12" s="59">
        <f t="shared" si="1"/>
        <v>0</v>
      </c>
      <c r="F12" s="367">
        <v>105000.0</v>
      </c>
      <c r="G12" s="367">
        <f t="shared" si="2"/>
        <v>105000</v>
      </c>
      <c r="H12" s="258" t="s">
        <v>800</v>
      </c>
      <c r="I12" s="59" t="s">
        <v>768</v>
      </c>
      <c r="J12" s="59" t="s">
        <v>769</v>
      </c>
      <c r="K12" s="59" t="s">
        <v>770</v>
      </c>
      <c r="L12" s="59" t="s">
        <v>772</v>
      </c>
      <c r="M12" s="69" t="s">
        <v>774</v>
      </c>
      <c r="N12" s="368" t="s">
        <v>776</v>
      </c>
      <c r="O12" s="59" t="s">
        <v>140</v>
      </c>
      <c r="P12" s="59"/>
      <c r="Q12" s="308"/>
      <c r="R12" s="308"/>
      <c r="S12" s="308"/>
      <c r="T12" s="308"/>
      <c r="U12" s="308"/>
      <c r="V12" s="308"/>
      <c r="W12" s="308"/>
      <c r="X12" s="308"/>
      <c r="Y12" s="308"/>
      <c r="Z12" s="308"/>
    </row>
    <row r="13">
      <c r="A13" s="44">
        <v>2.0</v>
      </c>
      <c r="B13" s="44" t="s">
        <v>802</v>
      </c>
      <c r="C13" s="44">
        <v>1.0</v>
      </c>
      <c r="D13" s="44">
        <v>1.0</v>
      </c>
      <c r="E13" s="44">
        <f t="shared" si="1"/>
        <v>0</v>
      </c>
      <c r="F13" s="365">
        <v>105000.0</v>
      </c>
      <c r="G13" s="365">
        <f t="shared" si="2"/>
        <v>105000</v>
      </c>
      <c r="H13" s="257" t="s">
        <v>160</v>
      </c>
      <c r="I13" s="44" t="s">
        <v>768</v>
      </c>
      <c r="J13" s="44" t="s">
        <v>769</v>
      </c>
      <c r="K13" s="44" t="s">
        <v>770</v>
      </c>
      <c r="L13" s="44" t="s">
        <v>772</v>
      </c>
      <c r="M13" s="34" t="s">
        <v>774</v>
      </c>
      <c r="N13" s="366" t="s">
        <v>776</v>
      </c>
      <c r="O13" s="44" t="s">
        <v>140</v>
      </c>
      <c r="P13" s="44"/>
      <c r="Q13" s="308"/>
      <c r="R13" s="308"/>
      <c r="S13" s="308"/>
      <c r="T13" s="308"/>
      <c r="U13" s="308"/>
      <c r="V13" s="308"/>
      <c r="W13" s="308"/>
      <c r="X13" s="308"/>
      <c r="Y13" s="308"/>
      <c r="Z13" s="308"/>
    </row>
    <row r="14">
      <c r="A14" s="59">
        <v>2.0</v>
      </c>
      <c r="B14" s="59" t="s">
        <v>802</v>
      </c>
      <c r="C14" s="59">
        <v>1.0</v>
      </c>
      <c r="D14" s="59">
        <v>1.0</v>
      </c>
      <c r="E14" s="59">
        <f t="shared" si="1"/>
        <v>0</v>
      </c>
      <c r="F14" s="367">
        <v>105000.0</v>
      </c>
      <c r="G14" s="367">
        <f t="shared" si="2"/>
        <v>105000</v>
      </c>
      <c r="H14" s="258" t="s">
        <v>134</v>
      </c>
      <c r="I14" s="59" t="s">
        <v>768</v>
      </c>
      <c r="J14" s="59" t="s">
        <v>769</v>
      </c>
      <c r="K14" s="59" t="s">
        <v>770</v>
      </c>
      <c r="L14" s="59" t="s">
        <v>772</v>
      </c>
      <c r="M14" s="69" t="s">
        <v>774</v>
      </c>
      <c r="N14" s="368" t="s">
        <v>776</v>
      </c>
      <c r="O14" s="59" t="s">
        <v>140</v>
      </c>
      <c r="P14" s="59"/>
      <c r="Q14" s="308"/>
      <c r="R14" s="308"/>
      <c r="S14" s="308"/>
      <c r="T14" s="308"/>
      <c r="U14" s="308"/>
      <c r="V14" s="308"/>
      <c r="W14" s="308"/>
      <c r="X14" s="308"/>
      <c r="Y14" s="308"/>
      <c r="Z14" s="308"/>
    </row>
    <row r="15">
      <c r="A15" s="44">
        <v>2.0</v>
      </c>
      <c r="B15" s="44" t="s">
        <v>802</v>
      </c>
      <c r="C15" s="44">
        <v>1.0</v>
      </c>
      <c r="D15" s="44">
        <v>1.0</v>
      </c>
      <c r="E15" s="44">
        <f t="shared" si="1"/>
        <v>0</v>
      </c>
      <c r="F15" s="365">
        <v>105000.0</v>
      </c>
      <c r="G15" s="365">
        <f t="shared" si="2"/>
        <v>105000</v>
      </c>
      <c r="H15" s="257" t="s">
        <v>801</v>
      </c>
      <c r="I15" s="44" t="s">
        <v>768</v>
      </c>
      <c r="J15" s="44" t="s">
        <v>769</v>
      </c>
      <c r="K15" s="44" t="s">
        <v>770</v>
      </c>
      <c r="L15" s="44" t="s">
        <v>772</v>
      </c>
      <c r="M15" s="34" t="s">
        <v>774</v>
      </c>
      <c r="N15" s="366" t="s">
        <v>776</v>
      </c>
      <c r="O15" s="44" t="s">
        <v>140</v>
      </c>
      <c r="P15" s="44"/>
      <c r="Q15" s="308"/>
      <c r="R15" s="308"/>
      <c r="S15" s="308"/>
      <c r="T15" s="308"/>
      <c r="U15" s="308"/>
      <c r="V15" s="308"/>
      <c r="W15" s="308"/>
      <c r="X15" s="308"/>
      <c r="Y15" s="308"/>
      <c r="Z15" s="308"/>
    </row>
    <row r="16">
      <c r="A16" s="59">
        <v>2.0</v>
      </c>
      <c r="B16" s="59" t="s">
        <v>802</v>
      </c>
      <c r="C16" s="59">
        <v>1.0</v>
      </c>
      <c r="D16" s="111">
        <v>1.0</v>
      </c>
      <c r="E16" s="59">
        <f t="shared" si="1"/>
        <v>0</v>
      </c>
      <c r="F16" s="367">
        <v>105000.0</v>
      </c>
      <c r="G16" s="367">
        <f t="shared" si="2"/>
        <v>105000</v>
      </c>
      <c r="H16" s="258" t="s">
        <v>154</v>
      </c>
      <c r="I16" s="59" t="s">
        <v>768</v>
      </c>
      <c r="J16" s="59" t="s">
        <v>769</v>
      </c>
      <c r="K16" s="59" t="s">
        <v>770</v>
      </c>
      <c r="L16" s="59" t="s">
        <v>772</v>
      </c>
      <c r="M16" s="69" t="s">
        <v>774</v>
      </c>
      <c r="N16" s="368" t="s">
        <v>776</v>
      </c>
      <c r="O16" s="59" t="s">
        <v>140</v>
      </c>
      <c r="P16" s="59"/>
      <c r="Q16" s="308"/>
      <c r="R16" s="308"/>
      <c r="S16" s="308"/>
      <c r="T16" s="308"/>
      <c r="U16" s="308"/>
      <c r="V16" s="308"/>
      <c r="W16" s="308"/>
      <c r="X16" s="308"/>
      <c r="Y16" s="308"/>
      <c r="Z16" s="308"/>
    </row>
    <row r="17">
      <c r="A17" s="44">
        <v>2.0</v>
      </c>
      <c r="B17" s="44" t="s">
        <v>802</v>
      </c>
      <c r="C17" s="44">
        <v>1.0</v>
      </c>
      <c r="D17" s="44">
        <v>0.0</v>
      </c>
      <c r="E17" s="44">
        <f t="shared" si="1"/>
        <v>1</v>
      </c>
      <c r="F17" s="365">
        <v>105000.0</v>
      </c>
      <c r="G17" s="365">
        <f t="shared" si="2"/>
        <v>105000</v>
      </c>
      <c r="H17" s="257" t="s">
        <v>196</v>
      </c>
      <c r="I17" s="44" t="s">
        <v>768</v>
      </c>
      <c r="J17" s="44" t="s">
        <v>769</v>
      </c>
      <c r="K17" s="44" t="s">
        <v>770</v>
      </c>
      <c r="L17" s="44" t="s">
        <v>772</v>
      </c>
      <c r="M17" s="34" t="s">
        <v>774</v>
      </c>
      <c r="N17" s="366" t="s">
        <v>776</v>
      </c>
      <c r="O17" s="44" t="s">
        <v>140</v>
      </c>
      <c r="P17" s="44"/>
      <c r="Q17" s="308"/>
      <c r="R17" s="308"/>
      <c r="S17" s="308"/>
      <c r="T17" s="308"/>
      <c r="U17" s="308"/>
      <c r="V17" s="308"/>
      <c r="W17" s="308"/>
      <c r="X17" s="308"/>
      <c r="Y17" s="308"/>
      <c r="Z17" s="308"/>
    </row>
    <row r="18">
      <c r="A18" s="59">
        <v>2.0</v>
      </c>
      <c r="B18" s="59" t="s">
        <v>802</v>
      </c>
      <c r="C18" s="59">
        <v>1.0</v>
      </c>
      <c r="D18" s="58">
        <v>0.0</v>
      </c>
      <c r="E18" s="59">
        <f t="shared" si="1"/>
        <v>1</v>
      </c>
      <c r="F18" s="367">
        <v>105000.0</v>
      </c>
      <c r="G18" s="367">
        <f t="shared" si="2"/>
        <v>105000</v>
      </c>
      <c r="H18" s="258" t="s">
        <v>111</v>
      </c>
      <c r="I18" s="59" t="s">
        <v>768</v>
      </c>
      <c r="J18" s="59" t="s">
        <v>769</v>
      </c>
      <c r="K18" s="59" t="s">
        <v>770</v>
      </c>
      <c r="L18" s="59" t="s">
        <v>772</v>
      </c>
      <c r="M18" s="69" t="s">
        <v>774</v>
      </c>
      <c r="N18" s="368" t="s">
        <v>776</v>
      </c>
      <c r="O18" s="59" t="s">
        <v>140</v>
      </c>
      <c r="P18" s="59"/>
      <c r="Q18" s="308"/>
      <c r="R18" s="308"/>
      <c r="S18" s="308"/>
      <c r="T18" s="308"/>
      <c r="U18" s="308"/>
      <c r="V18" s="308"/>
      <c r="W18" s="308"/>
      <c r="X18" s="308"/>
      <c r="Y18" s="308"/>
      <c r="Z18" s="308"/>
    </row>
    <row r="19">
      <c r="A19" s="369"/>
      <c r="B19" s="369"/>
      <c r="C19" s="369"/>
      <c r="D19" s="369"/>
      <c r="E19" s="369"/>
      <c r="F19" s="370"/>
      <c r="G19" s="364"/>
      <c r="H19" s="371"/>
      <c r="I19" s="369"/>
      <c r="J19" s="369"/>
      <c r="K19" s="369"/>
      <c r="L19" s="369"/>
      <c r="M19" s="369"/>
      <c r="N19" s="369"/>
      <c r="O19" s="369"/>
      <c r="P19" s="369"/>
    </row>
    <row r="20">
      <c r="A20" s="369"/>
      <c r="B20" s="369"/>
      <c r="C20" s="369"/>
      <c r="D20" s="369"/>
      <c r="E20" s="369"/>
      <c r="F20" s="370"/>
      <c r="G20" s="364"/>
      <c r="H20" s="371"/>
      <c r="I20" s="369"/>
      <c r="J20" s="369"/>
      <c r="K20" s="369"/>
      <c r="L20" s="369"/>
      <c r="M20" s="369"/>
      <c r="N20" s="369"/>
      <c r="O20" s="369"/>
      <c r="P20" s="369"/>
    </row>
    <row r="21" ht="15.75" customHeight="1">
      <c r="A21" s="369"/>
      <c r="B21" s="369"/>
      <c r="C21" s="369"/>
      <c r="D21" s="369"/>
      <c r="E21" s="369"/>
      <c r="F21" s="370"/>
      <c r="G21" s="364"/>
      <c r="H21" s="371"/>
      <c r="I21" s="369"/>
      <c r="J21" s="369"/>
      <c r="K21" s="369"/>
      <c r="L21" s="369"/>
      <c r="M21" s="369"/>
      <c r="N21" s="369"/>
      <c r="O21" s="369"/>
      <c r="P21" s="36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Z$18"/>
  <conditionalFormatting sqref="E2:E18">
    <cfRule type="cellIs" dxfId="1" priority="1" operator="equal">
      <formula>0</formula>
    </cfRule>
  </conditionalFormatting>
  <hyperlinks>
    <hyperlink r:id="rId2" ref="M3"/>
    <hyperlink r:id="rId3" ref="M4"/>
  </hyperlinks>
  <printOptions/>
  <pageMargins bottom="0.75" footer="0.0" header="0.0" left="0.7" right="0.7" top="0.75"/>
  <pageSetup orientation="landscape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3" width="16.5"/>
    <col customWidth="1" min="4" max="4" width="14.5"/>
    <col customWidth="1" min="5" max="6" width="16.5"/>
    <col customWidth="1" min="7" max="7" width="21.0"/>
    <col customWidth="1" min="8" max="8" width="17.88"/>
    <col customWidth="1" min="9" max="10" width="16.5"/>
    <col customWidth="1" min="11" max="11" width="16.63"/>
    <col customWidth="1" min="12" max="12" width="33.5"/>
    <col customWidth="1" min="13" max="13" width="14.5"/>
    <col customWidth="1" min="14" max="14" width="21.0"/>
    <col customWidth="1" min="15" max="16" width="14.5"/>
    <col customWidth="1" min="17" max="17" width="16.5"/>
    <col customWidth="1" min="18" max="26" width="9.0"/>
  </cols>
  <sheetData>
    <row r="1">
      <c r="A1" s="372" t="s">
        <v>803</v>
      </c>
      <c r="B1" s="373"/>
      <c r="C1" s="374"/>
      <c r="D1" s="279" t="s">
        <v>709</v>
      </c>
      <c r="E1" s="264"/>
      <c r="F1" s="264"/>
      <c r="G1" s="264"/>
      <c r="H1" s="264"/>
      <c r="I1" s="264"/>
      <c r="J1" s="264"/>
      <c r="K1" s="264"/>
      <c r="L1" s="264"/>
      <c r="M1" s="264"/>
      <c r="N1" s="265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</row>
    <row r="2">
      <c r="A2" s="375" t="s">
        <v>2</v>
      </c>
      <c r="B2" s="376" t="s">
        <v>3</v>
      </c>
      <c r="C2" s="377" t="s">
        <v>4</v>
      </c>
      <c r="D2" s="376" t="s">
        <v>5</v>
      </c>
      <c r="E2" s="377" t="s">
        <v>6</v>
      </c>
      <c r="F2" s="377" t="s">
        <v>7</v>
      </c>
      <c r="G2" s="378" t="s">
        <v>26</v>
      </c>
      <c r="H2" s="378" t="s">
        <v>27</v>
      </c>
      <c r="I2" s="377" t="s">
        <v>28</v>
      </c>
      <c r="J2" s="377" t="s">
        <v>14</v>
      </c>
      <c r="K2" s="377" t="s">
        <v>15</v>
      </c>
      <c r="L2" s="377" t="s">
        <v>16</v>
      </c>
      <c r="M2" s="377" t="s">
        <v>18</v>
      </c>
      <c r="N2" s="377" t="s">
        <v>19</v>
      </c>
      <c r="O2" s="377" t="s">
        <v>20</v>
      </c>
      <c r="P2" s="379" t="s">
        <v>21</v>
      </c>
      <c r="Q2" s="380" t="s">
        <v>22</v>
      </c>
      <c r="R2" s="374"/>
      <c r="S2" s="374"/>
      <c r="T2" s="374"/>
      <c r="U2" s="374"/>
      <c r="V2" s="374"/>
      <c r="W2" s="374"/>
      <c r="X2" s="374"/>
      <c r="Y2" s="374"/>
      <c r="Z2" s="374"/>
    </row>
    <row r="3">
      <c r="A3" s="381">
        <v>1.0</v>
      </c>
      <c r="B3" s="381" t="s">
        <v>24</v>
      </c>
      <c r="C3" s="382" t="s">
        <v>25</v>
      </c>
      <c r="D3" s="381">
        <v>17.0</v>
      </c>
      <c r="E3" s="381">
        <v>13.0</v>
      </c>
      <c r="F3" s="381">
        <f t="shared" ref="F3:F4" si="1">D3-E3</f>
        <v>4</v>
      </c>
      <c r="G3" s="383">
        <v>334800.0</v>
      </c>
      <c r="H3" s="383"/>
      <c r="I3" s="381"/>
      <c r="J3" s="381" t="s">
        <v>32</v>
      </c>
      <c r="K3" s="381" t="s">
        <v>33</v>
      </c>
      <c r="L3" s="381" t="s">
        <v>35</v>
      </c>
      <c r="M3" s="381"/>
      <c r="N3" s="384" t="s">
        <v>37</v>
      </c>
      <c r="O3" s="381" t="s">
        <v>51</v>
      </c>
      <c r="P3" s="385">
        <v>45679.0</v>
      </c>
      <c r="Q3" s="381"/>
      <c r="R3" s="386"/>
      <c r="S3" s="386"/>
      <c r="T3" s="386"/>
      <c r="U3" s="386"/>
      <c r="V3" s="386"/>
      <c r="W3" s="386"/>
      <c r="X3" s="386"/>
      <c r="Y3" s="386"/>
      <c r="Z3" s="386"/>
    </row>
    <row r="4">
      <c r="A4" s="381">
        <v>2.0</v>
      </c>
      <c r="B4" s="381" t="s">
        <v>55</v>
      </c>
      <c r="C4" s="381" t="s">
        <v>57</v>
      </c>
      <c r="D4" s="381">
        <v>13.0</v>
      </c>
      <c r="E4" s="381">
        <v>2.0</v>
      </c>
      <c r="F4" s="381">
        <f t="shared" si="1"/>
        <v>11</v>
      </c>
      <c r="G4" s="383">
        <v>529000.0</v>
      </c>
      <c r="H4" s="383"/>
      <c r="I4" s="381"/>
      <c r="J4" s="381" t="s">
        <v>32</v>
      </c>
      <c r="K4" s="381" t="s">
        <v>70</v>
      </c>
      <c r="L4" s="381" t="s">
        <v>72</v>
      </c>
      <c r="M4" s="381"/>
      <c r="N4" s="381"/>
      <c r="O4" s="381" t="s">
        <v>77</v>
      </c>
      <c r="P4" s="385">
        <v>45679.0</v>
      </c>
      <c r="Q4" s="381"/>
      <c r="R4" s="386"/>
      <c r="S4" s="386"/>
      <c r="T4" s="386"/>
      <c r="U4" s="386"/>
      <c r="V4" s="386"/>
      <c r="W4" s="386"/>
      <c r="X4" s="386"/>
      <c r="Y4" s="386"/>
      <c r="Z4" s="386"/>
    </row>
    <row r="5">
      <c r="A5" s="386"/>
      <c r="B5" s="386"/>
      <c r="C5" s="386"/>
      <c r="D5" s="386"/>
      <c r="E5" s="386"/>
      <c r="F5" s="386"/>
      <c r="G5" s="387"/>
      <c r="H5" s="387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</row>
    <row r="6">
      <c r="A6" s="386"/>
      <c r="B6" s="386"/>
      <c r="C6" s="386"/>
      <c r="D6" s="386"/>
      <c r="E6" s="386"/>
      <c r="F6" s="386"/>
      <c r="G6" s="387"/>
      <c r="H6" s="387"/>
      <c r="I6" s="386"/>
      <c r="J6" s="386"/>
      <c r="K6" s="386"/>
      <c r="L6" s="386"/>
      <c r="M6" s="386"/>
      <c r="N6" s="386"/>
      <c r="O6" s="386"/>
      <c r="P6" s="386"/>
      <c r="Q6" s="386"/>
      <c r="R6" s="386"/>
      <c r="S6" s="386"/>
      <c r="T6" s="386"/>
      <c r="U6" s="386"/>
      <c r="V6" s="386"/>
      <c r="W6" s="386"/>
      <c r="X6" s="386"/>
      <c r="Y6" s="386"/>
      <c r="Z6" s="386"/>
    </row>
    <row r="7">
      <c r="A7" s="374"/>
      <c r="B7" s="374"/>
      <c r="C7" s="374"/>
      <c r="D7" s="374"/>
      <c r="E7" s="374"/>
      <c r="F7" s="374"/>
      <c r="G7" s="388"/>
      <c r="H7" s="388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  <c r="T7" s="374"/>
      <c r="U7" s="374"/>
      <c r="V7" s="374"/>
      <c r="W7" s="374"/>
      <c r="X7" s="374"/>
      <c r="Y7" s="374"/>
      <c r="Z7" s="374"/>
    </row>
    <row r="8">
      <c r="A8" s="374"/>
      <c r="B8" s="374"/>
      <c r="C8" s="374"/>
      <c r="D8" s="374"/>
      <c r="E8" s="374"/>
      <c r="F8" s="374"/>
      <c r="G8" s="388"/>
      <c r="H8" s="388"/>
      <c r="I8" s="374"/>
      <c r="J8" s="374"/>
      <c r="K8" s="374"/>
      <c r="L8" s="374"/>
      <c r="M8" s="374"/>
      <c r="N8" s="374"/>
      <c r="O8" s="374"/>
      <c r="P8" s="374"/>
      <c r="Q8" s="374"/>
      <c r="R8" s="374"/>
      <c r="S8" s="374"/>
      <c r="T8" s="374"/>
      <c r="U8" s="374"/>
      <c r="V8" s="374"/>
      <c r="W8" s="374"/>
      <c r="X8" s="374"/>
      <c r="Y8" s="374"/>
      <c r="Z8" s="374"/>
    </row>
    <row r="9">
      <c r="A9" s="374"/>
      <c r="B9" s="374"/>
      <c r="C9" s="374"/>
      <c r="D9" s="374"/>
      <c r="E9" s="374"/>
      <c r="F9" s="374"/>
      <c r="G9" s="388"/>
      <c r="H9" s="388"/>
      <c r="I9" s="374"/>
      <c r="J9" s="374"/>
      <c r="K9" s="374"/>
      <c r="L9" s="374"/>
      <c r="M9" s="374"/>
      <c r="N9" s="374"/>
      <c r="O9" s="374"/>
      <c r="P9" s="374"/>
      <c r="Q9" s="374"/>
      <c r="R9" s="374"/>
      <c r="S9" s="374"/>
      <c r="T9" s="374"/>
      <c r="U9" s="374"/>
      <c r="V9" s="374"/>
      <c r="W9" s="374"/>
      <c r="X9" s="374"/>
      <c r="Y9" s="374"/>
      <c r="Z9" s="374"/>
    </row>
    <row r="10">
      <c r="A10" s="374"/>
      <c r="B10" s="374"/>
      <c r="C10" s="374"/>
      <c r="D10" s="374"/>
      <c r="E10" s="374"/>
      <c r="F10" s="374"/>
      <c r="G10" s="388"/>
      <c r="H10" s="388"/>
      <c r="I10" s="374"/>
      <c r="J10" s="374"/>
      <c r="K10" s="374"/>
      <c r="L10" s="374"/>
      <c r="M10" s="374"/>
      <c r="N10" s="374"/>
      <c r="O10" s="374"/>
      <c r="P10" s="374"/>
      <c r="Q10" s="374"/>
      <c r="R10" s="374"/>
      <c r="S10" s="374"/>
      <c r="T10" s="374"/>
      <c r="U10" s="374"/>
      <c r="V10" s="374"/>
      <c r="W10" s="374"/>
      <c r="X10" s="374"/>
      <c r="Y10" s="374"/>
      <c r="Z10" s="374"/>
    </row>
    <row r="11">
      <c r="A11" s="374"/>
      <c r="B11" s="374"/>
      <c r="C11" s="374"/>
      <c r="D11" s="374"/>
      <c r="E11" s="374"/>
      <c r="F11" s="374"/>
      <c r="G11" s="388"/>
      <c r="H11" s="388"/>
      <c r="I11" s="374"/>
      <c r="J11" s="374"/>
      <c r="K11" s="374"/>
      <c r="L11" s="374"/>
      <c r="M11" s="374"/>
      <c r="N11" s="374"/>
      <c r="O11" s="374"/>
      <c r="P11" s="374"/>
      <c r="Q11" s="374"/>
      <c r="R11" s="374"/>
      <c r="S11" s="374"/>
      <c r="T11" s="374"/>
      <c r="U11" s="374"/>
      <c r="V11" s="374"/>
      <c r="W11" s="374"/>
      <c r="X11" s="374"/>
      <c r="Y11" s="374"/>
      <c r="Z11" s="374"/>
    </row>
    <row r="12">
      <c r="A12" s="374"/>
      <c r="B12" s="374"/>
      <c r="C12" s="374"/>
      <c r="D12" s="374"/>
      <c r="E12" s="374"/>
      <c r="F12" s="374"/>
      <c r="G12" s="388"/>
      <c r="H12" s="388"/>
      <c r="I12" s="374"/>
      <c r="J12" s="374"/>
      <c r="K12" s="374"/>
      <c r="L12" s="374"/>
      <c r="M12" s="374"/>
      <c r="N12" s="374"/>
      <c r="O12" s="374"/>
      <c r="P12" s="374"/>
      <c r="Q12" s="374"/>
      <c r="R12" s="374"/>
      <c r="S12" s="374"/>
      <c r="T12" s="374"/>
      <c r="U12" s="374"/>
      <c r="V12" s="374"/>
      <c r="W12" s="374"/>
      <c r="X12" s="374"/>
      <c r="Y12" s="374"/>
      <c r="Z12" s="374"/>
    </row>
    <row r="13">
      <c r="A13" s="374"/>
      <c r="B13" s="374"/>
      <c r="C13" s="374"/>
      <c r="D13" s="374"/>
      <c r="E13" s="374"/>
      <c r="F13" s="374"/>
      <c r="G13" s="388"/>
      <c r="H13" s="388"/>
      <c r="I13" s="374"/>
      <c r="J13" s="374"/>
      <c r="K13" s="374"/>
      <c r="L13" s="374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</row>
    <row r="14">
      <c r="A14" s="374"/>
      <c r="B14" s="374"/>
      <c r="C14" s="374"/>
      <c r="D14" s="374"/>
      <c r="E14" s="374"/>
      <c r="F14" s="374"/>
      <c r="G14" s="388"/>
      <c r="H14" s="388"/>
      <c r="I14" s="374"/>
      <c r="J14" s="374"/>
      <c r="K14" s="374"/>
      <c r="L14" s="374"/>
      <c r="M14" s="374"/>
      <c r="N14" s="374"/>
      <c r="O14" s="374"/>
      <c r="P14" s="374"/>
      <c r="Q14" s="374"/>
      <c r="R14" s="374"/>
      <c r="S14" s="374"/>
      <c r="T14" s="374"/>
      <c r="U14" s="374"/>
      <c r="V14" s="374"/>
      <c r="W14" s="374"/>
      <c r="X14" s="374"/>
      <c r="Y14" s="374"/>
      <c r="Z14" s="374"/>
    </row>
    <row r="15">
      <c r="A15" s="374"/>
      <c r="B15" s="374"/>
      <c r="C15" s="374"/>
      <c r="D15" s="374"/>
      <c r="E15" s="374"/>
      <c r="F15" s="374"/>
      <c r="G15" s="388"/>
      <c r="H15" s="388"/>
      <c r="I15" s="374"/>
      <c r="J15" s="374"/>
      <c r="K15" s="374"/>
      <c r="L15" s="374"/>
      <c r="M15" s="374"/>
      <c r="N15" s="374"/>
      <c r="O15" s="374"/>
      <c r="P15" s="374"/>
      <c r="Q15" s="374"/>
      <c r="R15" s="374"/>
      <c r="S15" s="374"/>
      <c r="T15" s="374"/>
      <c r="U15" s="374"/>
      <c r="V15" s="374"/>
      <c r="W15" s="374"/>
      <c r="X15" s="374"/>
      <c r="Y15" s="374"/>
      <c r="Z15" s="374"/>
    </row>
    <row r="16">
      <c r="A16" s="374"/>
      <c r="B16" s="374"/>
      <c r="C16" s="374"/>
      <c r="D16" s="374"/>
      <c r="E16" s="374"/>
      <c r="F16" s="374"/>
      <c r="G16" s="388"/>
      <c r="H16" s="388"/>
      <c r="I16" s="374"/>
      <c r="J16" s="374"/>
      <c r="K16" s="374"/>
      <c r="L16" s="374"/>
      <c r="M16" s="374"/>
      <c r="N16" s="374"/>
      <c r="O16" s="374"/>
      <c r="P16" s="374"/>
      <c r="Q16" s="374"/>
      <c r="R16" s="374"/>
      <c r="S16" s="374"/>
      <c r="T16" s="374"/>
      <c r="U16" s="374"/>
      <c r="V16" s="374"/>
      <c r="W16" s="374"/>
      <c r="X16" s="374"/>
      <c r="Y16" s="374"/>
      <c r="Z16" s="374"/>
    </row>
    <row r="17">
      <c r="A17" s="374"/>
      <c r="B17" s="374"/>
      <c r="C17" s="374"/>
      <c r="D17" s="374"/>
      <c r="E17" s="374"/>
      <c r="F17" s="374"/>
      <c r="G17" s="388"/>
      <c r="H17" s="388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</row>
    <row r="18">
      <c r="A18" s="374"/>
      <c r="B18" s="374"/>
      <c r="C18" s="374"/>
      <c r="D18" s="374"/>
      <c r="E18" s="374"/>
      <c r="F18" s="374"/>
      <c r="G18" s="388"/>
      <c r="H18" s="388"/>
      <c r="I18" s="374"/>
      <c r="J18" s="374"/>
      <c r="K18" s="374"/>
      <c r="L18" s="374"/>
      <c r="M18" s="374"/>
      <c r="N18" s="374"/>
      <c r="O18" s="374"/>
      <c r="P18" s="374"/>
      <c r="Q18" s="374"/>
      <c r="R18" s="374"/>
      <c r="S18" s="374"/>
      <c r="T18" s="374"/>
      <c r="U18" s="374"/>
      <c r="V18" s="374"/>
      <c r="W18" s="374"/>
      <c r="X18" s="374"/>
      <c r="Y18" s="374"/>
      <c r="Z18" s="374"/>
    </row>
    <row r="19">
      <c r="A19" s="374"/>
      <c r="B19" s="374"/>
      <c r="C19" s="374"/>
      <c r="D19" s="374"/>
      <c r="E19" s="374"/>
      <c r="F19" s="374"/>
      <c r="G19" s="388"/>
      <c r="H19" s="388"/>
      <c r="I19" s="374"/>
      <c r="J19" s="374"/>
      <c r="K19" s="374"/>
      <c r="L19" s="374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</row>
    <row r="20">
      <c r="A20" s="374"/>
      <c r="B20" s="374"/>
      <c r="C20" s="374"/>
      <c r="D20" s="374"/>
      <c r="E20" s="374"/>
      <c r="F20" s="374"/>
      <c r="G20" s="388"/>
      <c r="H20" s="388"/>
      <c r="I20" s="374"/>
      <c r="J20" s="374"/>
      <c r="K20" s="374"/>
      <c r="L20" s="374"/>
      <c r="M20" s="374"/>
      <c r="N20" s="374"/>
      <c r="O20" s="374"/>
      <c r="P20" s="374"/>
      <c r="Q20" s="374"/>
      <c r="R20" s="374"/>
      <c r="S20" s="374"/>
      <c r="T20" s="374"/>
      <c r="U20" s="374"/>
      <c r="V20" s="374"/>
      <c r="W20" s="374"/>
      <c r="X20" s="374"/>
      <c r="Y20" s="374"/>
      <c r="Z20" s="374"/>
    </row>
    <row r="21" ht="15.75" customHeight="1">
      <c r="A21" s="374"/>
      <c r="B21" s="374"/>
      <c r="C21" s="374"/>
      <c r="D21" s="374"/>
      <c r="E21" s="374"/>
      <c r="F21" s="374"/>
      <c r="G21" s="388"/>
      <c r="H21" s="388"/>
      <c r="I21" s="374"/>
      <c r="J21" s="374"/>
      <c r="K21" s="374"/>
      <c r="L21" s="374"/>
      <c r="M21" s="374"/>
      <c r="N21" s="374"/>
      <c r="O21" s="374"/>
      <c r="P21" s="374"/>
      <c r="Q21" s="374"/>
      <c r="R21" s="374"/>
      <c r="S21" s="374"/>
      <c r="T21" s="374"/>
      <c r="U21" s="374"/>
      <c r="V21" s="374"/>
      <c r="W21" s="374"/>
      <c r="X21" s="374"/>
      <c r="Y21" s="374"/>
      <c r="Z21" s="374"/>
    </row>
    <row r="22" ht="15.75" customHeight="1">
      <c r="A22" s="374"/>
      <c r="B22" s="374"/>
      <c r="C22" s="374"/>
      <c r="D22" s="374"/>
      <c r="E22" s="374"/>
      <c r="F22" s="374"/>
      <c r="G22" s="388"/>
      <c r="H22" s="388"/>
      <c r="I22" s="374"/>
      <c r="J22" s="374"/>
      <c r="K22" s="374"/>
      <c r="L22" s="374"/>
      <c r="M22" s="374"/>
      <c r="N22" s="374"/>
      <c r="O22" s="374"/>
      <c r="P22" s="374"/>
      <c r="Q22" s="374"/>
      <c r="R22" s="374"/>
      <c r="S22" s="374"/>
      <c r="T22" s="374"/>
      <c r="U22" s="374"/>
      <c r="V22" s="374"/>
      <c r="W22" s="374"/>
      <c r="X22" s="374"/>
      <c r="Y22" s="374"/>
      <c r="Z22" s="374"/>
    </row>
    <row r="23" ht="15.75" customHeight="1">
      <c r="A23" s="374"/>
      <c r="B23" s="374"/>
      <c r="C23" s="374"/>
      <c r="D23" s="374"/>
      <c r="E23" s="374"/>
      <c r="F23" s="374"/>
      <c r="G23" s="388"/>
      <c r="H23" s="388"/>
      <c r="I23" s="374"/>
      <c r="J23" s="374"/>
      <c r="K23" s="374"/>
      <c r="L23" s="374"/>
      <c r="M23" s="374"/>
      <c r="N23" s="374"/>
      <c r="O23" s="374"/>
      <c r="P23" s="374"/>
      <c r="Q23" s="374"/>
      <c r="R23" s="374"/>
      <c r="S23" s="374"/>
      <c r="T23" s="374"/>
      <c r="U23" s="374"/>
      <c r="V23" s="374"/>
      <c r="W23" s="374"/>
      <c r="X23" s="374"/>
      <c r="Y23" s="374"/>
      <c r="Z23" s="374"/>
    </row>
    <row r="24" ht="15.75" customHeight="1">
      <c r="A24" s="374"/>
      <c r="B24" s="374"/>
      <c r="C24" s="374"/>
      <c r="D24" s="374"/>
      <c r="E24" s="374"/>
      <c r="F24" s="374"/>
      <c r="G24" s="388"/>
      <c r="H24" s="388"/>
      <c r="I24" s="374"/>
      <c r="J24" s="374"/>
      <c r="K24" s="374"/>
      <c r="L24" s="374"/>
      <c r="M24" s="374"/>
      <c r="N24" s="374"/>
      <c r="O24" s="374"/>
      <c r="P24" s="374"/>
      <c r="Q24" s="374"/>
      <c r="R24" s="374"/>
      <c r="S24" s="374"/>
      <c r="T24" s="374"/>
      <c r="U24" s="374"/>
      <c r="V24" s="374"/>
      <c r="W24" s="374"/>
      <c r="X24" s="374"/>
      <c r="Y24" s="374"/>
      <c r="Z24" s="374"/>
    </row>
    <row r="25" ht="15.75" customHeight="1">
      <c r="A25" s="374"/>
      <c r="B25" s="374"/>
      <c r="C25" s="374"/>
      <c r="D25" s="374"/>
      <c r="E25" s="374"/>
      <c r="F25" s="374"/>
      <c r="G25" s="388"/>
      <c r="H25" s="388"/>
      <c r="I25" s="374"/>
      <c r="J25" s="374"/>
      <c r="K25" s="374"/>
      <c r="L25" s="374"/>
      <c r="M25" s="374"/>
      <c r="N25" s="374"/>
      <c r="O25" s="374"/>
      <c r="P25" s="374"/>
      <c r="Q25" s="374"/>
      <c r="R25" s="374"/>
      <c r="S25" s="374"/>
      <c r="T25" s="374"/>
      <c r="U25" s="374"/>
      <c r="V25" s="374"/>
      <c r="W25" s="374"/>
      <c r="X25" s="374"/>
      <c r="Y25" s="374"/>
      <c r="Z25" s="374"/>
    </row>
    <row r="26" ht="15.75" customHeight="1">
      <c r="A26" s="374"/>
      <c r="B26" s="374"/>
      <c r="C26" s="374"/>
      <c r="D26" s="374"/>
      <c r="E26" s="374"/>
      <c r="F26" s="374"/>
      <c r="G26" s="388"/>
      <c r="H26" s="388"/>
      <c r="I26" s="374"/>
      <c r="J26" s="374"/>
      <c r="K26" s="374"/>
      <c r="L26" s="374"/>
      <c r="M26" s="374"/>
      <c r="N26" s="374"/>
      <c r="O26" s="374"/>
      <c r="P26" s="374"/>
      <c r="Q26" s="374"/>
      <c r="R26" s="374"/>
      <c r="S26" s="374"/>
      <c r="T26" s="374"/>
      <c r="U26" s="374"/>
      <c r="V26" s="374"/>
      <c r="W26" s="374"/>
      <c r="X26" s="374"/>
      <c r="Y26" s="374"/>
      <c r="Z26" s="374"/>
    </row>
    <row r="27" ht="15.75" customHeight="1">
      <c r="A27" s="374"/>
      <c r="B27" s="374"/>
      <c r="C27" s="374"/>
      <c r="D27" s="374"/>
      <c r="E27" s="374"/>
      <c r="F27" s="374"/>
      <c r="G27" s="388"/>
      <c r="H27" s="388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4"/>
      <c r="T27" s="374"/>
      <c r="U27" s="374"/>
      <c r="V27" s="374"/>
      <c r="W27" s="374"/>
      <c r="X27" s="374"/>
      <c r="Y27" s="374"/>
      <c r="Z27" s="374"/>
    </row>
    <row r="28" ht="15.75" customHeight="1">
      <c r="A28" s="374"/>
      <c r="B28" s="374"/>
      <c r="C28" s="374"/>
      <c r="D28" s="374"/>
      <c r="E28" s="374"/>
      <c r="F28" s="374"/>
      <c r="G28" s="388"/>
      <c r="H28" s="388"/>
      <c r="I28" s="374"/>
      <c r="J28" s="374"/>
      <c r="K28" s="374"/>
      <c r="L28" s="374"/>
      <c r="M28" s="374"/>
      <c r="N28" s="374"/>
      <c r="O28" s="374"/>
      <c r="P28" s="374"/>
      <c r="Q28" s="374"/>
      <c r="R28" s="374"/>
      <c r="S28" s="374"/>
      <c r="T28" s="374"/>
      <c r="U28" s="374"/>
      <c r="V28" s="374"/>
      <c r="W28" s="374"/>
      <c r="X28" s="374"/>
      <c r="Y28" s="374"/>
      <c r="Z28" s="374"/>
    </row>
    <row r="29" ht="15.75" customHeight="1">
      <c r="A29" s="374"/>
      <c r="B29" s="374"/>
      <c r="C29" s="374"/>
      <c r="D29" s="374"/>
      <c r="E29" s="374"/>
      <c r="F29" s="374"/>
      <c r="G29" s="388"/>
      <c r="H29" s="388"/>
      <c r="I29" s="374"/>
      <c r="J29" s="374"/>
      <c r="K29" s="374"/>
      <c r="L29" s="374"/>
      <c r="M29" s="374"/>
      <c r="N29" s="374"/>
      <c r="O29" s="374"/>
      <c r="P29" s="374"/>
      <c r="Q29" s="374"/>
      <c r="R29" s="374"/>
      <c r="S29" s="374"/>
      <c r="T29" s="374"/>
      <c r="U29" s="374"/>
      <c r="V29" s="374"/>
      <c r="W29" s="374"/>
      <c r="X29" s="374"/>
      <c r="Y29" s="374"/>
      <c r="Z29" s="374"/>
    </row>
    <row r="30" ht="15.75" customHeight="1">
      <c r="A30" s="374"/>
      <c r="B30" s="374"/>
      <c r="C30" s="374"/>
      <c r="D30" s="374"/>
      <c r="E30" s="374"/>
      <c r="F30" s="374"/>
      <c r="G30" s="388"/>
      <c r="H30" s="388"/>
      <c r="I30" s="374"/>
      <c r="J30" s="374"/>
      <c r="K30" s="374"/>
      <c r="L30" s="374"/>
      <c r="M30" s="374"/>
      <c r="N30" s="374"/>
      <c r="O30" s="374"/>
      <c r="P30" s="374"/>
      <c r="Q30" s="374"/>
      <c r="R30" s="374"/>
      <c r="S30" s="374"/>
      <c r="T30" s="374"/>
      <c r="U30" s="374"/>
      <c r="V30" s="374"/>
      <c r="W30" s="374"/>
      <c r="X30" s="374"/>
      <c r="Y30" s="374"/>
      <c r="Z30" s="374"/>
    </row>
    <row r="31" ht="15.75" customHeight="1">
      <c r="A31" s="374"/>
      <c r="B31" s="374"/>
      <c r="C31" s="374"/>
      <c r="D31" s="374"/>
      <c r="E31" s="374"/>
      <c r="F31" s="374"/>
      <c r="G31" s="388"/>
      <c r="H31" s="388"/>
      <c r="I31" s="374"/>
      <c r="J31" s="374"/>
      <c r="K31" s="374"/>
      <c r="L31" s="374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</row>
    <row r="32" ht="15.75" customHeight="1">
      <c r="A32" s="374"/>
      <c r="B32" s="374"/>
      <c r="C32" s="374"/>
      <c r="D32" s="374"/>
      <c r="E32" s="374"/>
      <c r="F32" s="374"/>
      <c r="G32" s="388"/>
      <c r="H32" s="388"/>
      <c r="I32" s="374"/>
      <c r="J32" s="374"/>
      <c r="K32" s="374"/>
      <c r="L32" s="374"/>
      <c r="M32" s="374"/>
      <c r="N32" s="374"/>
      <c r="O32" s="374"/>
      <c r="P32" s="374"/>
      <c r="Q32" s="374"/>
      <c r="R32" s="374"/>
      <c r="S32" s="374"/>
      <c r="T32" s="374"/>
      <c r="U32" s="374"/>
      <c r="V32" s="374"/>
      <c r="W32" s="374"/>
      <c r="X32" s="374"/>
      <c r="Y32" s="374"/>
      <c r="Z32" s="374"/>
    </row>
    <row r="33" ht="15.75" customHeight="1">
      <c r="A33" s="374"/>
      <c r="B33" s="374"/>
      <c r="C33" s="374"/>
      <c r="D33" s="374"/>
      <c r="E33" s="374"/>
      <c r="F33" s="374"/>
      <c r="G33" s="388"/>
      <c r="H33" s="388"/>
      <c r="I33" s="374"/>
      <c r="J33" s="374"/>
      <c r="K33" s="374"/>
      <c r="L33" s="374"/>
      <c r="M33" s="374"/>
      <c r="N33" s="374"/>
      <c r="O33" s="374"/>
      <c r="P33" s="374"/>
      <c r="Q33" s="374"/>
      <c r="R33" s="374"/>
      <c r="S33" s="374"/>
      <c r="T33" s="374"/>
      <c r="U33" s="374"/>
      <c r="V33" s="374"/>
      <c r="W33" s="374"/>
      <c r="X33" s="374"/>
      <c r="Y33" s="374"/>
      <c r="Z33" s="374"/>
    </row>
    <row r="34" ht="15.75" customHeight="1">
      <c r="A34" s="374"/>
      <c r="B34" s="374"/>
      <c r="C34" s="374"/>
      <c r="D34" s="374"/>
      <c r="E34" s="374"/>
      <c r="F34" s="374"/>
      <c r="G34" s="388"/>
      <c r="H34" s="388"/>
      <c r="I34" s="374"/>
      <c r="J34" s="374"/>
      <c r="K34" s="374"/>
      <c r="L34" s="374"/>
      <c r="M34" s="374"/>
      <c r="N34" s="374"/>
      <c r="O34" s="374"/>
      <c r="P34" s="374"/>
      <c r="Q34" s="374"/>
      <c r="R34" s="374"/>
      <c r="S34" s="374"/>
      <c r="T34" s="374"/>
      <c r="U34" s="374"/>
      <c r="V34" s="374"/>
      <c r="W34" s="374"/>
      <c r="X34" s="374"/>
      <c r="Y34" s="374"/>
      <c r="Z34" s="374"/>
    </row>
    <row r="35" ht="15.75" customHeight="1">
      <c r="A35" s="374"/>
      <c r="B35" s="374"/>
      <c r="C35" s="374"/>
      <c r="D35" s="374"/>
      <c r="E35" s="374"/>
      <c r="F35" s="374"/>
      <c r="G35" s="388"/>
      <c r="H35" s="388"/>
      <c r="I35" s="374"/>
      <c r="J35" s="374"/>
      <c r="K35" s="374"/>
      <c r="L35" s="374"/>
      <c r="M35" s="374"/>
      <c r="N35" s="374"/>
      <c r="O35" s="374"/>
      <c r="P35" s="374"/>
      <c r="Q35" s="374"/>
      <c r="R35" s="374"/>
      <c r="S35" s="374"/>
      <c r="T35" s="374"/>
      <c r="U35" s="374"/>
      <c r="V35" s="374"/>
      <c r="W35" s="374"/>
      <c r="X35" s="374"/>
      <c r="Y35" s="374"/>
      <c r="Z35" s="374"/>
    </row>
    <row r="36" ht="15.75" customHeight="1">
      <c r="A36" s="374"/>
      <c r="B36" s="374"/>
      <c r="C36" s="374"/>
      <c r="D36" s="374"/>
      <c r="E36" s="374"/>
      <c r="F36" s="374"/>
      <c r="G36" s="388"/>
      <c r="H36" s="388"/>
      <c r="I36" s="374"/>
      <c r="J36" s="374"/>
      <c r="K36" s="374"/>
      <c r="L36" s="374"/>
      <c r="M36" s="374"/>
      <c r="N36" s="374"/>
      <c r="O36" s="374"/>
      <c r="P36" s="374"/>
      <c r="Q36" s="374"/>
      <c r="R36" s="374"/>
      <c r="S36" s="374"/>
      <c r="T36" s="374"/>
      <c r="U36" s="374"/>
      <c r="V36" s="374"/>
      <c r="W36" s="374"/>
      <c r="X36" s="374"/>
      <c r="Y36" s="374"/>
      <c r="Z36" s="374"/>
    </row>
    <row r="37" ht="15.75" customHeight="1">
      <c r="A37" s="374"/>
      <c r="B37" s="374"/>
      <c r="C37" s="374"/>
      <c r="D37" s="374"/>
      <c r="E37" s="374"/>
      <c r="F37" s="374"/>
      <c r="G37" s="388"/>
      <c r="H37" s="388"/>
      <c r="I37" s="374"/>
      <c r="J37" s="374"/>
      <c r="K37" s="374"/>
      <c r="L37" s="374"/>
      <c r="M37" s="374"/>
      <c r="N37" s="374"/>
      <c r="O37" s="374"/>
      <c r="P37" s="374"/>
      <c r="Q37" s="374"/>
      <c r="R37" s="374"/>
      <c r="S37" s="374"/>
      <c r="T37" s="374"/>
      <c r="U37" s="374"/>
      <c r="V37" s="374"/>
      <c r="W37" s="374"/>
      <c r="X37" s="374"/>
      <c r="Y37" s="374"/>
      <c r="Z37" s="374"/>
    </row>
    <row r="38" ht="15.75" customHeight="1">
      <c r="A38" s="374"/>
      <c r="B38" s="374"/>
      <c r="C38" s="374"/>
      <c r="D38" s="374"/>
      <c r="E38" s="374"/>
      <c r="F38" s="374"/>
      <c r="G38" s="388"/>
      <c r="H38" s="388"/>
      <c r="I38" s="374"/>
      <c r="J38" s="374"/>
      <c r="K38" s="374"/>
      <c r="L38" s="374"/>
      <c r="M38" s="374"/>
      <c r="N38" s="374"/>
      <c r="O38" s="374"/>
      <c r="P38" s="374"/>
      <c r="Q38" s="374"/>
      <c r="R38" s="374"/>
      <c r="S38" s="374"/>
      <c r="T38" s="374"/>
      <c r="U38" s="374"/>
      <c r="V38" s="374"/>
      <c r="W38" s="374"/>
      <c r="X38" s="374"/>
      <c r="Y38" s="374"/>
      <c r="Z38" s="374"/>
    </row>
    <row r="39" ht="15.75" customHeight="1">
      <c r="A39" s="374"/>
      <c r="B39" s="374"/>
      <c r="C39" s="374"/>
      <c r="D39" s="374"/>
      <c r="E39" s="374"/>
      <c r="F39" s="374"/>
      <c r="G39" s="388"/>
      <c r="H39" s="388"/>
      <c r="I39" s="374"/>
      <c r="J39" s="374"/>
      <c r="K39" s="374"/>
      <c r="L39" s="374"/>
      <c r="M39" s="374"/>
      <c r="N39" s="374"/>
      <c r="O39" s="374"/>
      <c r="P39" s="374"/>
      <c r="Q39" s="374"/>
      <c r="R39" s="374"/>
      <c r="S39" s="374"/>
      <c r="T39" s="374"/>
      <c r="U39" s="374"/>
      <c r="V39" s="374"/>
      <c r="W39" s="374"/>
      <c r="X39" s="374"/>
      <c r="Y39" s="374"/>
      <c r="Z39" s="374"/>
    </row>
    <row r="40" ht="15.75" customHeight="1">
      <c r="A40" s="374"/>
      <c r="B40" s="374"/>
      <c r="C40" s="374"/>
      <c r="D40" s="374"/>
      <c r="E40" s="374"/>
      <c r="F40" s="374"/>
      <c r="G40" s="388"/>
      <c r="H40" s="388"/>
      <c r="I40" s="374"/>
      <c r="J40" s="374"/>
      <c r="K40" s="374"/>
      <c r="L40" s="374"/>
      <c r="M40" s="374"/>
      <c r="N40" s="374"/>
      <c r="O40" s="374"/>
      <c r="P40" s="374"/>
      <c r="Q40" s="374"/>
      <c r="R40" s="374"/>
      <c r="S40" s="374"/>
      <c r="T40" s="374"/>
      <c r="U40" s="374"/>
      <c r="V40" s="374"/>
      <c r="W40" s="374"/>
      <c r="X40" s="374"/>
      <c r="Y40" s="374"/>
      <c r="Z40" s="374"/>
    </row>
    <row r="41" ht="15.75" customHeight="1">
      <c r="A41" s="374"/>
      <c r="B41" s="374"/>
      <c r="C41" s="374"/>
      <c r="D41" s="374"/>
      <c r="E41" s="374"/>
      <c r="F41" s="374"/>
      <c r="G41" s="388"/>
      <c r="H41" s="388"/>
      <c r="I41" s="374"/>
      <c r="J41" s="374"/>
      <c r="K41" s="374"/>
      <c r="L41" s="374"/>
      <c r="M41" s="374"/>
      <c r="N41" s="374"/>
      <c r="O41" s="374"/>
      <c r="P41" s="374"/>
      <c r="Q41" s="374"/>
      <c r="R41" s="374"/>
      <c r="S41" s="374"/>
      <c r="T41" s="374"/>
      <c r="U41" s="374"/>
      <c r="V41" s="374"/>
      <c r="W41" s="374"/>
      <c r="X41" s="374"/>
      <c r="Y41" s="374"/>
      <c r="Z41" s="374"/>
    </row>
    <row r="42" ht="15.75" customHeight="1">
      <c r="A42" s="374"/>
      <c r="B42" s="374"/>
      <c r="C42" s="374"/>
      <c r="D42" s="374"/>
      <c r="E42" s="374"/>
      <c r="F42" s="374"/>
      <c r="G42" s="388"/>
      <c r="H42" s="388"/>
      <c r="I42" s="374"/>
      <c r="J42" s="374"/>
      <c r="K42" s="374"/>
      <c r="L42" s="374"/>
      <c r="M42" s="374"/>
      <c r="N42" s="374"/>
      <c r="O42" s="374"/>
      <c r="P42" s="374"/>
      <c r="Q42" s="374"/>
      <c r="R42" s="374"/>
      <c r="S42" s="374"/>
      <c r="T42" s="374"/>
      <c r="U42" s="374"/>
      <c r="V42" s="374"/>
      <c r="W42" s="374"/>
      <c r="X42" s="374"/>
      <c r="Y42" s="374"/>
      <c r="Z42" s="374"/>
    </row>
    <row r="43" ht="15.75" customHeight="1">
      <c r="A43" s="374"/>
      <c r="B43" s="374"/>
      <c r="C43" s="374"/>
      <c r="D43" s="374"/>
      <c r="E43" s="374"/>
      <c r="F43" s="374"/>
      <c r="G43" s="388"/>
      <c r="H43" s="388"/>
      <c r="I43" s="374"/>
      <c r="J43" s="374"/>
      <c r="K43" s="374"/>
      <c r="L43" s="374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</row>
    <row r="44" ht="15.75" customHeight="1">
      <c r="A44" s="374"/>
      <c r="B44" s="374"/>
      <c r="C44" s="374"/>
      <c r="D44" s="374"/>
      <c r="E44" s="374"/>
      <c r="F44" s="374"/>
      <c r="G44" s="388"/>
      <c r="H44" s="388"/>
      <c r="I44" s="374"/>
      <c r="J44" s="374"/>
      <c r="K44" s="374"/>
      <c r="L44" s="374"/>
      <c r="M44" s="374"/>
      <c r="N44" s="374"/>
      <c r="O44" s="374"/>
      <c r="P44" s="374"/>
      <c r="Q44" s="374"/>
      <c r="R44" s="374"/>
      <c r="S44" s="374"/>
      <c r="T44" s="374"/>
      <c r="U44" s="374"/>
      <c r="V44" s="374"/>
      <c r="W44" s="374"/>
      <c r="X44" s="374"/>
      <c r="Y44" s="374"/>
      <c r="Z44" s="374"/>
    </row>
    <row r="45" ht="15.75" customHeight="1">
      <c r="A45" s="374"/>
      <c r="B45" s="374"/>
      <c r="C45" s="374"/>
      <c r="D45" s="374"/>
      <c r="E45" s="374"/>
      <c r="F45" s="374"/>
      <c r="G45" s="388"/>
      <c r="H45" s="388"/>
      <c r="I45" s="374"/>
      <c r="J45" s="374"/>
      <c r="K45" s="374"/>
      <c r="L45" s="374"/>
      <c r="M45" s="374"/>
      <c r="N45" s="374"/>
      <c r="O45" s="374"/>
      <c r="P45" s="374"/>
      <c r="Q45" s="374"/>
      <c r="R45" s="374"/>
      <c r="S45" s="374"/>
      <c r="T45" s="374"/>
      <c r="U45" s="374"/>
      <c r="V45" s="374"/>
      <c r="W45" s="374"/>
      <c r="X45" s="374"/>
      <c r="Y45" s="374"/>
      <c r="Z45" s="374"/>
    </row>
    <row r="46" ht="15.75" customHeight="1">
      <c r="A46" s="374"/>
      <c r="B46" s="374"/>
      <c r="C46" s="374"/>
      <c r="D46" s="374"/>
      <c r="E46" s="374"/>
      <c r="F46" s="374"/>
      <c r="G46" s="388"/>
      <c r="H46" s="388"/>
      <c r="I46" s="374"/>
      <c r="J46" s="374"/>
      <c r="K46" s="374"/>
      <c r="L46" s="374"/>
      <c r="M46" s="374"/>
      <c r="N46" s="374"/>
      <c r="O46" s="374"/>
      <c r="P46" s="374"/>
      <c r="Q46" s="374"/>
      <c r="R46" s="374"/>
      <c r="S46" s="374"/>
      <c r="T46" s="374"/>
      <c r="U46" s="374"/>
      <c r="V46" s="374"/>
      <c r="W46" s="374"/>
      <c r="X46" s="374"/>
      <c r="Y46" s="374"/>
      <c r="Z46" s="374"/>
    </row>
    <row r="47" ht="15.75" customHeight="1">
      <c r="A47" s="374"/>
      <c r="B47" s="374"/>
      <c r="C47" s="374"/>
      <c r="D47" s="374"/>
      <c r="E47" s="374"/>
      <c r="F47" s="374"/>
      <c r="G47" s="388"/>
      <c r="H47" s="388"/>
      <c r="I47" s="374"/>
      <c r="J47" s="374"/>
      <c r="K47" s="374"/>
      <c r="L47" s="374"/>
      <c r="M47" s="374"/>
      <c r="N47" s="374"/>
      <c r="O47" s="374"/>
      <c r="P47" s="374"/>
      <c r="Q47" s="374"/>
      <c r="R47" s="374"/>
      <c r="S47" s="374"/>
      <c r="T47" s="374"/>
      <c r="U47" s="374"/>
      <c r="V47" s="374"/>
      <c r="W47" s="374"/>
      <c r="X47" s="374"/>
      <c r="Y47" s="374"/>
      <c r="Z47" s="374"/>
    </row>
    <row r="48" ht="15.75" customHeight="1">
      <c r="A48" s="374"/>
      <c r="B48" s="374"/>
      <c r="C48" s="374"/>
      <c r="D48" s="374"/>
      <c r="E48" s="374"/>
      <c r="F48" s="374"/>
      <c r="G48" s="388"/>
      <c r="H48" s="388"/>
      <c r="I48" s="374"/>
      <c r="J48" s="374"/>
      <c r="K48" s="374"/>
      <c r="L48" s="374"/>
      <c r="M48" s="374"/>
      <c r="N48" s="374"/>
      <c r="O48" s="374"/>
      <c r="P48" s="374"/>
      <c r="Q48" s="374"/>
      <c r="R48" s="374"/>
      <c r="S48" s="374"/>
      <c r="T48" s="374"/>
      <c r="U48" s="374"/>
      <c r="V48" s="374"/>
      <c r="W48" s="374"/>
      <c r="X48" s="374"/>
      <c r="Y48" s="374"/>
      <c r="Z48" s="374"/>
    </row>
    <row r="49" ht="15.75" customHeight="1">
      <c r="A49" s="374"/>
      <c r="B49" s="374"/>
      <c r="C49" s="374"/>
      <c r="D49" s="374"/>
      <c r="E49" s="374"/>
      <c r="F49" s="374"/>
      <c r="G49" s="388"/>
      <c r="H49" s="388"/>
      <c r="I49" s="374"/>
      <c r="J49" s="374"/>
      <c r="K49" s="374"/>
      <c r="L49" s="374"/>
      <c r="M49" s="374"/>
      <c r="N49" s="374"/>
      <c r="O49" s="374"/>
      <c r="P49" s="374"/>
      <c r="Q49" s="374"/>
      <c r="R49" s="374"/>
      <c r="S49" s="374"/>
      <c r="T49" s="374"/>
      <c r="U49" s="374"/>
      <c r="V49" s="374"/>
      <c r="W49" s="374"/>
      <c r="X49" s="374"/>
      <c r="Y49" s="374"/>
      <c r="Z49" s="374"/>
    </row>
    <row r="50" ht="15.75" customHeight="1">
      <c r="A50" s="374"/>
      <c r="B50" s="374"/>
      <c r="C50" s="374"/>
      <c r="D50" s="374"/>
      <c r="E50" s="374"/>
      <c r="F50" s="374"/>
      <c r="G50" s="388"/>
      <c r="H50" s="388"/>
      <c r="I50" s="374"/>
      <c r="J50" s="374"/>
      <c r="K50" s="374"/>
      <c r="L50" s="374"/>
      <c r="M50" s="374"/>
      <c r="N50" s="374"/>
      <c r="O50" s="374"/>
      <c r="P50" s="374"/>
      <c r="Q50" s="374"/>
      <c r="R50" s="374"/>
      <c r="S50" s="374"/>
      <c r="T50" s="374"/>
      <c r="U50" s="374"/>
      <c r="V50" s="374"/>
      <c r="W50" s="374"/>
      <c r="X50" s="374"/>
      <c r="Y50" s="374"/>
      <c r="Z50" s="374"/>
    </row>
    <row r="51" ht="15.75" customHeight="1">
      <c r="A51" s="374"/>
      <c r="B51" s="374"/>
      <c r="C51" s="374"/>
      <c r="D51" s="374"/>
      <c r="E51" s="374"/>
      <c r="F51" s="374"/>
      <c r="G51" s="388"/>
      <c r="H51" s="388"/>
      <c r="I51" s="374"/>
      <c r="J51" s="374"/>
      <c r="K51" s="374"/>
      <c r="L51" s="374"/>
      <c r="M51" s="374"/>
      <c r="N51" s="374"/>
      <c r="O51" s="374"/>
      <c r="P51" s="374"/>
      <c r="Q51" s="374"/>
      <c r="R51" s="374"/>
      <c r="S51" s="374"/>
      <c r="T51" s="374"/>
      <c r="U51" s="374"/>
      <c r="V51" s="374"/>
      <c r="W51" s="374"/>
      <c r="X51" s="374"/>
      <c r="Y51" s="374"/>
      <c r="Z51" s="374"/>
    </row>
    <row r="52" ht="15.75" customHeight="1">
      <c r="A52" s="374"/>
      <c r="B52" s="374"/>
      <c r="C52" s="374"/>
      <c r="D52" s="374"/>
      <c r="E52" s="374"/>
      <c r="F52" s="374"/>
      <c r="G52" s="388"/>
      <c r="H52" s="388"/>
      <c r="I52" s="374"/>
      <c r="J52" s="374"/>
      <c r="K52" s="374"/>
      <c r="L52" s="374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</row>
    <row r="53" ht="15.75" customHeight="1">
      <c r="A53" s="374"/>
      <c r="B53" s="374"/>
      <c r="C53" s="374"/>
      <c r="D53" s="374"/>
      <c r="E53" s="374"/>
      <c r="F53" s="374"/>
      <c r="G53" s="388"/>
      <c r="H53" s="388"/>
      <c r="I53" s="374"/>
      <c r="J53" s="374"/>
      <c r="K53" s="374"/>
      <c r="L53" s="374"/>
      <c r="M53" s="374"/>
      <c r="N53" s="374"/>
      <c r="O53" s="374"/>
      <c r="P53" s="374"/>
      <c r="Q53" s="374"/>
      <c r="R53" s="374"/>
      <c r="S53" s="374"/>
      <c r="T53" s="374"/>
      <c r="U53" s="374"/>
      <c r="V53" s="374"/>
      <c r="W53" s="374"/>
      <c r="X53" s="374"/>
      <c r="Y53" s="374"/>
      <c r="Z53" s="374"/>
    </row>
    <row r="54" ht="15.75" customHeight="1">
      <c r="A54" s="374"/>
      <c r="B54" s="374"/>
      <c r="C54" s="374"/>
      <c r="D54" s="374"/>
      <c r="E54" s="374"/>
      <c r="F54" s="374"/>
      <c r="G54" s="388"/>
      <c r="H54" s="388"/>
      <c r="I54" s="374"/>
      <c r="J54" s="374"/>
      <c r="K54" s="374"/>
      <c r="L54" s="374"/>
      <c r="M54" s="374"/>
      <c r="N54" s="374"/>
      <c r="O54" s="374"/>
      <c r="P54" s="374"/>
      <c r="Q54" s="374"/>
      <c r="R54" s="374"/>
      <c r="S54" s="374"/>
      <c r="T54" s="374"/>
      <c r="U54" s="374"/>
      <c r="V54" s="374"/>
      <c r="W54" s="374"/>
      <c r="X54" s="374"/>
      <c r="Y54" s="374"/>
      <c r="Z54" s="374"/>
    </row>
    <row r="55" ht="15.75" customHeight="1">
      <c r="A55" s="374"/>
      <c r="B55" s="374"/>
      <c r="C55" s="374"/>
      <c r="D55" s="374"/>
      <c r="E55" s="374"/>
      <c r="F55" s="374"/>
      <c r="G55" s="388"/>
      <c r="H55" s="388"/>
      <c r="I55" s="374"/>
      <c r="J55" s="374"/>
      <c r="K55" s="374"/>
      <c r="L55" s="374"/>
      <c r="M55" s="374"/>
      <c r="N55" s="374"/>
      <c r="O55" s="374"/>
      <c r="P55" s="374"/>
      <c r="Q55" s="374"/>
      <c r="R55" s="374"/>
      <c r="S55" s="374"/>
      <c r="T55" s="374"/>
      <c r="U55" s="374"/>
      <c r="V55" s="374"/>
      <c r="W55" s="374"/>
      <c r="X55" s="374"/>
      <c r="Y55" s="374"/>
      <c r="Z55" s="374"/>
    </row>
    <row r="56" ht="15.75" customHeight="1">
      <c r="A56" s="374"/>
      <c r="B56" s="374"/>
      <c r="C56" s="374"/>
      <c r="D56" s="374"/>
      <c r="E56" s="374"/>
      <c r="F56" s="374"/>
      <c r="G56" s="388"/>
      <c r="H56" s="388"/>
      <c r="I56" s="374"/>
      <c r="J56" s="374"/>
      <c r="K56" s="374"/>
      <c r="L56" s="374"/>
      <c r="M56" s="374"/>
      <c r="N56" s="374"/>
      <c r="O56" s="374"/>
      <c r="P56" s="374"/>
      <c r="Q56" s="374"/>
      <c r="R56" s="374"/>
      <c r="S56" s="374"/>
      <c r="T56" s="374"/>
      <c r="U56" s="374"/>
      <c r="V56" s="374"/>
      <c r="W56" s="374"/>
      <c r="X56" s="374"/>
      <c r="Y56" s="374"/>
      <c r="Z56" s="374"/>
    </row>
    <row r="57" ht="15.75" customHeight="1">
      <c r="A57" s="374"/>
      <c r="B57" s="374"/>
      <c r="C57" s="374"/>
      <c r="D57" s="374"/>
      <c r="E57" s="374"/>
      <c r="F57" s="374"/>
      <c r="G57" s="388"/>
      <c r="H57" s="388"/>
      <c r="I57" s="374"/>
      <c r="J57" s="374"/>
      <c r="K57" s="374"/>
      <c r="L57" s="374"/>
      <c r="M57" s="374"/>
      <c r="N57" s="374"/>
      <c r="O57" s="374"/>
      <c r="P57" s="374"/>
      <c r="Q57" s="374"/>
      <c r="R57" s="374"/>
      <c r="S57" s="374"/>
      <c r="T57" s="374"/>
      <c r="U57" s="374"/>
      <c r="V57" s="374"/>
      <c r="W57" s="374"/>
      <c r="X57" s="374"/>
      <c r="Y57" s="374"/>
      <c r="Z57" s="374"/>
    </row>
    <row r="58" ht="15.75" customHeight="1">
      <c r="A58" s="374"/>
      <c r="B58" s="374"/>
      <c r="C58" s="374"/>
      <c r="D58" s="374"/>
      <c r="E58" s="374"/>
      <c r="F58" s="374"/>
      <c r="G58" s="388"/>
      <c r="H58" s="388"/>
      <c r="I58" s="374"/>
      <c r="J58" s="374"/>
      <c r="K58" s="374"/>
      <c r="L58" s="374"/>
      <c r="M58" s="374"/>
      <c r="N58" s="374"/>
      <c r="O58" s="374"/>
      <c r="P58" s="374"/>
      <c r="Q58" s="374"/>
      <c r="R58" s="374"/>
      <c r="S58" s="374"/>
      <c r="T58" s="374"/>
      <c r="U58" s="374"/>
      <c r="V58" s="374"/>
      <c r="W58" s="374"/>
      <c r="X58" s="374"/>
      <c r="Y58" s="374"/>
      <c r="Z58" s="374"/>
    </row>
    <row r="59" ht="15.75" customHeight="1">
      <c r="A59" s="374"/>
      <c r="B59" s="374"/>
      <c r="C59" s="374"/>
      <c r="D59" s="374"/>
      <c r="E59" s="374"/>
      <c r="F59" s="374"/>
      <c r="G59" s="388"/>
      <c r="H59" s="388"/>
      <c r="I59" s="374"/>
      <c r="J59" s="374"/>
      <c r="K59" s="374"/>
      <c r="L59" s="374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</row>
    <row r="60" ht="15.75" customHeight="1">
      <c r="A60" s="374"/>
      <c r="B60" s="374"/>
      <c r="C60" s="374"/>
      <c r="D60" s="374"/>
      <c r="E60" s="374"/>
      <c r="F60" s="374"/>
      <c r="G60" s="388"/>
      <c r="H60" s="388"/>
      <c r="I60" s="374"/>
      <c r="J60" s="374"/>
      <c r="K60" s="374"/>
      <c r="L60" s="374"/>
      <c r="M60" s="374"/>
      <c r="N60" s="374"/>
      <c r="O60" s="374"/>
      <c r="P60" s="374"/>
      <c r="Q60" s="374"/>
      <c r="R60" s="374"/>
      <c r="S60" s="374"/>
      <c r="T60" s="374"/>
      <c r="U60" s="374"/>
      <c r="V60" s="374"/>
      <c r="W60" s="374"/>
      <c r="X60" s="374"/>
      <c r="Y60" s="374"/>
      <c r="Z60" s="374"/>
    </row>
    <row r="61" ht="15.75" customHeight="1">
      <c r="A61" s="374"/>
      <c r="B61" s="374"/>
      <c r="C61" s="374"/>
      <c r="D61" s="374"/>
      <c r="E61" s="374"/>
      <c r="F61" s="374"/>
      <c r="G61" s="388"/>
      <c r="H61" s="388"/>
      <c r="I61" s="374"/>
      <c r="J61" s="374"/>
      <c r="K61" s="374"/>
      <c r="L61" s="374"/>
      <c r="M61" s="374"/>
      <c r="N61" s="374"/>
      <c r="O61" s="374"/>
      <c r="P61" s="374"/>
      <c r="Q61" s="374"/>
      <c r="R61" s="374"/>
      <c r="S61" s="374"/>
      <c r="T61" s="374"/>
      <c r="U61" s="374"/>
      <c r="V61" s="374"/>
      <c r="W61" s="374"/>
      <c r="X61" s="374"/>
      <c r="Y61" s="374"/>
      <c r="Z61" s="374"/>
    </row>
    <row r="62" ht="15.75" customHeight="1">
      <c r="A62" s="374"/>
      <c r="B62" s="374"/>
      <c r="C62" s="374"/>
      <c r="D62" s="374"/>
      <c r="E62" s="374"/>
      <c r="F62" s="374"/>
      <c r="G62" s="388"/>
      <c r="H62" s="388"/>
      <c r="I62" s="374"/>
      <c r="J62" s="374"/>
      <c r="K62" s="374"/>
      <c r="L62" s="374"/>
      <c r="M62" s="374"/>
      <c r="N62" s="374"/>
      <c r="O62" s="374"/>
      <c r="P62" s="374"/>
      <c r="Q62" s="374"/>
      <c r="R62" s="374"/>
      <c r="S62" s="374"/>
      <c r="T62" s="374"/>
      <c r="U62" s="374"/>
      <c r="V62" s="374"/>
      <c r="W62" s="374"/>
      <c r="X62" s="374"/>
      <c r="Y62" s="374"/>
      <c r="Z62" s="374"/>
    </row>
    <row r="63" ht="15.75" customHeight="1">
      <c r="A63" s="374"/>
      <c r="B63" s="374"/>
      <c r="C63" s="374"/>
      <c r="D63" s="374"/>
      <c r="E63" s="374"/>
      <c r="F63" s="374"/>
      <c r="G63" s="388"/>
      <c r="H63" s="388"/>
      <c r="I63" s="374"/>
      <c r="J63" s="374"/>
      <c r="K63" s="374"/>
      <c r="L63" s="374"/>
      <c r="M63" s="374"/>
      <c r="N63" s="374"/>
      <c r="O63" s="374"/>
      <c r="P63" s="374"/>
      <c r="Q63" s="374"/>
      <c r="R63" s="374"/>
      <c r="S63" s="374"/>
      <c r="T63" s="374"/>
      <c r="U63" s="374"/>
      <c r="V63" s="374"/>
      <c r="W63" s="374"/>
      <c r="X63" s="374"/>
      <c r="Y63" s="374"/>
      <c r="Z63" s="374"/>
    </row>
    <row r="64" ht="15.75" customHeight="1">
      <c r="A64" s="374"/>
      <c r="B64" s="374"/>
      <c r="C64" s="374"/>
      <c r="D64" s="374"/>
      <c r="E64" s="374"/>
      <c r="F64" s="374"/>
      <c r="G64" s="388"/>
      <c r="H64" s="388"/>
      <c r="I64" s="374"/>
      <c r="J64" s="374"/>
      <c r="K64" s="374"/>
      <c r="L64" s="374"/>
      <c r="M64" s="374"/>
      <c r="N64" s="374"/>
      <c r="O64" s="374"/>
      <c r="P64" s="374"/>
      <c r="Q64" s="374"/>
      <c r="R64" s="374"/>
      <c r="S64" s="374"/>
      <c r="T64" s="374"/>
      <c r="U64" s="374"/>
      <c r="V64" s="374"/>
      <c r="W64" s="374"/>
      <c r="X64" s="374"/>
      <c r="Y64" s="374"/>
      <c r="Z64" s="374"/>
    </row>
    <row r="65" ht="15.75" customHeight="1">
      <c r="A65" s="374"/>
      <c r="B65" s="374"/>
      <c r="C65" s="374"/>
      <c r="D65" s="374"/>
      <c r="E65" s="374"/>
      <c r="F65" s="374"/>
      <c r="G65" s="388"/>
      <c r="H65" s="388"/>
      <c r="I65" s="374"/>
      <c r="J65" s="374"/>
      <c r="K65" s="374"/>
      <c r="L65" s="374"/>
      <c r="M65" s="374"/>
      <c r="N65" s="374"/>
      <c r="O65" s="374"/>
      <c r="P65" s="374"/>
      <c r="Q65" s="374"/>
      <c r="R65" s="374"/>
      <c r="S65" s="374"/>
      <c r="T65" s="374"/>
      <c r="U65" s="374"/>
      <c r="V65" s="374"/>
      <c r="W65" s="374"/>
      <c r="X65" s="374"/>
      <c r="Y65" s="374"/>
      <c r="Z65" s="374"/>
    </row>
    <row r="66" ht="15.75" customHeight="1">
      <c r="A66" s="374"/>
      <c r="B66" s="374"/>
      <c r="C66" s="374"/>
      <c r="D66" s="374"/>
      <c r="E66" s="374"/>
      <c r="F66" s="374"/>
      <c r="G66" s="388"/>
      <c r="H66" s="388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</row>
    <row r="67" ht="15.75" customHeight="1">
      <c r="A67" s="374"/>
      <c r="B67" s="374"/>
      <c r="C67" s="374"/>
      <c r="D67" s="374"/>
      <c r="E67" s="374"/>
      <c r="F67" s="374"/>
      <c r="G67" s="388"/>
      <c r="H67" s="388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  <c r="Z67" s="374"/>
    </row>
    <row r="68" ht="15.75" customHeight="1">
      <c r="A68" s="374"/>
      <c r="B68" s="374"/>
      <c r="C68" s="374"/>
      <c r="D68" s="374"/>
      <c r="E68" s="374"/>
      <c r="F68" s="374"/>
      <c r="G68" s="388"/>
      <c r="H68" s="388"/>
      <c r="I68" s="374"/>
      <c r="J68" s="374"/>
      <c r="K68" s="374"/>
      <c r="L68" s="374"/>
      <c r="M68" s="374"/>
      <c r="N68" s="374"/>
      <c r="O68" s="374"/>
      <c r="P68" s="374"/>
      <c r="Q68" s="374"/>
      <c r="R68" s="374"/>
      <c r="S68" s="374"/>
      <c r="T68" s="374"/>
      <c r="U68" s="374"/>
      <c r="V68" s="374"/>
      <c r="W68" s="374"/>
      <c r="X68" s="374"/>
      <c r="Y68" s="374"/>
      <c r="Z68" s="374"/>
    </row>
    <row r="69" ht="15.75" customHeight="1">
      <c r="A69" s="374"/>
      <c r="B69" s="374"/>
      <c r="C69" s="374"/>
      <c r="D69" s="374"/>
      <c r="E69" s="374"/>
      <c r="F69" s="374"/>
      <c r="G69" s="388"/>
      <c r="H69" s="388"/>
      <c r="I69" s="374"/>
      <c r="J69" s="374"/>
      <c r="K69" s="374"/>
      <c r="L69" s="374"/>
      <c r="M69" s="374"/>
      <c r="N69" s="374"/>
      <c r="O69" s="374"/>
      <c r="P69" s="374"/>
      <c r="Q69" s="374"/>
      <c r="R69" s="374"/>
      <c r="S69" s="374"/>
      <c r="T69" s="374"/>
      <c r="U69" s="374"/>
      <c r="V69" s="374"/>
      <c r="W69" s="374"/>
      <c r="X69" s="374"/>
      <c r="Y69" s="374"/>
      <c r="Z69" s="374"/>
    </row>
    <row r="70" ht="15.75" customHeight="1">
      <c r="A70" s="374"/>
      <c r="B70" s="374"/>
      <c r="C70" s="374"/>
      <c r="D70" s="374"/>
      <c r="E70" s="374"/>
      <c r="F70" s="374"/>
      <c r="G70" s="388"/>
      <c r="H70" s="388"/>
      <c r="I70" s="374"/>
      <c r="J70" s="374"/>
      <c r="K70" s="374"/>
      <c r="L70" s="374"/>
      <c r="M70" s="374"/>
      <c r="N70" s="374"/>
      <c r="O70" s="374"/>
      <c r="P70" s="374"/>
      <c r="Q70" s="374"/>
      <c r="R70" s="374"/>
      <c r="S70" s="374"/>
      <c r="T70" s="374"/>
      <c r="U70" s="374"/>
      <c r="V70" s="374"/>
      <c r="W70" s="374"/>
      <c r="X70" s="374"/>
      <c r="Y70" s="374"/>
      <c r="Z70" s="374"/>
    </row>
    <row r="71" ht="15.75" customHeight="1">
      <c r="A71" s="374"/>
      <c r="B71" s="374"/>
      <c r="C71" s="374"/>
      <c r="D71" s="374"/>
      <c r="E71" s="374"/>
      <c r="F71" s="374"/>
      <c r="G71" s="388"/>
      <c r="H71" s="388"/>
      <c r="I71" s="374"/>
      <c r="J71" s="374"/>
      <c r="K71" s="374"/>
      <c r="L71" s="374"/>
      <c r="M71" s="374"/>
      <c r="N71" s="374"/>
      <c r="O71" s="374"/>
      <c r="P71" s="374"/>
      <c r="Q71" s="374"/>
      <c r="R71" s="374"/>
      <c r="S71" s="374"/>
      <c r="T71" s="374"/>
      <c r="U71" s="374"/>
      <c r="V71" s="374"/>
      <c r="W71" s="374"/>
      <c r="X71" s="374"/>
      <c r="Y71" s="374"/>
      <c r="Z71" s="374"/>
    </row>
    <row r="72" ht="15.75" customHeight="1">
      <c r="A72" s="374"/>
      <c r="B72" s="374"/>
      <c r="C72" s="374"/>
      <c r="D72" s="374"/>
      <c r="E72" s="374"/>
      <c r="F72" s="374"/>
      <c r="G72" s="388"/>
      <c r="H72" s="388"/>
      <c r="I72" s="374"/>
      <c r="J72" s="374"/>
      <c r="K72" s="374"/>
      <c r="L72" s="374"/>
      <c r="M72" s="374"/>
      <c r="N72" s="374"/>
      <c r="O72" s="374"/>
      <c r="P72" s="374"/>
      <c r="Q72" s="374"/>
      <c r="R72" s="374"/>
      <c r="S72" s="374"/>
      <c r="T72" s="374"/>
      <c r="U72" s="374"/>
      <c r="V72" s="374"/>
      <c r="W72" s="374"/>
      <c r="X72" s="374"/>
      <c r="Y72" s="374"/>
      <c r="Z72" s="374"/>
    </row>
    <row r="73" ht="15.75" customHeight="1">
      <c r="A73" s="374"/>
      <c r="B73" s="374"/>
      <c r="C73" s="374"/>
      <c r="D73" s="374"/>
      <c r="E73" s="374"/>
      <c r="F73" s="374"/>
      <c r="G73" s="388"/>
      <c r="H73" s="388"/>
      <c r="I73" s="374"/>
      <c r="J73" s="374"/>
      <c r="K73" s="374"/>
      <c r="L73" s="374"/>
      <c r="M73" s="374"/>
      <c r="N73" s="374"/>
      <c r="O73" s="374"/>
      <c r="P73" s="374"/>
      <c r="Q73" s="374"/>
      <c r="R73" s="374"/>
      <c r="S73" s="374"/>
      <c r="T73" s="374"/>
      <c r="U73" s="374"/>
      <c r="V73" s="374"/>
      <c r="W73" s="374"/>
      <c r="X73" s="374"/>
      <c r="Y73" s="374"/>
      <c r="Z73" s="374"/>
    </row>
    <row r="74" ht="15.75" customHeight="1">
      <c r="A74" s="374"/>
      <c r="B74" s="374"/>
      <c r="C74" s="374"/>
      <c r="D74" s="374"/>
      <c r="E74" s="374"/>
      <c r="F74" s="374"/>
      <c r="G74" s="388"/>
      <c r="H74" s="388"/>
      <c r="I74" s="374"/>
      <c r="J74" s="374"/>
      <c r="K74" s="374"/>
      <c r="L74" s="374"/>
      <c r="M74" s="374"/>
      <c r="N74" s="374"/>
      <c r="O74" s="374"/>
      <c r="P74" s="374"/>
      <c r="Q74" s="374"/>
      <c r="R74" s="374"/>
      <c r="S74" s="374"/>
      <c r="T74" s="374"/>
      <c r="U74" s="374"/>
      <c r="V74" s="374"/>
      <c r="W74" s="374"/>
      <c r="X74" s="374"/>
      <c r="Y74" s="374"/>
      <c r="Z74" s="374"/>
    </row>
    <row r="75" ht="15.75" customHeight="1">
      <c r="A75" s="374"/>
      <c r="B75" s="374"/>
      <c r="C75" s="374"/>
      <c r="D75" s="374"/>
      <c r="E75" s="374"/>
      <c r="F75" s="374"/>
      <c r="G75" s="388"/>
      <c r="H75" s="388"/>
      <c r="I75" s="374"/>
      <c r="J75" s="374"/>
      <c r="K75" s="374"/>
      <c r="L75" s="374"/>
      <c r="M75" s="374"/>
      <c r="N75" s="374"/>
      <c r="O75" s="374"/>
      <c r="P75" s="374"/>
      <c r="Q75" s="374"/>
      <c r="R75" s="374"/>
      <c r="S75" s="374"/>
      <c r="T75" s="374"/>
      <c r="U75" s="374"/>
      <c r="V75" s="374"/>
      <c r="W75" s="374"/>
      <c r="X75" s="374"/>
      <c r="Y75" s="374"/>
      <c r="Z75" s="374"/>
    </row>
    <row r="76" ht="15.75" customHeight="1">
      <c r="A76" s="374"/>
      <c r="B76" s="374"/>
      <c r="C76" s="374"/>
      <c r="D76" s="374"/>
      <c r="E76" s="374"/>
      <c r="F76" s="374"/>
      <c r="G76" s="388"/>
      <c r="H76" s="388"/>
      <c r="I76" s="374"/>
      <c r="J76" s="374"/>
      <c r="K76" s="374"/>
      <c r="L76" s="374"/>
      <c r="M76" s="374"/>
      <c r="N76" s="374"/>
      <c r="O76" s="374"/>
      <c r="P76" s="374"/>
      <c r="Q76" s="374"/>
      <c r="R76" s="374"/>
      <c r="S76" s="374"/>
      <c r="T76" s="374"/>
      <c r="U76" s="374"/>
      <c r="V76" s="374"/>
      <c r="W76" s="374"/>
      <c r="X76" s="374"/>
      <c r="Y76" s="374"/>
      <c r="Z76" s="374"/>
    </row>
    <row r="77" ht="15.75" customHeight="1">
      <c r="A77" s="374"/>
      <c r="B77" s="374"/>
      <c r="C77" s="374"/>
      <c r="D77" s="374"/>
      <c r="E77" s="374"/>
      <c r="F77" s="374"/>
      <c r="G77" s="388"/>
      <c r="H77" s="388"/>
      <c r="I77" s="374"/>
      <c r="J77" s="374"/>
      <c r="K77" s="374"/>
      <c r="L77" s="374"/>
      <c r="M77" s="374"/>
      <c r="N77" s="374"/>
      <c r="O77" s="374"/>
      <c r="P77" s="374"/>
      <c r="Q77" s="374"/>
      <c r="R77" s="374"/>
      <c r="S77" s="374"/>
      <c r="T77" s="374"/>
      <c r="U77" s="374"/>
      <c r="V77" s="374"/>
      <c r="W77" s="374"/>
      <c r="X77" s="374"/>
      <c r="Y77" s="374"/>
      <c r="Z77" s="374"/>
    </row>
    <row r="78" ht="15.75" customHeight="1">
      <c r="A78" s="374"/>
      <c r="B78" s="374"/>
      <c r="C78" s="374"/>
      <c r="D78" s="374"/>
      <c r="E78" s="374"/>
      <c r="F78" s="374"/>
      <c r="G78" s="388"/>
      <c r="H78" s="388"/>
      <c r="I78" s="374"/>
      <c r="J78" s="374"/>
      <c r="K78" s="374"/>
      <c r="L78" s="374"/>
      <c r="M78" s="374"/>
      <c r="N78" s="374"/>
      <c r="O78" s="374"/>
      <c r="P78" s="374"/>
      <c r="Q78" s="374"/>
      <c r="R78" s="374"/>
      <c r="S78" s="374"/>
      <c r="T78" s="374"/>
      <c r="U78" s="374"/>
      <c r="V78" s="374"/>
      <c r="W78" s="374"/>
      <c r="X78" s="374"/>
      <c r="Y78" s="374"/>
      <c r="Z78" s="374"/>
    </row>
    <row r="79" ht="15.75" customHeight="1">
      <c r="A79" s="374"/>
      <c r="B79" s="374"/>
      <c r="C79" s="374"/>
      <c r="D79" s="374"/>
      <c r="E79" s="374"/>
      <c r="F79" s="374"/>
      <c r="G79" s="388"/>
      <c r="H79" s="388"/>
      <c r="I79" s="374"/>
      <c r="J79" s="374"/>
      <c r="K79" s="374"/>
      <c r="L79" s="374"/>
      <c r="M79" s="374"/>
      <c r="N79" s="374"/>
      <c r="O79" s="374"/>
      <c r="P79" s="374"/>
      <c r="Q79" s="374"/>
      <c r="R79" s="374"/>
      <c r="S79" s="374"/>
      <c r="T79" s="374"/>
      <c r="U79" s="374"/>
      <c r="V79" s="374"/>
      <c r="W79" s="374"/>
      <c r="X79" s="374"/>
      <c r="Y79" s="374"/>
      <c r="Z79" s="374"/>
    </row>
    <row r="80" ht="15.75" customHeight="1">
      <c r="A80" s="374"/>
      <c r="B80" s="374"/>
      <c r="C80" s="374"/>
      <c r="D80" s="374"/>
      <c r="E80" s="374"/>
      <c r="F80" s="374"/>
      <c r="G80" s="388"/>
      <c r="H80" s="388"/>
      <c r="I80" s="374"/>
      <c r="J80" s="374"/>
      <c r="K80" s="374"/>
      <c r="L80" s="374"/>
      <c r="M80" s="374"/>
      <c r="N80" s="374"/>
      <c r="O80" s="374"/>
      <c r="P80" s="374"/>
      <c r="Q80" s="374"/>
      <c r="R80" s="374"/>
      <c r="S80" s="374"/>
      <c r="T80" s="374"/>
      <c r="U80" s="374"/>
      <c r="V80" s="374"/>
      <c r="W80" s="374"/>
      <c r="X80" s="374"/>
      <c r="Y80" s="374"/>
      <c r="Z80" s="374"/>
    </row>
    <row r="81" ht="15.75" customHeight="1">
      <c r="A81" s="374"/>
      <c r="B81" s="374"/>
      <c r="C81" s="374"/>
      <c r="D81" s="374"/>
      <c r="E81" s="374"/>
      <c r="F81" s="374"/>
      <c r="G81" s="388"/>
      <c r="H81" s="388"/>
      <c r="I81" s="374"/>
      <c r="J81" s="374"/>
      <c r="K81" s="374"/>
      <c r="L81" s="374"/>
      <c r="M81" s="374"/>
      <c r="N81" s="374"/>
      <c r="O81" s="374"/>
      <c r="P81" s="374"/>
      <c r="Q81" s="374"/>
      <c r="R81" s="374"/>
      <c r="S81" s="374"/>
      <c r="T81" s="374"/>
      <c r="U81" s="374"/>
      <c r="V81" s="374"/>
      <c r="W81" s="374"/>
      <c r="X81" s="374"/>
      <c r="Y81" s="374"/>
      <c r="Z81" s="374"/>
    </row>
    <row r="82" ht="15.75" customHeight="1">
      <c r="A82" s="374"/>
      <c r="B82" s="374"/>
      <c r="C82" s="374"/>
      <c r="D82" s="374"/>
      <c r="E82" s="374"/>
      <c r="F82" s="374"/>
      <c r="G82" s="388"/>
      <c r="H82" s="388"/>
      <c r="I82" s="374"/>
      <c r="J82" s="374"/>
      <c r="K82" s="374"/>
      <c r="L82" s="374"/>
      <c r="M82" s="374"/>
      <c r="N82" s="374"/>
      <c r="O82" s="374"/>
      <c r="P82" s="374"/>
      <c r="Q82" s="374"/>
      <c r="R82" s="374"/>
      <c r="S82" s="374"/>
      <c r="T82" s="374"/>
      <c r="U82" s="374"/>
      <c r="V82" s="374"/>
      <c r="W82" s="374"/>
      <c r="X82" s="374"/>
      <c r="Y82" s="374"/>
      <c r="Z82" s="374"/>
    </row>
    <row r="83" ht="15.75" customHeight="1">
      <c r="A83" s="374"/>
      <c r="B83" s="374"/>
      <c r="C83" s="374"/>
      <c r="D83" s="374"/>
      <c r="E83" s="374"/>
      <c r="F83" s="374"/>
      <c r="G83" s="388"/>
      <c r="H83" s="388"/>
      <c r="I83" s="374"/>
      <c r="J83" s="374"/>
      <c r="K83" s="374"/>
      <c r="L83" s="374"/>
      <c r="M83" s="374"/>
      <c r="N83" s="374"/>
      <c r="O83" s="374"/>
      <c r="P83" s="374"/>
      <c r="Q83" s="374"/>
      <c r="R83" s="374"/>
      <c r="S83" s="374"/>
      <c r="T83" s="374"/>
      <c r="U83" s="374"/>
      <c r="V83" s="374"/>
      <c r="W83" s="374"/>
      <c r="X83" s="374"/>
      <c r="Y83" s="374"/>
      <c r="Z83" s="374"/>
    </row>
    <row r="84" ht="15.75" customHeight="1">
      <c r="A84" s="374"/>
      <c r="B84" s="374"/>
      <c r="C84" s="374"/>
      <c r="D84" s="374"/>
      <c r="E84" s="374"/>
      <c r="F84" s="374"/>
      <c r="G84" s="388"/>
      <c r="H84" s="388"/>
      <c r="I84" s="374"/>
      <c r="J84" s="374"/>
      <c r="K84" s="374"/>
      <c r="L84" s="374"/>
      <c r="M84" s="374"/>
      <c r="N84" s="374"/>
      <c r="O84" s="374"/>
      <c r="P84" s="374"/>
      <c r="Q84" s="374"/>
      <c r="R84" s="374"/>
      <c r="S84" s="374"/>
      <c r="T84" s="374"/>
      <c r="U84" s="374"/>
      <c r="V84" s="374"/>
      <c r="W84" s="374"/>
      <c r="X84" s="374"/>
      <c r="Y84" s="374"/>
      <c r="Z84" s="374"/>
    </row>
    <row r="85" ht="15.75" customHeight="1">
      <c r="A85" s="374"/>
      <c r="B85" s="374"/>
      <c r="C85" s="374"/>
      <c r="D85" s="374"/>
      <c r="E85" s="374"/>
      <c r="F85" s="374"/>
      <c r="G85" s="388"/>
      <c r="H85" s="388"/>
      <c r="I85" s="374"/>
      <c r="J85" s="374"/>
      <c r="K85" s="374"/>
      <c r="L85" s="374"/>
      <c r="M85" s="374"/>
      <c r="N85" s="374"/>
      <c r="O85" s="374"/>
      <c r="P85" s="374"/>
      <c r="Q85" s="374"/>
      <c r="R85" s="374"/>
      <c r="S85" s="374"/>
      <c r="T85" s="374"/>
      <c r="U85" s="374"/>
      <c r="V85" s="374"/>
      <c r="W85" s="374"/>
      <c r="X85" s="374"/>
      <c r="Y85" s="374"/>
      <c r="Z85" s="374"/>
    </row>
    <row r="86" ht="15.75" customHeight="1">
      <c r="A86" s="374"/>
      <c r="B86" s="374"/>
      <c r="C86" s="374"/>
      <c r="D86" s="374"/>
      <c r="E86" s="374"/>
      <c r="F86" s="374"/>
      <c r="G86" s="388"/>
      <c r="H86" s="388"/>
      <c r="I86" s="374"/>
      <c r="J86" s="374"/>
      <c r="K86" s="374"/>
      <c r="L86" s="374"/>
      <c r="M86" s="374"/>
      <c r="N86" s="374"/>
      <c r="O86" s="374"/>
      <c r="P86" s="374"/>
      <c r="Q86" s="374"/>
      <c r="R86" s="374"/>
      <c r="S86" s="374"/>
      <c r="T86" s="374"/>
      <c r="U86" s="374"/>
      <c r="V86" s="374"/>
      <c r="W86" s="374"/>
      <c r="X86" s="374"/>
      <c r="Y86" s="374"/>
      <c r="Z86" s="374"/>
    </row>
    <row r="87" ht="15.75" customHeight="1">
      <c r="A87" s="374"/>
      <c r="B87" s="374"/>
      <c r="C87" s="374"/>
      <c r="D87" s="374"/>
      <c r="E87" s="374"/>
      <c r="F87" s="374"/>
      <c r="G87" s="388"/>
      <c r="H87" s="388"/>
      <c r="I87" s="374"/>
      <c r="J87" s="374"/>
      <c r="K87" s="374"/>
      <c r="L87" s="374"/>
      <c r="M87" s="374"/>
      <c r="N87" s="374"/>
      <c r="O87" s="374"/>
      <c r="P87" s="374"/>
      <c r="Q87" s="374"/>
      <c r="R87" s="374"/>
      <c r="S87" s="374"/>
      <c r="T87" s="374"/>
      <c r="U87" s="374"/>
      <c r="V87" s="374"/>
      <c r="W87" s="374"/>
      <c r="X87" s="374"/>
      <c r="Y87" s="374"/>
      <c r="Z87" s="374"/>
    </row>
    <row r="88" ht="15.75" customHeight="1">
      <c r="A88" s="374"/>
      <c r="B88" s="374"/>
      <c r="C88" s="374"/>
      <c r="D88" s="374"/>
      <c r="E88" s="374"/>
      <c r="F88" s="374"/>
      <c r="G88" s="388"/>
      <c r="H88" s="388"/>
      <c r="I88" s="374"/>
      <c r="J88" s="374"/>
      <c r="K88" s="374"/>
      <c r="L88" s="374"/>
      <c r="M88" s="374"/>
      <c r="N88" s="374"/>
      <c r="O88" s="374"/>
      <c r="P88" s="374"/>
      <c r="Q88" s="374"/>
      <c r="R88" s="374"/>
      <c r="S88" s="374"/>
      <c r="T88" s="374"/>
      <c r="U88" s="374"/>
      <c r="V88" s="374"/>
      <c r="W88" s="374"/>
      <c r="X88" s="374"/>
      <c r="Y88" s="374"/>
      <c r="Z88" s="374"/>
    </row>
    <row r="89" ht="15.75" customHeight="1">
      <c r="A89" s="374"/>
      <c r="B89" s="374"/>
      <c r="C89" s="374"/>
      <c r="D89" s="374"/>
      <c r="E89" s="374"/>
      <c r="F89" s="374"/>
      <c r="G89" s="388"/>
      <c r="H89" s="388"/>
      <c r="I89" s="374"/>
      <c r="J89" s="374"/>
      <c r="K89" s="374"/>
      <c r="L89" s="374"/>
      <c r="M89" s="374"/>
      <c r="N89" s="374"/>
      <c r="O89" s="374"/>
      <c r="P89" s="374"/>
      <c r="Q89" s="374"/>
      <c r="R89" s="374"/>
      <c r="S89" s="374"/>
      <c r="T89" s="374"/>
      <c r="U89" s="374"/>
      <c r="V89" s="374"/>
      <c r="W89" s="374"/>
      <c r="X89" s="374"/>
      <c r="Y89" s="374"/>
      <c r="Z89" s="374"/>
    </row>
    <row r="90" ht="15.75" customHeight="1">
      <c r="A90" s="374"/>
      <c r="B90" s="374"/>
      <c r="C90" s="374"/>
      <c r="D90" s="374"/>
      <c r="E90" s="374"/>
      <c r="F90" s="374"/>
      <c r="G90" s="388"/>
      <c r="H90" s="388"/>
      <c r="I90" s="374"/>
      <c r="J90" s="374"/>
      <c r="K90" s="374"/>
      <c r="L90" s="374"/>
      <c r="M90" s="374"/>
      <c r="N90" s="374"/>
      <c r="O90" s="374"/>
      <c r="P90" s="374"/>
      <c r="Q90" s="374"/>
      <c r="R90" s="374"/>
      <c r="S90" s="374"/>
      <c r="T90" s="374"/>
      <c r="U90" s="374"/>
      <c r="V90" s="374"/>
      <c r="W90" s="374"/>
      <c r="X90" s="374"/>
      <c r="Y90" s="374"/>
      <c r="Z90" s="374"/>
    </row>
    <row r="91" ht="15.75" customHeight="1">
      <c r="A91" s="374"/>
      <c r="B91" s="374"/>
      <c r="C91" s="374"/>
      <c r="D91" s="374"/>
      <c r="E91" s="374"/>
      <c r="F91" s="374"/>
      <c r="G91" s="388"/>
      <c r="H91" s="388"/>
      <c r="I91" s="374"/>
      <c r="J91" s="374"/>
      <c r="K91" s="374"/>
      <c r="L91" s="374"/>
      <c r="M91" s="374"/>
      <c r="N91" s="374"/>
      <c r="O91" s="374"/>
      <c r="P91" s="374"/>
      <c r="Q91" s="374"/>
      <c r="R91" s="374"/>
      <c r="S91" s="374"/>
      <c r="T91" s="374"/>
      <c r="U91" s="374"/>
      <c r="V91" s="374"/>
      <c r="W91" s="374"/>
      <c r="X91" s="374"/>
      <c r="Y91" s="374"/>
      <c r="Z91" s="374"/>
    </row>
    <row r="92" ht="15.75" customHeight="1">
      <c r="A92" s="374"/>
      <c r="B92" s="374"/>
      <c r="C92" s="374"/>
      <c r="D92" s="374"/>
      <c r="E92" s="374"/>
      <c r="F92" s="374"/>
      <c r="G92" s="388"/>
      <c r="H92" s="388"/>
      <c r="I92" s="374"/>
      <c r="J92" s="374"/>
      <c r="K92" s="374"/>
      <c r="L92" s="374"/>
      <c r="M92" s="374"/>
      <c r="N92" s="374"/>
      <c r="O92" s="374"/>
      <c r="P92" s="374"/>
      <c r="Q92" s="374"/>
      <c r="R92" s="374"/>
      <c r="S92" s="374"/>
      <c r="T92" s="374"/>
      <c r="U92" s="374"/>
      <c r="V92" s="374"/>
      <c r="W92" s="374"/>
      <c r="X92" s="374"/>
      <c r="Y92" s="374"/>
      <c r="Z92" s="374"/>
    </row>
    <row r="93" ht="15.75" customHeight="1">
      <c r="A93" s="374"/>
      <c r="B93" s="374"/>
      <c r="C93" s="374"/>
      <c r="D93" s="374"/>
      <c r="E93" s="374"/>
      <c r="F93" s="374"/>
      <c r="G93" s="388"/>
      <c r="H93" s="388"/>
      <c r="I93" s="374"/>
      <c r="J93" s="374"/>
      <c r="K93" s="374"/>
      <c r="L93" s="374"/>
      <c r="M93" s="374"/>
      <c r="N93" s="374"/>
      <c r="O93" s="374"/>
      <c r="P93" s="374"/>
      <c r="Q93" s="374"/>
      <c r="R93" s="374"/>
      <c r="S93" s="374"/>
      <c r="T93" s="374"/>
      <c r="U93" s="374"/>
      <c r="V93" s="374"/>
      <c r="W93" s="374"/>
      <c r="X93" s="374"/>
      <c r="Y93" s="374"/>
      <c r="Z93" s="374"/>
    </row>
    <row r="94" ht="15.75" customHeight="1">
      <c r="A94" s="374"/>
      <c r="B94" s="374"/>
      <c r="C94" s="374"/>
      <c r="D94" s="374"/>
      <c r="E94" s="374"/>
      <c r="F94" s="374"/>
      <c r="G94" s="388"/>
      <c r="H94" s="388"/>
      <c r="I94" s="374"/>
      <c r="J94" s="374"/>
      <c r="K94" s="374"/>
      <c r="L94" s="374"/>
      <c r="M94" s="374"/>
      <c r="N94" s="374"/>
      <c r="O94" s="374"/>
      <c r="P94" s="374"/>
      <c r="Q94" s="374"/>
      <c r="R94" s="374"/>
      <c r="S94" s="374"/>
      <c r="T94" s="374"/>
      <c r="U94" s="374"/>
      <c r="V94" s="374"/>
      <c r="W94" s="374"/>
      <c r="X94" s="374"/>
      <c r="Y94" s="374"/>
      <c r="Z94" s="374"/>
    </row>
    <row r="95" ht="15.75" customHeight="1">
      <c r="A95" s="374"/>
      <c r="B95" s="374"/>
      <c r="C95" s="374"/>
      <c r="D95" s="374"/>
      <c r="E95" s="374"/>
      <c r="F95" s="374"/>
      <c r="G95" s="388"/>
      <c r="H95" s="388"/>
      <c r="I95" s="374"/>
      <c r="J95" s="374"/>
      <c r="K95" s="374"/>
      <c r="L95" s="374"/>
      <c r="M95" s="374"/>
      <c r="N95" s="374"/>
      <c r="O95" s="374"/>
      <c r="P95" s="374"/>
      <c r="Q95" s="374"/>
      <c r="R95" s="374"/>
      <c r="S95" s="374"/>
      <c r="T95" s="374"/>
      <c r="U95" s="374"/>
      <c r="V95" s="374"/>
      <c r="W95" s="374"/>
      <c r="X95" s="374"/>
      <c r="Y95" s="374"/>
      <c r="Z95" s="374"/>
    </row>
    <row r="96" ht="15.75" customHeight="1">
      <c r="A96" s="374"/>
      <c r="B96" s="374"/>
      <c r="C96" s="374"/>
      <c r="D96" s="374"/>
      <c r="E96" s="374"/>
      <c r="F96" s="374"/>
      <c r="G96" s="388"/>
      <c r="H96" s="388"/>
      <c r="I96" s="374"/>
      <c r="J96" s="374"/>
      <c r="K96" s="374"/>
      <c r="L96" s="374"/>
      <c r="M96" s="374"/>
      <c r="N96" s="374"/>
      <c r="O96" s="374"/>
      <c r="P96" s="374"/>
      <c r="Q96" s="374"/>
      <c r="R96" s="374"/>
      <c r="S96" s="374"/>
      <c r="T96" s="374"/>
      <c r="U96" s="374"/>
      <c r="V96" s="374"/>
      <c r="W96" s="374"/>
      <c r="X96" s="374"/>
      <c r="Y96" s="374"/>
      <c r="Z96" s="374"/>
    </row>
    <row r="97" ht="15.75" customHeight="1">
      <c r="A97" s="374"/>
      <c r="B97" s="374"/>
      <c r="C97" s="374"/>
      <c r="D97" s="374"/>
      <c r="E97" s="374"/>
      <c r="F97" s="374"/>
      <c r="G97" s="388"/>
      <c r="H97" s="388"/>
      <c r="I97" s="374"/>
      <c r="J97" s="374"/>
      <c r="K97" s="374"/>
      <c r="L97" s="374"/>
      <c r="M97" s="374"/>
      <c r="N97" s="374"/>
      <c r="O97" s="374"/>
      <c r="P97" s="374"/>
      <c r="Q97" s="374"/>
      <c r="R97" s="374"/>
      <c r="S97" s="374"/>
      <c r="T97" s="374"/>
      <c r="U97" s="374"/>
      <c r="V97" s="374"/>
      <c r="W97" s="374"/>
      <c r="X97" s="374"/>
      <c r="Y97" s="374"/>
      <c r="Z97" s="374"/>
    </row>
    <row r="98" ht="15.75" customHeight="1">
      <c r="A98" s="374"/>
      <c r="B98" s="374"/>
      <c r="C98" s="374"/>
      <c r="D98" s="374"/>
      <c r="E98" s="374"/>
      <c r="F98" s="374"/>
      <c r="G98" s="388"/>
      <c r="H98" s="388"/>
      <c r="I98" s="374"/>
      <c r="J98" s="374"/>
      <c r="K98" s="374"/>
      <c r="L98" s="374"/>
      <c r="M98" s="374"/>
      <c r="N98" s="374"/>
      <c r="O98" s="374"/>
      <c r="P98" s="374"/>
      <c r="Q98" s="374"/>
      <c r="R98" s="374"/>
      <c r="S98" s="374"/>
      <c r="T98" s="374"/>
      <c r="U98" s="374"/>
      <c r="V98" s="374"/>
      <c r="W98" s="374"/>
      <c r="X98" s="374"/>
      <c r="Y98" s="374"/>
      <c r="Z98" s="374"/>
    </row>
    <row r="99" ht="15.75" customHeight="1">
      <c r="A99" s="374"/>
      <c r="B99" s="374"/>
      <c r="C99" s="374"/>
      <c r="D99" s="374"/>
      <c r="E99" s="374"/>
      <c r="F99" s="374"/>
      <c r="G99" s="388"/>
      <c r="H99" s="388"/>
      <c r="I99" s="374"/>
      <c r="J99" s="374"/>
      <c r="K99" s="374"/>
      <c r="L99" s="374"/>
      <c r="M99" s="374"/>
      <c r="N99" s="374"/>
      <c r="O99" s="374"/>
      <c r="P99" s="374"/>
      <c r="Q99" s="374"/>
      <c r="R99" s="374"/>
      <c r="S99" s="374"/>
      <c r="T99" s="374"/>
      <c r="U99" s="374"/>
      <c r="V99" s="374"/>
      <c r="W99" s="374"/>
      <c r="X99" s="374"/>
      <c r="Y99" s="374"/>
      <c r="Z99" s="374"/>
    </row>
    <row r="100" ht="15.75" customHeight="1">
      <c r="A100" s="374"/>
      <c r="B100" s="374"/>
      <c r="C100" s="374"/>
      <c r="D100" s="374"/>
      <c r="E100" s="374"/>
      <c r="F100" s="374"/>
      <c r="G100" s="388"/>
      <c r="H100" s="388"/>
      <c r="I100" s="374"/>
      <c r="J100" s="374"/>
      <c r="K100" s="374"/>
      <c r="L100" s="374"/>
      <c r="M100" s="374"/>
      <c r="N100" s="374"/>
      <c r="O100" s="374"/>
      <c r="P100" s="374"/>
      <c r="Q100" s="374"/>
      <c r="R100" s="374"/>
      <c r="S100" s="374"/>
      <c r="T100" s="374"/>
      <c r="U100" s="374"/>
      <c r="V100" s="374"/>
      <c r="W100" s="374"/>
      <c r="X100" s="374"/>
      <c r="Y100" s="374"/>
      <c r="Z100" s="374"/>
    </row>
    <row r="101" ht="15.75" customHeight="1">
      <c r="A101" s="374"/>
      <c r="B101" s="374"/>
      <c r="C101" s="374"/>
      <c r="D101" s="374"/>
      <c r="E101" s="374"/>
      <c r="F101" s="374"/>
      <c r="G101" s="388"/>
      <c r="H101" s="388"/>
      <c r="I101" s="374"/>
      <c r="J101" s="374"/>
      <c r="K101" s="374"/>
      <c r="L101" s="374"/>
      <c r="M101" s="374"/>
      <c r="N101" s="374"/>
      <c r="O101" s="374"/>
      <c r="P101" s="374"/>
      <c r="Q101" s="374"/>
      <c r="R101" s="374"/>
      <c r="S101" s="374"/>
      <c r="T101" s="374"/>
      <c r="U101" s="374"/>
      <c r="V101" s="374"/>
      <c r="W101" s="374"/>
      <c r="X101" s="374"/>
      <c r="Y101" s="374"/>
      <c r="Z101" s="374"/>
    </row>
    <row r="102" ht="15.75" customHeight="1">
      <c r="A102" s="374"/>
      <c r="B102" s="374"/>
      <c r="C102" s="374"/>
      <c r="D102" s="374"/>
      <c r="E102" s="374"/>
      <c r="F102" s="374"/>
      <c r="G102" s="388"/>
      <c r="H102" s="388"/>
      <c r="I102" s="374"/>
      <c r="J102" s="374"/>
      <c r="K102" s="374"/>
      <c r="L102" s="374"/>
      <c r="M102" s="374"/>
      <c r="N102" s="374"/>
      <c r="O102" s="374"/>
      <c r="P102" s="374"/>
      <c r="Q102" s="374"/>
      <c r="R102" s="374"/>
      <c r="S102" s="374"/>
      <c r="T102" s="374"/>
      <c r="U102" s="374"/>
      <c r="V102" s="374"/>
      <c r="W102" s="374"/>
      <c r="X102" s="374"/>
      <c r="Y102" s="374"/>
      <c r="Z102" s="374"/>
    </row>
    <row r="103" ht="15.75" customHeight="1">
      <c r="A103" s="374"/>
      <c r="B103" s="374"/>
      <c r="C103" s="374"/>
      <c r="D103" s="374"/>
      <c r="E103" s="374"/>
      <c r="F103" s="374"/>
      <c r="G103" s="388"/>
      <c r="H103" s="388"/>
      <c r="I103" s="374"/>
      <c r="J103" s="374"/>
      <c r="K103" s="374"/>
      <c r="L103" s="374"/>
      <c r="M103" s="374"/>
      <c r="N103" s="374"/>
      <c r="O103" s="374"/>
      <c r="P103" s="374"/>
      <c r="Q103" s="374"/>
      <c r="R103" s="374"/>
      <c r="S103" s="374"/>
      <c r="T103" s="374"/>
      <c r="U103" s="374"/>
      <c r="V103" s="374"/>
      <c r="W103" s="374"/>
      <c r="X103" s="374"/>
      <c r="Y103" s="374"/>
      <c r="Z103" s="374"/>
    </row>
    <row r="104" ht="15.75" customHeight="1">
      <c r="A104" s="374"/>
      <c r="B104" s="374"/>
      <c r="C104" s="374"/>
      <c r="D104" s="374"/>
      <c r="E104" s="374"/>
      <c r="F104" s="374"/>
      <c r="G104" s="388"/>
      <c r="H104" s="388"/>
      <c r="I104" s="374"/>
      <c r="J104" s="374"/>
      <c r="K104" s="374"/>
      <c r="L104" s="374"/>
      <c r="M104" s="374"/>
      <c r="N104" s="374"/>
      <c r="O104" s="374"/>
      <c r="P104" s="374"/>
      <c r="Q104" s="374"/>
      <c r="R104" s="374"/>
      <c r="S104" s="374"/>
      <c r="T104" s="374"/>
      <c r="U104" s="374"/>
      <c r="V104" s="374"/>
      <c r="W104" s="374"/>
      <c r="X104" s="374"/>
      <c r="Y104" s="374"/>
      <c r="Z104" s="374"/>
    </row>
    <row r="105" ht="15.75" customHeight="1">
      <c r="A105" s="374"/>
      <c r="B105" s="374"/>
      <c r="C105" s="374"/>
      <c r="D105" s="374"/>
      <c r="E105" s="374"/>
      <c r="F105" s="374"/>
      <c r="G105" s="388"/>
      <c r="H105" s="388"/>
      <c r="I105" s="374"/>
      <c r="J105" s="374"/>
      <c r="K105" s="374"/>
      <c r="L105" s="374"/>
      <c r="M105" s="374"/>
      <c r="N105" s="374"/>
      <c r="O105" s="374"/>
      <c r="P105" s="374"/>
      <c r="Q105" s="374"/>
      <c r="R105" s="374"/>
      <c r="S105" s="374"/>
      <c r="T105" s="374"/>
      <c r="U105" s="374"/>
      <c r="V105" s="374"/>
      <c r="W105" s="374"/>
      <c r="X105" s="374"/>
      <c r="Y105" s="374"/>
      <c r="Z105" s="374"/>
    </row>
    <row r="106" ht="15.75" customHeight="1">
      <c r="A106" s="374"/>
      <c r="B106" s="374"/>
      <c r="C106" s="374"/>
      <c r="D106" s="374"/>
      <c r="E106" s="374"/>
      <c r="F106" s="374"/>
      <c r="G106" s="388"/>
      <c r="H106" s="388"/>
      <c r="I106" s="374"/>
      <c r="J106" s="374"/>
      <c r="K106" s="374"/>
      <c r="L106" s="374"/>
      <c r="M106" s="374"/>
      <c r="N106" s="374"/>
      <c r="O106" s="374"/>
      <c r="P106" s="374"/>
      <c r="Q106" s="374"/>
      <c r="R106" s="374"/>
      <c r="S106" s="374"/>
      <c r="T106" s="374"/>
      <c r="U106" s="374"/>
      <c r="V106" s="374"/>
      <c r="W106" s="374"/>
      <c r="X106" s="374"/>
      <c r="Y106" s="374"/>
      <c r="Z106" s="374"/>
    </row>
    <row r="107" ht="15.75" customHeight="1">
      <c r="A107" s="374"/>
      <c r="B107" s="374"/>
      <c r="C107" s="374"/>
      <c r="D107" s="374"/>
      <c r="E107" s="374"/>
      <c r="F107" s="374"/>
      <c r="G107" s="388"/>
      <c r="H107" s="388"/>
      <c r="I107" s="374"/>
      <c r="J107" s="374"/>
      <c r="K107" s="374"/>
      <c r="L107" s="374"/>
      <c r="M107" s="374"/>
      <c r="N107" s="374"/>
      <c r="O107" s="374"/>
      <c r="P107" s="374"/>
      <c r="Q107" s="374"/>
      <c r="R107" s="374"/>
      <c r="S107" s="374"/>
      <c r="T107" s="374"/>
      <c r="U107" s="374"/>
      <c r="V107" s="374"/>
      <c r="W107" s="374"/>
      <c r="X107" s="374"/>
      <c r="Y107" s="374"/>
      <c r="Z107" s="374"/>
    </row>
    <row r="108" ht="15.75" customHeight="1">
      <c r="A108" s="374"/>
      <c r="B108" s="374"/>
      <c r="C108" s="374"/>
      <c r="D108" s="374"/>
      <c r="E108" s="374"/>
      <c r="F108" s="374"/>
      <c r="G108" s="388"/>
      <c r="H108" s="388"/>
      <c r="I108" s="374"/>
      <c r="J108" s="374"/>
      <c r="K108" s="374"/>
      <c r="L108" s="374"/>
      <c r="M108" s="374"/>
      <c r="N108" s="374"/>
      <c r="O108" s="374"/>
      <c r="P108" s="374"/>
      <c r="Q108" s="374"/>
      <c r="R108" s="374"/>
      <c r="S108" s="374"/>
      <c r="T108" s="374"/>
      <c r="U108" s="374"/>
      <c r="V108" s="374"/>
      <c r="W108" s="374"/>
      <c r="X108" s="374"/>
      <c r="Y108" s="374"/>
      <c r="Z108" s="374"/>
    </row>
    <row r="109" ht="15.75" customHeight="1">
      <c r="A109" s="374"/>
      <c r="B109" s="374"/>
      <c r="C109" s="374"/>
      <c r="D109" s="374"/>
      <c r="E109" s="374"/>
      <c r="F109" s="374"/>
      <c r="G109" s="388"/>
      <c r="H109" s="388"/>
      <c r="I109" s="374"/>
      <c r="J109" s="374"/>
      <c r="K109" s="374"/>
      <c r="L109" s="374"/>
      <c r="M109" s="374"/>
      <c r="N109" s="374"/>
      <c r="O109" s="374"/>
      <c r="P109" s="374"/>
      <c r="Q109" s="374"/>
      <c r="R109" s="374"/>
      <c r="S109" s="374"/>
      <c r="T109" s="374"/>
      <c r="U109" s="374"/>
      <c r="V109" s="374"/>
      <c r="W109" s="374"/>
      <c r="X109" s="374"/>
      <c r="Y109" s="374"/>
      <c r="Z109" s="374"/>
    </row>
    <row r="110" ht="15.75" customHeight="1">
      <c r="A110" s="374"/>
      <c r="B110" s="374"/>
      <c r="C110" s="374"/>
      <c r="D110" s="374"/>
      <c r="E110" s="374"/>
      <c r="F110" s="374"/>
      <c r="G110" s="388"/>
      <c r="H110" s="388"/>
      <c r="I110" s="374"/>
      <c r="J110" s="374"/>
      <c r="K110" s="374"/>
      <c r="L110" s="374"/>
      <c r="M110" s="374"/>
      <c r="N110" s="374"/>
      <c r="O110" s="374"/>
      <c r="P110" s="374"/>
      <c r="Q110" s="374"/>
      <c r="R110" s="374"/>
      <c r="S110" s="374"/>
      <c r="T110" s="374"/>
      <c r="U110" s="374"/>
      <c r="V110" s="374"/>
      <c r="W110" s="374"/>
      <c r="X110" s="374"/>
      <c r="Y110" s="374"/>
      <c r="Z110" s="374"/>
    </row>
    <row r="111" ht="15.75" customHeight="1">
      <c r="A111" s="374"/>
      <c r="B111" s="374"/>
      <c r="C111" s="374"/>
      <c r="D111" s="374"/>
      <c r="E111" s="374"/>
      <c r="F111" s="374"/>
      <c r="G111" s="388"/>
      <c r="H111" s="388"/>
      <c r="I111" s="374"/>
      <c r="J111" s="374"/>
      <c r="K111" s="374"/>
      <c r="L111" s="374"/>
      <c r="M111" s="374"/>
      <c r="N111" s="374"/>
      <c r="O111" s="374"/>
      <c r="P111" s="374"/>
      <c r="Q111" s="374"/>
      <c r="R111" s="374"/>
      <c r="S111" s="374"/>
      <c r="T111" s="374"/>
      <c r="U111" s="374"/>
      <c r="V111" s="374"/>
      <c r="W111" s="374"/>
      <c r="X111" s="374"/>
      <c r="Y111" s="374"/>
      <c r="Z111" s="374"/>
    </row>
    <row r="112" ht="15.75" customHeight="1">
      <c r="A112" s="374"/>
      <c r="B112" s="374"/>
      <c r="C112" s="374"/>
      <c r="D112" s="374"/>
      <c r="E112" s="374"/>
      <c r="F112" s="374"/>
      <c r="G112" s="388"/>
      <c r="H112" s="388"/>
      <c r="I112" s="374"/>
      <c r="J112" s="374"/>
      <c r="K112" s="374"/>
      <c r="L112" s="374"/>
      <c r="M112" s="374"/>
      <c r="N112" s="374"/>
      <c r="O112" s="374"/>
      <c r="P112" s="374"/>
      <c r="Q112" s="374"/>
      <c r="R112" s="374"/>
      <c r="S112" s="374"/>
      <c r="T112" s="374"/>
      <c r="U112" s="374"/>
      <c r="V112" s="374"/>
      <c r="W112" s="374"/>
      <c r="X112" s="374"/>
      <c r="Y112" s="374"/>
      <c r="Z112" s="374"/>
    </row>
    <row r="113" ht="15.75" customHeight="1">
      <c r="A113" s="374"/>
      <c r="B113" s="374"/>
      <c r="C113" s="374"/>
      <c r="D113" s="374"/>
      <c r="E113" s="374"/>
      <c r="F113" s="374"/>
      <c r="G113" s="388"/>
      <c r="H113" s="388"/>
      <c r="I113" s="374"/>
      <c r="J113" s="374"/>
      <c r="K113" s="374"/>
      <c r="L113" s="374"/>
      <c r="M113" s="374"/>
      <c r="N113" s="374"/>
      <c r="O113" s="374"/>
      <c r="P113" s="374"/>
      <c r="Q113" s="374"/>
      <c r="R113" s="374"/>
      <c r="S113" s="374"/>
      <c r="T113" s="374"/>
      <c r="U113" s="374"/>
      <c r="V113" s="374"/>
      <c r="W113" s="374"/>
      <c r="X113" s="374"/>
      <c r="Y113" s="374"/>
      <c r="Z113" s="374"/>
    </row>
    <row r="114" ht="15.75" customHeight="1">
      <c r="A114" s="374"/>
      <c r="B114" s="374"/>
      <c r="C114" s="374"/>
      <c r="D114" s="374"/>
      <c r="E114" s="374"/>
      <c r="F114" s="374"/>
      <c r="G114" s="388"/>
      <c r="H114" s="388"/>
      <c r="I114" s="374"/>
      <c r="J114" s="374"/>
      <c r="K114" s="374"/>
      <c r="L114" s="374"/>
      <c r="M114" s="374"/>
      <c r="N114" s="374"/>
      <c r="O114" s="374"/>
      <c r="P114" s="374"/>
      <c r="Q114" s="374"/>
      <c r="R114" s="374"/>
      <c r="S114" s="374"/>
      <c r="T114" s="374"/>
      <c r="U114" s="374"/>
      <c r="V114" s="374"/>
      <c r="W114" s="374"/>
      <c r="X114" s="374"/>
      <c r="Y114" s="374"/>
      <c r="Z114" s="374"/>
    </row>
    <row r="115" ht="15.75" customHeight="1">
      <c r="A115" s="374"/>
      <c r="B115" s="374"/>
      <c r="C115" s="374"/>
      <c r="D115" s="374"/>
      <c r="E115" s="374"/>
      <c r="F115" s="374"/>
      <c r="G115" s="388"/>
      <c r="H115" s="388"/>
      <c r="I115" s="374"/>
      <c r="J115" s="374"/>
      <c r="K115" s="374"/>
      <c r="L115" s="374"/>
      <c r="M115" s="374"/>
      <c r="N115" s="374"/>
      <c r="O115" s="374"/>
      <c r="P115" s="374"/>
      <c r="Q115" s="374"/>
      <c r="R115" s="374"/>
      <c r="S115" s="374"/>
      <c r="T115" s="374"/>
      <c r="U115" s="374"/>
      <c r="V115" s="374"/>
      <c r="W115" s="374"/>
      <c r="X115" s="374"/>
      <c r="Y115" s="374"/>
      <c r="Z115" s="374"/>
    </row>
    <row r="116" ht="15.75" customHeight="1">
      <c r="A116" s="374"/>
      <c r="B116" s="374"/>
      <c r="C116" s="374"/>
      <c r="D116" s="374"/>
      <c r="E116" s="374"/>
      <c r="F116" s="374"/>
      <c r="G116" s="388"/>
      <c r="H116" s="388"/>
      <c r="I116" s="374"/>
      <c r="J116" s="374"/>
      <c r="K116" s="374"/>
      <c r="L116" s="374"/>
      <c r="M116" s="374"/>
      <c r="N116" s="374"/>
      <c r="O116" s="374"/>
      <c r="P116" s="374"/>
      <c r="Q116" s="374"/>
      <c r="R116" s="374"/>
      <c r="S116" s="374"/>
      <c r="T116" s="374"/>
      <c r="U116" s="374"/>
      <c r="V116" s="374"/>
      <c r="W116" s="374"/>
      <c r="X116" s="374"/>
      <c r="Y116" s="374"/>
      <c r="Z116" s="374"/>
    </row>
    <row r="117" ht="15.75" customHeight="1">
      <c r="A117" s="374"/>
      <c r="B117" s="374"/>
      <c r="C117" s="374"/>
      <c r="D117" s="374"/>
      <c r="E117" s="374"/>
      <c r="F117" s="374"/>
      <c r="G117" s="388"/>
      <c r="H117" s="388"/>
      <c r="I117" s="374"/>
      <c r="J117" s="374"/>
      <c r="K117" s="374"/>
      <c r="L117" s="374"/>
      <c r="M117" s="374"/>
      <c r="N117" s="374"/>
      <c r="O117" s="374"/>
      <c r="P117" s="374"/>
      <c r="Q117" s="374"/>
      <c r="R117" s="374"/>
      <c r="S117" s="374"/>
      <c r="T117" s="374"/>
      <c r="U117" s="374"/>
      <c r="V117" s="374"/>
      <c r="W117" s="374"/>
      <c r="X117" s="374"/>
      <c r="Y117" s="374"/>
      <c r="Z117" s="374"/>
    </row>
    <row r="118" ht="15.75" customHeight="1">
      <c r="A118" s="374"/>
      <c r="B118" s="374"/>
      <c r="C118" s="374"/>
      <c r="D118" s="374"/>
      <c r="E118" s="374"/>
      <c r="F118" s="374"/>
      <c r="G118" s="388"/>
      <c r="H118" s="388"/>
      <c r="I118" s="374"/>
      <c r="J118" s="374"/>
      <c r="K118" s="374"/>
      <c r="L118" s="374"/>
      <c r="M118" s="374"/>
      <c r="N118" s="374"/>
      <c r="O118" s="374"/>
      <c r="P118" s="374"/>
      <c r="Q118" s="374"/>
      <c r="R118" s="374"/>
      <c r="S118" s="374"/>
      <c r="T118" s="374"/>
      <c r="U118" s="374"/>
      <c r="V118" s="374"/>
      <c r="W118" s="374"/>
      <c r="X118" s="374"/>
      <c r="Y118" s="374"/>
      <c r="Z118" s="374"/>
    </row>
    <row r="119" ht="15.75" customHeight="1">
      <c r="A119" s="374"/>
      <c r="B119" s="374"/>
      <c r="C119" s="374"/>
      <c r="D119" s="374"/>
      <c r="E119" s="374"/>
      <c r="F119" s="374"/>
      <c r="G119" s="388"/>
      <c r="H119" s="388"/>
      <c r="I119" s="374"/>
      <c r="J119" s="374"/>
      <c r="K119" s="374"/>
      <c r="L119" s="374"/>
      <c r="M119" s="374"/>
      <c r="N119" s="374"/>
      <c r="O119" s="374"/>
      <c r="P119" s="374"/>
      <c r="Q119" s="374"/>
      <c r="R119" s="374"/>
      <c r="S119" s="374"/>
      <c r="T119" s="374"/>
      <c r="U119" s="374"/>
      <c r="V119" s="374"/>
      <c r="W119" s="374"/>
      <c r="X119" s="374"/>
      <c r="Y119" s="374"/>
      <c r="Z119" s="374"/>
    </row>
    <row r="120" ht="15.75" customHeight="1">
      <c r="A120" s="374"/>
      <c r="B120" s="374"/>
      <c r="C120" s="374"/>
      <c r="D120" s="374"/>
      <c r="E120" s="374"/>
      <c r="F120" s="374"/>
      <c r="G120" s="388"/>
      <c r="H120" s="388"/>
      <c r="I120" s="374"/>
      <c r="J120" s="374"/>
      <c r="K120" s="374"/>
      <c r="L120" s="374"/>
      <c r="M120" s="374"/>
      <c r="N120" s="374"/>
      <c r="O120" s="374"/>
      <c r="P120" s="374"/>
      <c r="Q120" s="374"/>
      <c r="R120" s="374"/>
      <c r="S120" s="374"/>
      <c r="T120" s="374"/>
      <c r="U120" s="374"/>
      <c r="V120" s="374"/>
      <c r="W120" s="374"/>
      <c r="X120" s="374"/>
      <c r="Y120" s="374"/>
      <c r="Z120" s="374"/>
    </row>
    <row r="121" ht="15.75" customHeight="1">
      <c r="A121" s="374"/>
      <c r="B121" s="374"/>
      <c r="C121" s="374"/>
      <c r="D121" s="374"/>
      <c r="E121" s="374"/>
      <c r="F121" s="374"/>
      <c r="G121" s="388"/>
      <c r="H121" s="388"/>
      <c r="I121" s="374"/>
      <c r="J121" s="374"/>
      <c r="K121" s="374"/>
      <c r="L121" s="374"/>
      <c r="M121" s="374"/>
      <c r="N121" s="374"/>
      <c r="O121" s="374"/>
      <c r="P121" s="374"/>
      <c r="Q121" s="374"/>
      <c r="R121" s="374"/>
      <c r="S121" s="374"/>
      <c r="T121" s="374"/>
      <c r="U121" s="374"/>
      <c r="V121" s="374"/>
      <c r="W121" s="374"/>
      <c r="X121" s="374"/>
      <c r="Y121" s="374"/>
      <c r="Z121" s="374"/>
    </row>
    <row r="122" ht="15.75" customHeight="1">
      <c r="A122" s="374"/>
      <c r="B122" s="374"/>
      <c r="C122" s="374"/>
      <c r="D122" s="374"/>
      <c r="E122" s="374"/>
      <c r="F122" s="374"/>
      <c r="G122" s="388"/>
      <c r="H122" s="388"/>
      <c r="I122" s="374"/>
      <c r="J122" s="374"/>
      <c r="K122" s="374"/>
      <c r="L122" s="374"/>
      <c r="M122" s="374"/>
      <c r="N122" s="374"/>
      <c r="O122" s="374"/>
      <c r="P122" s="374"/>
      <c r="Q122" s="374"/>
      <c r="R122" s="374"/>
      <c r="S122" s="374"/>
      <c r="T122" s="374"/>
      <c r="U122" s="374"/>
      <c r="V122" s="374"/>
      <c r="W122" s="374"/>
      <c r="X122" s="374"/>
      <c r="Y122" s="374"/>
      <c r="Z122" s="374"/>
    </row>
    <row r="123" ht="15.75" customHeight="1">
      <c r="A123" s="374"/>
      <c r="B123" s="374"/>
      <c r="C123" s="374"/>
      <c r="D123" s="374"/>
      <c r="E123" s="374"/>
      <c r="F123" s="374"/>
      <c r="G123" s="388"/>
      <c r="H123" s="388"/>
      <c r="I123" s="374"/>
      <c r="J123" s="374"/>
      <c r="K123" s="374"/>
      <c r="L123" s="374"/>
      <c r="M123" s="374"/>
      <c r="N123" s="374"/>
      <c r="O123" s="374"/>
      <c r="P123" s="374"/>
      <c r="Q123" s="374"/>
      <c r="R123" s="374"/>
      <c r="S123" s="374"/>
      <c r="T123" s="374"/>
      <c r="U123" s="374"/>
      <c r="V123" s="374"/>
      <c r="W123" s="374"/>
      <c r="X123" s="374"/>
      <c r="Y123" s="374"/>
      <c r="Z123" s="374"/>
    </row>
    <row r="124" ht="15.75" customHeight="1">
      <c r="A124" s="374"/>
      <c r="B124" s="374"/>
      <c r="C124" s="374"/>
      <c r="D124" s="374"/>
      <c r="E124" s="374"/>
      <c r="F124" s="374"/>
      <c r="G124" s="388"/>
      <c r="H124" s="388"/>
      <c r="I124" s="374"/>
      <c r="J124" s="374"/>
      <c r="K124" s="374"/>
      <c r="L124" s="374"/>
      <c r="M124" s="374"/>
      <c r="N124" s="374"/>
      <c r="O124" s="374"/>
      <c r="P124" s="374"/>
      <c r="Q124" s="374"/>
      <c r="R124" s="374"/>
      <c r="S124" s="374"/>
      <c r="T124" s="374"/>
      <c r="U124" s="374"/>
      <c r="V124" s="374"/>
      <c r="W124" s="374"/>
      <c r="X124" s="374"/>
      <c r="Y124" s="374"/>
      <c r="Z124" s="374"/>
    </row>
    <row r="125" ht="15.75" customHeight="1">
      <c r="A125" s="374"/>
      <c r="B125" s="374"/>
      <c r="C125" s="374"/>
      <c r="D125" s="374"/>
      <c r="E125" s="374"/>
      <c r="F125" s="374"/>
      <c r="G125" s="388"/>
      <c r="H125" s="388"/>
      <c r="I125" s="374"/>
      <c r="J125" s="374"/>
      <c r="K125" s="374"/>
      <c r="L125" s="374"/>
      <c r="M125" s="374"/>
      <c r="N125" s="374"/>
      <c r="O125" s="374"/>
      <c r="P125" s="374"/>
      <c r="Q125" s="374"/>
      <c r="R125" s="374"/>
      <c r="S125" s="374"/>
      <c r="T125" s="374"/>
      <c r="U125" s="374"/>
      <c r="V125" s="374"/>
      <c r="W125" s="374"/>
      <c r="X125" s="374"/>
      <c r="Y125" s="374"/>
      <c r="Z125" s="374"/>
    </row>
    <row r="126" ht="15.75" customHeight="1">
      <c r="A126" s="374"/>
      <c r="B126" s="374"/>
      <c r="C126" s="374"/>
      <c r="D126" s="374"/>
      <c r="E126" s="374"/>
      <c r="F126" s="374"/>
      <c r="G126" s="388"/>
      <c r="H126" s="388"/>
      <c r="I126" s="374"/>
      <c r="J126" s="374"/>
      <c r="K126" s="374"/>
      <c r="L126" s="374"/>
      <c r="M126" s="374"/>
      <c r="N126" s="374"/>
      <c r="O126" s="374"/>
      <c r="P126" s="374"/>
      <c r="Q126" s="374"/>
      <c r="R126" s="374"/>
      <c r="S126" s="374"/>
      <c r="T126" s="374"/>
      <c r="U126" s="374"/>
      <c r="V126" s="374"/>
      <c r="W126" s="374"/>
      <c r="X126" s="374"/>
      <c r="Y126" s="374"/>
      <c r="Z126" s="374"/>
    </row>
    <row r="127" ht="15.75" customHeight="1">
      <c r="A127" s="374"/>
      <c r="B127" s="374"/>
      <c r="C127" s="374"/>
      <c r="D127" s="374"/>
      <c r="E127" s="374"/>
      <c r="F127" s="374"/>
      <c r="G127" s="388"/>
      <c r="H127" s="388"/>
      <c r="I127" s="374"/>
      <c r="J127" s="374"/>
      <c r="K127" s="374"/>
      <c r="L127" s="374"/>
      <c r="M127" s="374"/>
      <c r="N127" s="374"/>
      <c r="O127" s="374"/>
      <c r="P127" s="374"/>
      <c r="Q127" s="374"/>
      <c r="R127" s="374"/>
      <c r="S127" s="374"/>
      <c r="T127" s="374"/>
      <c r="U127" s="374"/>
      <c r="V127" s="374"/>
      <c r="W127" s="374"/>
      <c r="X127" s="374"/>
      <c r="Y127" s="374"/>
      <c r="Z127" s="374"/>
    </row>
    <row r="128" ht="15.75" customHeight="1">
      <c r="A128" s="374"/>
      <c r="B128" s="374"/>
      <c r="C128" s="374"/>
      <c r="D128" s="374"/>
      <c r="E128" s="374"/>
      <c r="F128" s="374"/>
      <c r="G128" s="388"/>
      <c r="H128" s="388"/>
      <c r="I128" s="374"/>
      <c r="J128" s="374"/>
      <c r="K128" s="374"/>
      <c r="L128" s="374"/>
      <c r="M128" s="374"/>
      <c r="N128" s="374"/>
      <c r="O128" s="374"/>
      <c r="P128" s="374"/>
      <c r="Q128" s="374"/>
      <c r="R128" s="374"/>
      <c r="S128" s="374"/>
      <c r="T128" s="374"/>
      <c r="U128" s="374"/>
      <c r="V128" s="374"/>
      <c r="W128" s="374"/>
      <c r="X128" s="374"/>
      <c r="Y128" s="374"/>
      <c r="Z128" s="374"/>
    </row>
    <row r="129" ht="15.75" customHeight="1">
      <c r="A129" s="374"/>
      <c r="B129" s="374"/>
      <c r="C129" s="374"/>
      <c r="D129" s="374"/>
      <c r="E129" s="374"/>
      <c r="F129" s="374"/>
      <c r="G129" s="388"/>
      <c r="H129" s="388"/>
      <c r="I129" s="374"/>
      <c r="J129" s="374"/>
      <c r="K129" s="374"/>
      <c r="L129" s="374"/>
      <c r="M129" s="374"/>
      <c r="N129" s="374"/>
      <c r="O129" s="374"/>
      <c r="P129" s="374"/>
      <c r="Q129" s="374"/>
      <c r="R129" s="374"/>
      <c r="S129" s="374"/>
      <c r="T129" s="374"/>
      <c r="U129" s="374"/>
      <c r="V129" s="374"/>
      <c r="W129" s="374"/>
      <c r="X129" s="374"/>
      <c r="Y129" s="374"/>
      <c r="Z129" s="374"/>
    </row>
    <row r="130" ht="15.75" customHeight="1">
      <c r="A130" s="374"/>
      <c r="B130" s="374"/>
      <c r="C130" s="374"/>
      <c r="D130" s="374"/>
      <c r="E130" s="374"/>
      <c r="F130" s="374"/>
      <c r="G130" s="388"/>
      <c r="H130" s="388"/>
      <c r="I130" s="374"/>
      <c r="J130" s="374"/>
      <c r="K130" s="374"/>
      <c r="L130" s="374"/>
      <c r="M130" s="374"/>
      <c r="N130" s="374"/>
      <c r="O130" s="374"/>
      <c r="P130" s="374"/>
      <c r="Q130" s="374"/>
      <c r="R130" s="374"/>
      <c r="S130" s="374"/>
      <c r="T130" s="374"/>
      <c r="U130" s="374"/>
      <c r="V130" s="374"/>
      <c r="W130" s="374"/>
      <c r="X130" s="374"/>
      <c r="Y130" s="374"/>
      <c r="Z130" s="374"/>
    </row>
    <row r="131" ht="15.75" customHeight="1">
      <c r="A131" s="374"/>
      <c r="B131" s="374"/>
      <c r="C131" s="374"/>
      <c r="D131" s="374"/>
      <c r="E131" s="374"/>
      <c r="F131" s="374"/>
      <c r="G131" s="388"/>
      <c r="H131" s="388"/>
      <c r="I131" s="374"/>
      <c r="J131" s="374"/>
      <c r="K131" s="374"/>
      <c r="L131" s="374"/>
      <c r="M131" s="374"/>
      <c r="N131" s="374"/>
      <c r="O131" s="374"/>
      <c r="P131" s="374"/>
      <c r="Q131" s="374"/>
      <c r="R131" s="374"/>
      <c r="S131" s="374"/>
      <c r="T131" s="374"/>
      <c r="U131" s="374"/>
      <c r="V131" s="374"/>
      <c r="W131" s="374"/>
      <c r="X131" s="374"/>
      <c r="Y131" s="374"/>
      <c r="Z131" s="374"/>
    </row>
    <row r="132" ht="15.75" customHeight="1">
      <c r="A132" s="374"/>
      <c r="B132" s="374"/>
      <c r="C132" s="374"/>
      <c r="D132" s="374"/>
      <c r="E132" s="374"/>
      <c r="F132" s="374"/>
      <c r="G132" s="388"/>
      <c r="H132" s="388"/>
      <c r="I132" s="374"/>
      <c r="J132" s="374"/>
      <c r="K132" s="374"/>
      <c r="L132" s="374"/>
      <c r="M132" s="374"/>
      <c r="N132" s="374"/>
      <c r="O132" s="374"/>
      <c r="P132" s="374"/>
      <c r="Q132" s="374"/>
      <c r="R132" s="374"/>
      <c r="S132" s="374"/>
      <c r="T132" s="374"/>
      <c r="U132" s="374"/>
      <c r="V132" s="374"/>
      <c r="W132" s="374"/>
      <c r="X132" s="374"/>
      <c r="Y132" s="374"/>
      <c r="Z132" s="374"/>
    </row>
    <row r="133" ht="15.75" customHeight="1">
      <c r="A133" s="374"/>
      <c r="B133" s="374"/>
      <c r="C133" s="374"/>
      <c r="D133" s="374"/>
      <c r="E133" s="374"/>
      <c r="F133" s="374"/>
      <c r="G133" s="388"/>
      <c r="H133" s="388"/>
      <c r="I133" s="374"/>
      <c r="J133" s="374"/>
      <c r="K133" s="374"/>
      <c r="L133" s="374"/>
      <c r="M133" s="374"/>
      <c r="N133" s="374"/>
      <c r="O133" s="374"/>
      <c r="P133" s="374"/>
      <c r="Q133" s="374"/>
      <c r="R133" s="374"/>
      <c r="S133" s="374"/>
      <c r="T133" s="374"/>
      <c r="U133" s="374"/>
      <c r="V133" s="374"/>
      <c r="W133" s="374"/>
      <c r="X133" s="374"/>
      <c r="Y133" s="374"/>
      <c r="Z133" s="374"/>
    </row>
    <row r="134" ht="15.75" customHeight="1">
      <c r="A134" s="374"/>
      <c r="B134" s="374"/>
      <c r="C134" s="374"/>
      <c r="D134" s="374"/>
      <c r="E134" s="374"/>
      <c r="F134" s="374"/>
      <c r="G134" s="388"/>
      <c r="H134" s="388"/>
      <c r="I134" s="374"/>
      <c r="J134" s="374"/>
      <c r="K134" s="374"/>
      <c r="L134" s="374"/>
      <c r="M134" s="374"/>
      <c r="N134" s="374"/>
      <c r="O134" s="374"/>
      <c r="P134" s="374"/>
      <c r="Q134" s="374"/>
      <c r="R134" s="374"/>
      <c r="S134" s="374"/>
      <c r="T134" s="374"/>
      <c r="U134" s="374"/>
      <c r="V134" s="374"/>
      <c r="W134" s="374"/>
      <c r="X134" s="374"/>
      <c r="Y134" s="374"/>
      <c r="Z134" s="374"/>
    </row>
    <row r="135" ht="15.75" customHeight="1">
      <c r="A135" s="374"/>
      <c r="B135" s="374"/>
      <c r="C135" s="374"/>
      <c r="D135" s="374"/>
      <c r="E135" s="374"/>
      <c r="F135" s="374"/>
      <c r="G135" s="388"/>
      <c r="H135" s="388"/>
      <c r="I135" s="374"/>
      <c r="J135" s="374"/>
      <c r="K135" s="374"/>
      <c r="L135" s="374"/>
      <c r="M135" s="374"/>
      <c r="N135" s="374"/>
      <c r="O135" s="374"/>
      <c r="P135" s="374"/>
      <c r="Q135" s="374"/>
      <c r="R135" s="374"/>
      <c r="S135" s="374"/>
      <c r="T135" s="374"/>
      <c r="U135" s="374"/>
      <c r="V135" s="374"/>
      <c r="W135" s="374"/>
      <c r="X135" s="374"/>
      <c r="Y135" s="374"/>
      <c r="Z135" s="374"/>
    </row>
    <row r="136" ht="15.75" customHeight="1">
      <c r="A136" s="374"/>
      <c r="B136" s="374"/>
      <c r="C136" s="374"/>
      <c r="D136" s="374"/>
      <c r="E136" s="374"/>
      <c r="F136" s="374"/>
      <c r="G136" s="388"/>
      <c r="H136" s="388"/>
      <c r="I136" s="374"/>
      <c r="J136" s="374"/>
      <c r="K136" s="374"/>
      <c r="L136" s="374"/>
      <c r="M136" s="374"/>
      <c r="N136" s="374"/>
      <c r="O136" s="374"/>
      <c r="P136" s="374"/>
      <c r="Q136" s="374"/>
      <c r="R136" s="374"/>
      <c r="S136" s="374"/>
      <c r="T136" s="374"/>
      <c r="U136" s="374"/>
      <c r="V136" s="374"/>
      <c r="W136" s="374"/>
      <c r="X136" s="374"/>
      <c r="Y136" s="374"/>
      <c r="Z136" s="374"/>
    </row>
    <row r="137" ht="15.75" customHeight="1">
      <c r="A137" s="374"/>
      <c r="B137" s="374"/>
      <c r="C137" s="374"/>
      <c r="D137" s="374"/>
      <c r="E137" s="374"/>
      <c r="F137" s="374"/>
      <c r="G137" s="388"/>
      <c r="H137" s="388"/>
      <c r="I137" s="374"/>
      <c r="J137" s="374"/>
      <c r="K137" s="374"/>
      <c r="L137" s="374"/>
      <c r="M137" s="374"/>
      <c r="N137" s="374"/>
      <c r="O137" s="374"/>
      <c r="P137" s="374"/>
      <c r="Q137" s="374"/>
      <c r="R137" s="374"/>
      <c r="S137" s="374"/>
      <c r="T137" s="374"/>
      <c r="U137" s="374"/>
      <c r="V137" s="374"/>
      <c r="W137" s="374"/>
      <c r="X137" s="374"/>
      <c r="Y137" s="374"/>
      <c r="Z137" s="374"/>
    </row>
    <row r="138" ht="15.75" customHeight="1">
      <c r="A138" s="374"/>
      <c r="B138" s="374"/>
      <c r="C138" s="374"/>
      <c r="D138" s="374"/>
      <c r="E138" s="374"/>
      <c r="F138" s="374"/>
      <c r="G138" s="388"/>
      <c r="H138" s="388"/>
      <c r="I138" s="374"/>
      <c r="J138" s="374"/>
      <c r="K138" s="374"/>
      <c r="L138" s="374"/>
      <c r="M138" s="374"/>
      <c r="N138" s="374"/>
      <c r="O138" s="374"/>
      <c r="P138" s="374"/>
      <c r="Q138" s="374"/>
      <c r="R138" s="374"/>
      <c r="S138" s="374"/>
      <c r="T138" s="374"/>
      <c r="U138" s="374"/>
      <c r="V138" s="374"/>
      <c r="W138" s="374"/>
      <c r="X138" s="374"/>
      <c r="Y138" s="374"/>
      <c r="Z138" s="374"/>
    </row>
    <row r="139" ht="15.75" customHeight="1">
      <c r="A139" s="374"/>
      <c r="B139" s="374"/>
      <c r="C139" s="374"/>
      <c r="D139" s="374"/>
      <c r="E139" s="374"/>
      <c r="F139" s="374"/>
      <c r="G139" s="388"/>
      <c r="H139" s="388"/>
      <c r="I139" s="374"/>
      <c r="J139" s="374"/>
      <c r="K139" s="374"/>
      <c r="L139" s="374"/>
      <c r="M139" s="374"/>
      <c r="N139" s="374"/>
      <c r="O139" s="374"/>
      <c r="P139" s="374"/>
      <c r="Q139" s="374"/>
      <c r="R139" s="374"/>
      <c r="S139" s="374"/>
      <c r="T139" s="374"/>
      <c r="U139" s="374"/>
      <c r="V139" s="374"/>
      <c r="W139" s="374"/>
      <c r="X139" s="374"/>
      <c r="Y139" s="374"/>
      <c r="Z139" s="374"/>
    </row>
    <row r="140" ht="15.75" customHeight="1">
      <c r="A140" s="374"/>
      <c r="B140" s="374"/>
      <c r="C140" s="374"/>
      <c r="D140" s="374"/>
      <c r="E140" s="374"/>
      <c r="F140" s="374"/>
      <c r="G140" s="388"/>
      <c r="H140" s="388"/>
      <c r="I140" s="374"/>
      <c r="J140" s="374"/>
      <c r="K140" s="374"/>
      <c r="L140" s="374"/>
      <c r="M140" s="374"/>
      <c r="N140" s="374"/>
      <c r="O140" s="374"/>
      <c r="P140" s="374"/>
      <c r="Q140" s="374"/>
      <c r="R140" s="374"/>
      <c r="S140" s="374"/>
      <c r="T140" s="374"/>
      <c r="U140" s="374"/>
      <c r="V140" s="374"/>
      <c r="W140" s="374"/>
      <c r="X140" s="374"/>
      <c r="Y140" s="374"/>
      <c r="Z140" s="374"/>
    </row>
    <row r="141" ht="15.75" customHeight="1">
      <c r="A141" s="374"/>
      <c r="B141" s="374"/>
      <c r="C141" s="374"/>
      <c r="D141" s="374"/>
      <c r="E141" s="374"/>
      <c r="F141" s="374"/>
      <c r="G141" s="388"/>
      <c r="H141" s="388"/>
      <c r="I141" s="374"/>
      <c r="J141" s="374"/>
      <c r="K141" s="374"/>
      <c r="L141" s="374"/>
      <c r="M141" s="374"/>
      <c r="N141" s="374"/>
      <c r="O141" s="374"/>
      <c r="P141" s="374"/>
      <c r="Q141" s="374"/>
      <c r="R141" s="374"/>
      <c r="S141" s="374"/>
      <c r="T141" s="374"/>
      <c r="U141" s="374"/>
      <c r="V141" s="374"/>
      <c r="W141" s="374"/>
      <c r="X141" s="374"/>
      <c r="Y141" s="374"/>
      <c r="Z141" s="374"/>
    </row>
    <row r="142" ht="15.75" customHeight="1">
      <c r="A142" s="374"/>
      <c r="B142" s="374"/>
      <c r="C142" s="374"/>
      <c r="D142" s="374"/>
      <c r="E142" s="374"/>
      <c r="F142" s="374"/>
      <c r="G142" s="388"/>
      <c r="H142" s="388"/>
      <c r="I142" s="374"/>
      <c r="J142" s="374"/>
      <c r="K142" s="374"/>
      <c r="L142" s="374"/>
      <c r="M142" s="374"/>
      <c r="N142" s="374"/>
      <c r="O142" s="374"/>
      <c r="P142" s="374"/>
      <c r="Q142" s="374"/>
      <c r="R142" s="374"/>
      <c r="S142" s="374"/>
      <c r="T142" s="374"/>
      <c r="U142" s="374"/>
      <c r="V142" s="374"/>
      <c r="W142" s="374"/>
      <c r="X142" s="374"/>
      <c r="Y142" s="374"/>
      <c r="Z142" s="374"/>
    </row>
    <row r="143" ht="15.75" customHeight="1">
      <c r="A143" s="374"/>
      <c r="B143" s="374"/>
      <c r="C143" s="374"/>
      <c r="D143" s="374"/>
      <c r="E143" s="374"/>
      <c r="F143" s="374"/>
      <c r="G143" s="388"/>
      <c r="H143" s="388"/>
      <c r="I143" s="374"/>
      <c r="J143" s="374"/>
      <c r="K143" s="374"/>
      <c r="L143" s="374"/>
      <c r="M143" s="374"/>
      <c r="N143" s="374"/>
      <c r="O143" s="374"/>
      <c r="P143" s="374"/>
      <c r="Q143" s="374"/>
      <c r="R143" s="374"/>
      <c r="S143" s="374"/>
      <c r="T143" s="374"/>
      <c r="U143" s="374"/>
      <c r="V143" s="374"/>
      <c r="W143" s="374"/>
      <c r="X143" s="374"/>
      <c r="Y143" s="374"/>
      <c r="Z143" s="374"/>
    </row>
    <row r="144" ht="15.75" customHeight="1">
      <c r="A144" s="374"/>
      <c r="B144" s="374"/>
      <c r="C144" s="374"/>
      <c r="D144" s="374"/>
      <c r="E144" s="374"/>
      <c r="F144" s="374"/>
      <c r="G144" s="388"/>
      <c r="H144" s="388"/>
      <c r="I144" s="374"/>
      <c r="J144" s="374"/>
      <c r="K144" s="374"/>
      <c r="L144" s="374"/>
      <c r="M144" s="374"/>
      <c r="N144" s="374"/>
      <c r="O144" s="374"/>
      <c r="P144" s="374"/>
      <c r="Q144" s="374"/>
      <c r="R144" s="374"/>
      <c r="S144" s="374"/>
      <c r="T144" s="374"/>
      <c r="U144" s="374"/>
      <c r="V144" s="374"/>
      <c r="W144" s="374"/>
      <c r="X144" s="374"/>
      <c r="Y144" s="374"/>
      <c r="Z144" s="374"/>
    </row>
    <row r="145" ht="15.75" customHeight="1">
      <c r="A145" s="374"/>
      <c r="B145" s="374"/>
      <c r="C145" s="374"/>
      <c r="D145" s="374"/>
      <c r="E145" s="374"/>
      <c r="F145" s="374"/>
      <c r="G145" s="388"/>
      <c r="H145" s="388"/>
      <c r="I145" s="374"/>
      <c r="J145" s="374"/>
      <c r="K145" s="374"/>
      <c r="L145" s="374"/>
      <c r="M145" s="374"/>
      <c r="N145" s="374"/>
      <c r="O145" s="374"/>
      <c r="P145" s="374"/>
      <c r="Q145" s="374"/>
      <c r="R145" s="374"/>
      <c r="S145" s="374"/>
      <c r="T145" s="374"/>
      <c r="U145" s="374"/>
      <c r="V145" s="374"/>
      <c r="W145" s="374"/>
      <c r="X145" s="374"/>
      <c r="Y145" s="374"/>
      <c r="Z145" s="374"/>
    </row>
    <row r="146" ht="15.75" customHeight="1">
      <c r="A146" s="374"/>
      <c r="B146" s="374"/>
      <c r="C146" s="374"/>
      <c r="D146" s="374"/>
      <c r="E146" s="374"/>
      <c r="F146" s="374"/>
      <c r="G146" s="388"/>
      <c r="H146" s="388"/>
      <c r="I146" s="374"/>
      <c r="J146" s="374"/>
      <c r="K146" s="374"/>
      <c r="L146" s="374"/>
      <c r="M146" s="374"/>
      <c r="N146" s="374"/>
      <c r="O146" s="374"/>
      <c r="P146" s="374"/>
      <c r="Q146" s="374"/>
      <c r="R146" s="374"/>
      <c r="S146" s="374"/>
      <c r="T146" s="374"/>
      <c r="U146" s="374"/>
      <c r="V146" s="374"/>
      <c r="W146" s="374"/>
      <c r="X146" s="374"/>
      <c r="Y146" s="374"/>
      <c r="Z146" s="374"/>
    </row>
    <row r="147" ht="15.75" customHeight="1">
      <c r="A147" s="374"/>
      <c r="B147" s="374"/>
      <c r="C147" s="374"/>
      <c r="D147" s="374"/>
      <c r="E147" s="374"/>
      <c r="F147" s="374"/>
      <c r="G147" s="388"/>
      <c r="H147" s="388"/>
      <c r="I147" s="374"/>
      <c r="J147" s="374"/>
      <c r="K147" s="374"/>
      <c r="L147" s="374"/>
      <c r="M147" s="374"/>
      <c r="N147" s="374"/>
      <c r="O147" s="374"/>
      <c r="P147" s="374"/>
      <c r="Q147" s="374"/>
      <c r="R147" s="374"/>
      <c r="S147" s="374"/>
      <c r="T147" s="374"/>
      <c r="U147" s="374"/>
      <c r="V147" s="374"/>
      <c r="W147" s="374"/>
      <c r="X147" s="374"/>
      <c r="Y147" s="374"/>
      <c r="Z147" s="374"/>
    </row>
    <row r="148" ht="15.75" customHeight="1">
      <c r="A148" s="374"/>
      <c r="B148" s="374"/>
      <c r="C148" s="374"/>
      <c r="D148" s="374"/>
      <c r="E148" s="374"/>
      <c r="F148" s="374"/>
      <c r="G148" s="388"/>
      <c r="H148" s="388"/>
      <c r="I148" s="374"/>
      <c r="J148" s="374"/>
      <c r="K148" s="374"/>
      <c r="L148" s="374"/>
      <c r="M148" s="374"/>
      <c r="N148" s="374"/>
      <c r="O148" s="374"/>
      <c r="P148" s="374"/>
      <c r="Q148" s="374"/>
      <c r="R148" s="374"/>
      <c r="S148" s="374"/>
      <c r="T148" s="374"/>
      <c r="U148" s="374"/>
      <c r="V148" s="374"/>
      <c r="W148" s="374"/>
      <c r="X148" s="374"/>
      <c r="Y148" s="374"/>
      <c r="Z148" s="374"/>
    </row>
    <row r="149" ht="15.75" customHeight="1">
      <c r="A149" s="374"/>
      <c r="B149" s="374"/>
      <c r="C149" s="374"/>
      <c r="D149" s="374"/>
      <c r="E149" s="374"/>
      <c r="F149" s="374"/>
      <c r="G149" s="388"/>
      <c r="H149" s="388"/>
      <c r="I149" s="374"/>
      <c r="J149" s="374"/>
      <c r="K149" s="374"/>
      <c r="L149" s="374"/>
      <c r="M149" s="374"/>
      <c r="N149" s="374"/>
      <c r="O149" s="374"/>
      <c r="P149" s="374"/>
      <c r="Q149" s="374"/>
      <c r="R149" s="374"/>
      <c r="S149" s="374"/>
      <c r="T149" s="374"/>
      <c r="U149" s="374"/>
      <c r="V149" s="374"/>
      <c r="W149" s="374"/>
      <c r="X149" s="374"/>
      <c r="Y149" s="374"/>
      <c r="Z149" s="374"/>
    </row>
    <row r="150" ht="15.75" customHeight="1">
      <c r="A150" s="374"/>
      <c r="B150" s="374"/>
      <c r="C150" s="374"/>
      <c r="D150" s="374"/>
      <c r="E150" s="374"/>
      <c r="F150" s="374"/>
      <c r="G150" s="388"/>
      <c r="H150" s="388"/>
      <c r="I150" s="374"/>
      <c r="J150" s="374"/>
      <c r="K150" s="374"/>
      <c r="L150" s="374"/>
      <c r="M150" s="374"/>
      <c r="N150" s="374"/>
      <c r="O150" s="374"/>
      <c r="P150" s="374"/>
      <c r="Q150" s="374"/>
      <c r="R150" s="374"/>
      <c r="S150" s="374"/>
      <c r="T150" s="374"/>
      <c r="U150" s="374"/>
      <c r="V150" s="374"/>
      <c r="W150" s="374"/>
      <c r="X150" s="374"/>
      <c r="Y150" s="374"/>
      <c r="Z150" s="374"/>
    </row>
    <row r="151" ht="15.75" customHeight="1">
      <c r="A151" s="374"/>
      <c r="B151" s="374"/>
      <c r="C151" s="374"/>
      <c r="D151" s="374"/>
      <c r="E151" s="374"/>
      <c r="F151" s="374"/>
      <c r="G151" s="388"/>
      <c r="H151" s="388"/>
      <c r="I151" s="374"/>
      <c r="J151" s="374"/>
      <c r="K151" s="374"/>
      <c r="L151" s="374"/>
      <c r="M151" s="374"/>
      <c r="N151" s="374"/>
      <c r="O151" s="374"/>
      <c r="P151" s="374"/>
      <c r="Q151" s="374"/>
      <c r="R151" s="374"/>
      <c r="S151" s="374"/>
      <c r="T151" s="374"/>
      <c r="U151" s="374"/>
      <c r="V151" s="374"/>
      <c r="W151" s="374"/>
      <c r="X151" s="374"/>
      <c r="Y151" s="374"/>
      <c r="Z151" s="374"/>
    </row>
    <row r="152" ht="15.75" customHeight="1">
      <c r="A152" s="374"/>
      <c r="B152" s="374"/>
      <c r="C152" s="374"/>
      <c r="D152" s="374"/>
      <c r="E152" s="374"/>
      <c r="F152" s="374"/>
      <c r="G152" s="388"/>
      <c r="H152" s="388"/>
      <c r="I152" s="374"/>
      <c r="J152" s="374"/>
      <c r="K152" s="374"/>
      <c r="L152" s="374"/>
      <c r="M152" s="374"/>
      <c r="N152" s="374"/>
      <c r="O152" s="374"/>
      <c r="P152" s="374"/>
      <c r="Q152" s="374"/>
      <c r="R152" s="374"/>
      <c r="S152" s="374"/>
      <c r="T152" s="374"/>
      <c r="U152" s="374"/>
      <c r="V152" s="374"/>
      <c r="W152" s="374"/>
      <c r="X152" s="374"/>
      <c r="Y152" s="374"/>
      <c r="Z152" s="374"/>
    </row>
    <row r="153" ht="15.75" customHeight="1">
      <c r="A153" s="374"/>
      <c r="B153" s="374"/>
      <c r="C153" s="374"/>
      <c r="D153" s="374"/>
      <c r="E153" s="374"/>
      <c r="F153" s="374"/>
      <c r="G153" s="388"/>
      <c r="H153" s="388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4"/>
      <c r="Z153" s="374"/>
    </row>
    <row r="154" ht="15.75" customHeight="1">
      <c r="A154" s="374"/>
      <c r="B154" s="374"/>
      <c r="C154" s="374"/>
      <c r="D154" s="374"/>
      <c r="E154" s="374"/>
      <c r="F154" s="374"/>
      <c r="G154" s="388"/>
      <c r="H154" s="388"/>
      <c r="I154" s="374"/>
      <c r="J154" s="374"/>
      <c r="K154" s="374"/>
      <c r="L154" s="374"/>
      <c r="M154" s="374"/>
      <c r="N154" s="374"/>
      <c r="O154" s="374"/>
      <c r="P154" s="374"/>
      <c r="Q154" s="374"/>
      <c r="R154" s="374"/>
      <c r="S154" s="374"/>
      <c r="T154" s="374"/>
      <c r="U154" s="374"/>
      <c r="V154" s="374"/>
      <c r="W154" s="374"/>
      <c r="X154" s="374"/>
      <c r="Y154" s="374"/>
      <c r="Z154" s="374"/>
    </row>
    <row r="155" ht="15.75" customHeight="1">
      <c r="A155" s="374"/>
      <c r="B155" s="374"/>
      <c r="C155" s="374"/>
      <c r="D155" s="374"/>
      <c r="E155" s="374"/>
      <c r="F155" s="374"/>
      <c r="G155" s="388"/>
      <c r="H155" s="388"/>
      <c r="I155" s="374"/>
      <c r="J155" s="374"/>
      <c r="K155" s="374"/>
      <c r="L155" s="374"/>
      <c r="M155" s="374"/>
      <c r="N155" s="374"/>
      <c r="O155" s="374"/>
      <c r="P155" s="374"/>
      <c r="Q155" s="374"/>
      <c r="R155" s="374"/>
      <c r="S155" s="374"/>
      <c r="T155" s="374"/>
      <c r="U155" s="374"/>
      <c r="V155" s="374"/>
      <c r="W155" s="374"/>
      <c r="X155" s="374"/>
      <c r="Y155" s="374"/>
      <c r="Z155" s="374"/>
    </row>
    <row r="156" ht="15.75" customHeight="1">
      <c r="A156" s="374"/>
      <c r="B156" s="374"/>
      <c r="C156" s="374"/>
      <c r="D156" s="374"/>
      <c r="E156" s="374"/>
      <c r="F156" s="374"/>
      <c r="G156" s="388"/>
      <c r="H156" s="388"/>
      <c r="I156" s="374"/>
      <c r="J156" s="374"/>
      <c r="K156" s="374"/>
      <c r="L156" s="374"/>
      <c r="M156" s="374"/>
      <c r="N156" s="374"/>
      <c r="O156" s="374"/>
      <c r="P156" s="374"/>
      <c r="Q156" s="374"/>
      <c r="R156" s="374"/>
      <c r="S156" s="374"/>
      <c r="T156" s="374"/>
      <c r="U156" s="374"/>
      <c r="V156" s="374"/>
      <c r="W156" s="374"/>
      <c r="X156" s="374"/>
      <c r="Y156" s="374"/>
      <c r="Z156" s="374"/>
    </row>
    <row r="157" ht="15.75" customHeight="1">
      <c r="A157" s="374"/>
      <c r="B157" s="374"/>
      <c r="C157" s="374"/>
      <c r="D157" s="374"/>
      <c r="E157" s="374"/>
      <c r="F157" s="374"/>
      <c r="G157" s="388"/>
      <c r="H157" s="388"/>
      <c r="I157" s="374"/>
      <c r="J157" s="374"/>
      <c r="K157" s="374"/>
      <c r="L157" s="374"/>
      <c r="M157" s="374"/>
      <c r="N157" s="374"/>
      <c r="O157" s="374"/>
      <c r="P157" s="374"/>
      <c r="Q157" s="374"/>
      <c r="R157" s="374"/>
      <c r="S157" s="374"/>
      <c r="T157" s="374"/>
      <c r="U157" s="374"/>
      <c r="V157" s="374"/>
      <c r="W157" s="374"/>
      <c r="X157" s="374"/>
      <c r="Y157" s="374"/>
      <c r="Z157" s="374"/>
    </row>
    <row r="158" ht="15.75" customHeight="1">
      <c r="A158" s="374"/>
      <c r="B158" s="374"/>
      <c r="C158" s="374"/>
      <c r="D158" s="374"/>
      <c r="E158" s="374"/>
      <c r="F158" s="374"/>
      <c r="G158" s="388"/>
      <c r="H158" s="388"/>
      <c r="I158" s="374"/>
      <c r="J158" s="374"/>
      <c r="K158" s="374"/>
      <c r="L158" s="374"/>
      <c r="M158" s="374"/>
      <c r="N158" s="374"/>
      <c r="O158" s="374"/>
      <c r="P158" s="374"/>
      <c r="Q158" s="374"/>
      <c r="R158" s="374"/>
      <c r="S158" s="374"/>
      <c r="T158" s="374"/>
      <c r="U158" s="374"/>
      <c r="V158" s="374"/>
      <c r="W158" s="374"/>
      <c r="X158" s="374"/>
      <c r="Y158" s="374"/>
      <c r="Z158" s="374"/>
    </row>
    <row r="159" ht="15.75" customHeight="1">
      <c r="A159" s="374"/>
      <c r="B159" s="374"/>
      <c r="C159" s="374"/>
      <c r="D159" s="374"/>
      <c r="E159" s="374"/>
      <c r="F159" s="374"/>
      <c r="G159" s="388"/>
      <c r="H159" s="388"/>
      <c r="I159" s="374"/>
      <c r="J159" s="374"/>
      <c r="K159" s="374"/>
      <c r="L159" s="374"/>
      <c r="M159" s="374"/>
      <c r="N159" s="374"/>
      <c r="O159" s="374"/>
      <c r="P159" s="374"/>
      <c r="Q159" s="374"/>
      <c r="R159" s="374"/>
      <c r="S159" s="374"/>
      <c r="T159" s="374"/>
      <c r="U159" s="374"/>
      <c r="V159" s="374"/>
      <c r="W159" s="374"/>
      <c r="X159" s="374"/>
      <c r="Y159" s="374"/>
      <c r="Z159" s="374"/>
    </row>
    <row r="160" ht="15.75" customHeight="1">
      <c r="A160" s="374"/>
      <c r="B160" s="374"/>
      <c r="C160" s="374"/>
      <c r="D160" s="374"/>
      <c r="E160" s="374"/>
      <c r="F160" s="374"/>
      <c r="G160" s="388"/>
      <c r="H160" s="388"/>
      <c r="I160" s="374"/>
      <c r="J160" s="374"/>
      <c r="K160" s="374"/>
      <c r="L160" s="374"/>
      <c r="M160" s="374"/>
      <c r="N160" s="374"/>
      <c r="O160" s="374"/>
      <c r="P160" s="374"/>
      <c r="Q160" s="374"/>
      <c r="R160" s="374"/>
      <c r="S160" s="374"/>
      <c r="T160" s="374"/>
      <c r="U160" s="374"/>
      <c r="V160" s="374"/>
      <c r="W160" s="374"/>
      <c r="X160" s="374"/>
      <c r="Y160" s="374"/>
      <c r="Z160" s="374"/>
    </row>
    <row r="161" ht="15.75" customHeight="1">
      <c r="A161" s="374"/>
      <c r="B161" s="374"/>
      <c r="C161" s="374"/>
      <c r="D161" s="374"/>
      <c r="E161" s="374"/>
      <c r="F161" s="374"/>
      <c r="G161" s="388"/>
      <c r="H161" s="388"/>
      <c r="I161" s="374"/>
      <c r="J161" s="374"/>
      <c r="K161" s="374"/>
      <c r="L161" s="374"/>
      <c r="M161" s="374"/>
      <c r="N161" s="374"/>
      <c r="O161" s="374"/>
      <c r="P161" s="374"/>
      <c r="Q161" s="374"/>
      <c r="R161" s="374"/>
      <c r="S161" s="374"/>
      <c r="T161" s="374"/>
      <c r="U161" s="374"/>
      <c r="V161" s="374"/>
      <c r="W161" s="374"/>
      <c r="X161" s="374"/>
      <c r="Y161" s="374"/>
      <c r="Z161" s="374"/>
    </row>
    <row r="162" ht="15.75" customHeight="1">
      <c r="A162" s="374"/>
      <c r="B162" s="374"/>
      <c r="C162" s="374"/>
      <c r="D162" s="374"/>
      <c r="E162" s="374"/>
      <c r="F162" s="374"/>
      <c r="G162" s="388"/>
      <c r="H162" s="388"/>
      <c r="I162" s="374"/>
      <c r="J162" s="374"/>
      <c r="K162" s="374"/>
      <c r="L162" s="374"/>
      <c r="M162" s="374"/>
      <c r="N162" s="374"/>
      <c r="O162" s="374"/>
      <c r="P162" s="374"/>
      <c r="Q162" s="374"/>
      <c r="R162" s="374"/>
      <c r="S162" s="374"/>
      <c r="T162" s="374"/>
      <c r="U162" s="374"/>
      <c r="V162" s="374"/>
      <c r="W162" s="374"/>
      <c r="X162" s="374"/>
      <c r="Y162" s="374"/>
      <c r="Z162" s="374"/>
    </row>
    <row r="163" ht="15.75" customHeight="1">
      <c r="A163" s="374"/>
      <c r="B163" s="374"/>
      <c r="C163" s="374"/>
      <c r="D163" s="374"/>
      <c r="E163" s="374"/>
      <c r="F163" s="374"/>
      <c r="G163" s="388"/>
      <c r="H163" s="388"/>
      <c r="I163" s="374"/>
      <c r="J163" s="374"/>
      <c r="K163" s="374"/>
      <c r="L163" s="374"/>
      <c r="M163" s="374"/>
      <c r="N163" s="374"/>
      <c r="O163" s="374"/>
      <c r="P163" s="374"/>
      <c r="Q163" s="374"/>
      <c r="R163" s="374"/>
      <c r="S163" s="374"/>
      <c r="T163" s="374"/>
      <c r="U163" s="374"/>
      <c r="V163" s="374"/>
      <c r="W163" s="374"/>
      <c r="X163" s="374"/>
      <c r="Y163" s="374"/>
      <c r="Z163" s="374"/>
    </row>
    <row r="164" ht="15.75" customHeight="1">
      <c r="A164" s="374"/>
      <c r="B164" s="374"/>
      <c r="C164" s="374"/>
      <c r="D164" s="374"/>
      <c r="E164" s="374"/>
      <c r="F164" s="374"/>
      <c r="G164" s="388"/>
      <c r="H164" s="388"/>
      <c r="I164" s="374"/>
      <c r="J164" s="374"/>
      <c r="K164" s="374"/>
      <c r="L164" s="374"/>
      <c r="M164" s="374"/>
      <c r="N164" s="374"/>
      <c r="O164" s="374"/>
      <c r="P164" s="374"/>
      <c r="Q164" s="374"/>
      <c r="R164" s="374"/>
      <c r="S164" s="374"/>
      <c r="T164" s="374"/>
      <c r="U164" s="374"/>
      <c r="V164" s="374"/>
      <c r="W164" s="374"/>
      <c r="X164" s="374"/>
      <c r="Y164" s="374"/>
      <c r="Z164" s="374"/>
    </row>
    <row r="165" ht="15.75" customHeight="1">
      <c r="A165" s="374"/>
      <c r="B165" s="374"/>
      <c r="C165" s="374"/>
      <c r="D165" s="374"/>
      <c r="E165" s="374"/>
      <c r="F165" s="374"/>
      <c r="G165" s="388"/>
      <c r="H165" s="388"/>
      <c r="I165" s="374"/>
      <c r="J165" s="374"/>
      <c r="K165" s="374"/>
      <c r="L165" s="374"/>
      <c r="M165" s="374"/>
      <c r="N165" s="374"/>
      <c r="O165" s="374"/>
      <c r="P165" s="374"/>
      <c r="Q165" s="374"/>
      <c r="R165" s="374"/>
      <c r="S165" s="374"/>
      <c r="T165" s="374"/>
      <c r="U165" s="374"/>
      <c r="V165" s="374"/>
      <c r="W165" s="374"/>
      <c r="X165" s="374"/>
      <c r="Y165" s="374"/>
      <c r="Z165" s="374"/>
    </row>
    <row r="166" ht="15.75" customHeight="1">
      <c r="A166" s="374"/>
      <c r="B166" s="374"/>
      <c r="C166" s="374"/>
      <c r="D166" s="374"/>
      <c r="E166" s="374"/>
      <c r="F166" s="374"/>
      <c r="G166" s="388"/>
      <c r="H166" s="388"/>
      <c r="I166" s="374"/>
      <c r="J166" s="374"/>
      <c r="K166" s="374"/>
      <c r="L166" s="374"/>
      <c r="M166" s="374"/>
      <c r="N166" s="374"/>
      <c r="O166" s="374"/>
      <c r="P166" s="374"/>
      <c r="Q166" s="374"/>
      <c r="R166" s="374"/>
      <c r="S166" s="374"/>
      <c r="T166" s="374"/>
      <c r="U166" s="374"/>
      <c r="V166" s="374"/>
      <c r="W166" s="374"/>
      <c r="X166" s="374"/>
      <c r="Y166" s="374"/>
      <c r="Z166" s="374"/>
    </row>
    <row r="167" ht="15.75" customHeight="1">
      <c r="A167" s="374"/>
      <c r="B167" s="374"/>
      <c r="C167" s="374"/>
      <c r="D167" s="374"/>
      <c r="E167" s="374"/>
      <c r="F167" s="374"/>
      <c r="G167" s="388"/>
      <c r="H167" s="388"/>
      <c r="I167" s="374"/>
      <c r="J167" s="374"/>
      <c r="K167" s="374"/>
      <c r="L167" s="374"/>
      <c r="M167" s="374"/>
      <c r="N167" s="374"/>
      <c r="O167" s="374"/>
      <c r="P167" s="374"/>
      <c r="Q167" s="374"/>
      <c r="R167" s="374"/>
      <c r="S167" s="374"/>
      <c r="T167" s="374"/>
      <c r="U167" s="374"/>
      <c r="V167" s="374"/>
      <c r="W167" s="374"/>
      <c r="X167" s="374"/>
      <c r="Y167" s="374"/>
      <c r="Z167" s="374"/>
    </row>
    <row r="168" ht="15.75" customHeight="1">
      <c r="A168" s="374"/>
      <c r="B168" s="374"/>
      <c r="C168" s="374"/>
      <c r="D168" s="374"/>
      <c r="E168" s="374"/>
      <c r="F168" s="374"/>
      <c r="G168" s="388"/>
      <c r="H168" s="388"/>
      <c r="I168" s="374"/>
      <c r="J168" s="374"/>
      <c r="K168" s="374"/>
      <c r="L168" s="374"/>
      <c r="M168" s="374"/>
      <c r="N168" s="374"/>
      <c r="O168" s="374"/>
      <c r="P168" s="374"/>
      <c r="Q168" s="374"/>
      <c r="R168" s="374"/>
      <c r="S168" s="374"/>
      <c r="T168" s="374"/>
      <c r="U168" s="374"/>
      <c r="V168" s="374"/>
      <c r="W168" s="374"/>
      <c r="X168" s="374"/>
      <c r="Y168" s="374"/>
      <c r="Z168" s="374"/>
    </row>
    <row r="169" ht="15.75" customHeight="1">
      <c r="A169" s="374"/>
      <c r="B169" s="374"/>
      <c r="C169" s="374"/>
      <c r="D169" s="374"/>
      <c r="E169" s="374"/>
      <c r="F169" s="374"/>
      <c r="G169" s="388"/>
      <c r="H169" s="388"/>
      <c r="I169" s="374"/>
      <c r="J169" s="374"/>
      <c r="K169" s="374"/>
      <c r="L169" s="374"/>
      <c r="M169" s="374"/>
      <c r="N169" s="374"/>
      <c r="O169" s="374"/>
      <c r="P169" s="374"/>
      <c r="Q169" s="374"/>
      <c r="R169" s="374"/>
      <c r="S169" s="374"/>
      <c r="T169" s="374"/>
      <c r="U169" s="374"/>
      <c r="V169" s="374"/>
      <c r="W169" s="374"/>
      <c r="X169" s="374"/>
      <c r="Y169" s="374"/>
      <c r="Z169" s="374"/>
    </row>
    <row r="170" ht="15.75" customHeight="1">
      <c r="A170" s="374"/>
      <c r="B170" s="374"/>
      <c r="C170" s="374"/>
      <c r="D170" s="374"/>
      <c r="E170" s="374"/>
      <c r="F170" s="374"/>
      <c r="G170" s="388"/>
      <c r="H170" s="388"/>
      <c r="I170" s="374"/>
      <c r="J170" s="374"/>
      <c r="K170" s="374"/>
      <c r="L170" s="374"/>
      <c r="M170" s="374"/>
      <c r="N170" s="374"/>
      <c r="O170" s="374"/>
      <c r="P170" s="374"/>
      <c r="Q170" s="374"/>
      <c r="R170" s="374"/>
      <c r="S170" s="374"/>
      <c r="T170" s="374"/>
      <c r="U170" s="374"/>
      <c r="V170" s="374"/>
      <c r="W170" s="374"/>
      <c r="X170" s="374"/>
      <c r="Y170" s="374"/>
      <c r="Z170" s="374"/>
    </row>
    <row r="171" ht="15.75" customHeight="1">
      <c r="A171" s="374"/>
      <c r="B171" s="374"/>
      <c r="C171" s="374"/>
      <c r="D171" s="374"/>
      <c r="E171" s="374"/>
      <c r="F171" s="374"/>
      <c r="G171" s="388"/>
      <c r="H171" s="388"/>
      <c r="I171" s="374"/>
      <c r="J171" s="374"/>
      <c r="K171" s="374"/>
      <c r="L171" s="374"/>
      <c r="M171" s="374"/>
      <c r="N171" s="374"/>
      <c r="O171" s="374"/>
      <c r="P171" s="374"/>
      <c r="Q171" s="374"/>
      <c r="R171" s="374"/>
      <c r="S171" s="374"/>
      <c r="T171" s="374"/>
      <c r="U171" s="374"/>
      <c r="V171" s="374"/>
      <c r="W171" s="374"/>
      <c r="X171" s="374"/>
      <c r="Y171" s="374"/>
      <c r="Z171" s="374"/>
    </row>
    <row r="172" ht="15.75" customHeight="1">
      <c r="A172" s="374"/>
      <c r="B172" s="374"/>
      <c r="C172" s="374"/>
      <c r="D172" s="374"/>
      <c r="E172" s="374"/>
      <c r="F172" s="374"/>
      <c r="G172" s="388"/>
      <c r="H172" s="388"/>
      <c r="I172" s="374"/>
      <c r="J172" s="374"/>
      <c r="K172" s="374"/>
      <c r="L172" s="374"/>
      <c r="M172" s="374"/>
      <c r="N172" s="374"/>
      <c r="O172" s="374"/>
      <c r="P172" s="374"/>
      <c r="Q172" s="374"/>
      <c r="R172" s="374"/>
      <c r="S172" s="374"/>
      <c r="T172" s="374"/>
      <c r="U172" s="374"/>
      <c r="V172" s="374"/>
      <c r="W172" s="374"/>
      <c r="X172" s="374"/>
      <c r="Y172" s="374"/>
      <c r="Z172" s="374"/>
    </row>
    <row r="173" ht="15.75" customHeight="1">
      <c r="A173" s="374"/>
      <c r="B173" s="374"/>
      <c r="C173" s="374"/>
      <c r="D173" s="374"/>
      <c r="E173" s="374"/>
      <c r="F173" s="374"/>
      <c r="G173" s="388"/>
      <c r="H173" s="388"/>
      <c r="I173" s="374"/>
      <c r="J173" s="374"/>
      <c r="K173" s="374"/>
      <c r="L173" s="374"/>
      <c r="M173" s="374"/>
      <c r="N173" s="374"/>
      <c r="O173" s="374"/>
      <c r="P173" s="374"/>
      <c r="Q173" s="374"/>
      <c r="R173" s="374"/>
      <c r="S173" s="374"/>
      <c r="T173" s="374"/>
      <c r="U173" s="374"/>
      <c r="V173" s="374"/>
      <c r="W173" s="374"/>
      <c r="X173" s="374"/>
      <c r="Y173" s="374"/>
      <c r="Z173" s="374"/>
    </row>
    <row r="174" ht="15.75" customHeight="1">
      <c r="A174" s="374"/>
      <c r="B174" s="374"/>
      <c r="C174" s="374"/>
      <c r="D174" s="374"/>
      <c r="E174" s="374"/>
      <c r="F174" s="374"/>
      <c r="G174" s="388"/>
      <c r="H174" s="388"/>
      <c r="I174" s="374"/>
      <c r="J174" s="374"/>
      <c r="K174" s="374"/>
      <c r="L174" s="374"/>
      <c r="M174" s="374"/>
      <c r="N174" s="374"/>
      <c r="O174" s="374"/>
      <c r="P174" s="374"/>
      <c r="Q174" s="374"/>
      <c r="R174" s="374"/>
      <c r="S174" s="374"/>
      <c r="T174" s="374"/>
      <c r="U174" s="374"/>
      <c r="V174" s="374"/>
      <c r="W174" s="374"/>
      <c r="X174" s="374"/>
      <c r="Y174" s="374"/>
      <c r="Z174" s="374"/>
    </row>
    <row r="175" ht="15.75" customHeight="1">
      <c r="A175" s="374"/>
      <c r="B175" s="374"/>
      <c r="C175" s="374"/>
      <c r="D175" s="374"/>
      <c r="E175" s="374"/>
      <c r="F175" s="374"/>
      <c r="G175" s="388"/>
      <c r="H175" s="388"/>
      <c r="I175" s="374"/>
      <c r="J175" s="374"/>
      <c r="K175" s="374"/>
      <c r="L175" s="374"/>
      <c r="M175" s="374"/>
      <c r="N175" s="374"/>
      <c r="O175" s="374"/>
      <c r="P175" s="374"/>
      <c r="Q175" s="374"/>
      <c r="R175" s="374"/>
      <c r="S175" s="374"/>
      <c r="T175" s="374"/>
      <c r="U175" s="374"/>
      <c r="V175" s="374"/>
      <c r="W175" s="374"/>
      <c r="X175" s="374"/>
      <c r="Y175" s="374"/>
      <c r="Z175" s="374"/>
    </row>
    <row r="176" ht="15.75" customHeight="1">
      <c r="A176" s="374"/>
      <c r="B176" s="374"/>
      <c r="C176" s="374"/>
      <c r="D176" s="374"/>
      <c r="E176" s="374"/>
      <c r="F176" s="374"/>
      <c r="G176" s="388"/>
      <c r="H176" s="388"/>
      <c r="I176" s="374"/>
      <c r="J176" s="374"/>
      <c r="K176" s="374"/>
      <c r="L176" s="374"/>
      <c r="M176" s="374"/>
      <c r="N176" s="374"/>
      <c r="O176" s="374"/>
      <c r="P176" s="374"/>
      <c r="Q176" s="374"/>
      <c r="R176" s="374"/>
      <c r="S176" s="374"/>
      <c r="T176" s="374"/>
      <c r="U176" s="374"/>
      <c r="V176" s="374"/>
      <c r="W176" s="374"/>
      <c r="X176" s="374"/>
      <c r="Y176" s="374"/>
      <c r="Z176" s="374"/>
    </row>
    <row r="177" ht="15.75" customHeight="1">
      <c r="A177" s="374"/>
      <c r="B177" s="374"/>
      <c r="C177" s="374"/>
      <c r="D177" s="374"/>
      <c r="E177" s="374"/>
      <c r="F177" s="374"/>
      <c r="G177" s="388"/>
      <c r="H177" s="388"/>
      <c r="I177" s="374"/>
      <c r="J177" s="374"/>
      <c r="K177" s="374"/>
      <c r="L177" s="374"/>
      <c r="M177" s="374"/>
      <c r="N177" s="374"/>
      <c r="O177" s="374"/>
      <c r="P177" s="374"/>
      <c r="Q177" s="374"/>
      <c r="R177" s="374"/>
      <c r="S177" s="374"/>
      <c r="T177" s="374"/>
      <c r="U177" s="374"/>
      <c r="V177" s="374"/>
      <c r="W177" s="374"/>
      <c r="X177" s="374"/>
      <c r="Y177" s="374"/>
      <c r="Z177" s="374"/>
    </row>
    <row r="178" ht="15.75" customHeight="1">
      <c r="A178" s="374"/>
      <c r="B178" s="374"/>
      <c r="C178" s="374"/>
      <c r="D178" s="374"/>
      <c r="E178" s="374"/>
      <c r="F178" s="374"/>
      <c r="G178" s="388"/>
      <c r="H178" s="388"/>
      <c r="I178" s="374"/>
      <c r="J178" s="374"/>
      <c r="K178" s="374"/>
      <c r="L178" s="374"/>
      <c r="M178" s="374"/>
      <c r="N178" s="374"/>
      <c r="O178" s="374"/>
      <c r="P178" s="374"/>
      <c r="Q178" s="374"/>
      <c r="R178" s="374"/>
      <c r="S178" s="374"/>
      <c r="T178" s="374"/>
      <c r="U178" s="374"/>
      <c r="V178" s="374"/>
      <c r="W178" s="374"/>
      <c r="X178" s="374"/>
      <c r="Y178" s="374"/>
      <c r="Z178" s="374"/>
    </row>
    <row r="179" ht="15.75" customHeight="1">
      <c r="A179" s="374"/>
      <c r="B179" s="374"/>
      <c r="C179" s="374"/>
      <c r="D179" s="374"/>
      <c r="E179" s="374"/>
      <c r="F179" s="374"/>
      <c r="G179" s="388"/>
      <c r="H179" s="388"/>
      <c r="I179" s="374"/>
      <c r="J179" s="374"/>
      <c r="K179" s="374"/>
      <c r="L179" s="374"/>
      <c r="M179" s="374"/>
      <c r="N179" s="374"/>
      <c r="O179" s="374"/>
      <c r="P179" s="374"/>
      <c r="Q179" s="374"/>
      <c r="R179" s="374"/>
      <c r="S179" s="374"/>
      <c r="T179" s="374"/>
      <c r="U179" s="374"/>
      <c r="V179" s="374"/>
      <c r="W179" s="374"/>
      <c r="X179" s="374"/>
      <c r="Y179" s="374"/>
      <c r="Z179" s="374"/>
    </row>
    <row r="180" ht="15.75" customHeight="1">
      <c r="A180" s="374"/>
      <c r="B180" s="374"/>
      <c r="C180" s="374"/>
      <c r="D180" s="374"/>
      <c r="E180" s="374"/>
      <c r="F180" s="374"/>
      <c r="G180" s="388"/>
      <c r="H180" s="388"/>
      <c r="I180" s="374"/>
      <c r="J180" s="374"/>
      <c r="K180" s="374"/>
      <c r="L180" s="374"/>
      <c r="M180" s="374"/>
      <c r="N180" s="374"/>
      <c r="O180" s="374"/>
      <c r="P180" s="374"/>
      <c r="Q180" s="374"/>
      <c r="R180" s="374"/>
      <c r="S180" s="374"/>
      <c r="T180" s="374"/>
      <c r="U180" s="374"/>
      <c r="V180" s="374"/>
      <c r="W180" s="374"/>
      <c r="X180" s="374"/>
      <c r="Y180" s="374"/>
      <c r="Z180" s="374"/>
    </row>
    <row r="181" ht="15.75" customHeight="1">
      <c r="A181" s="374"/>
      <c r="B181" s="374"/>
      <c r="C181" s="374"/>
      <c r="D181" s="374"/>
      <c r="E181" s="374"/>
      <c r="F181" s="374"/>
      <c r="G181" s="388"/>
      <c r="H181" s="388"/>
      <c r="I181" s="374"/>
      <c r="J181" s="374"/>
      <c r="K181" s="374"/>
      <c r="L181" s="374"/>
      <c r="M181" s="374"/>
      <c r="N181" s="374"/>
      <c r="O181" s="374"/>
      <c r="P181" s="374"/>
      <c r="Q181" s="374"/>
      <c r="R181" s="374"/>
      <c r="S181" s="374"/>
      <c r="T181" s="374"/>
      <c r="U181" s="374"/>
      <c r="V181" s="374"/>
      <c r="W181" s="374"/>
      <c r="X181" s="374"/>
      <c r="Y181" s="374"/>
      <c r="Z181" s="374"/>
    </row>
    <row r="182" ht="15.75" customHeight="1">
      <c r="A182" s="374"/>
      <c r="B182" s="374"/>
      <c r="C182" s="374"/>
      <c r="D182" s="374"/>
      <c r="E182" s="374"/>
      <c r="F182" s="374"/>
      <c r="G182" s="388"/>
      <c r="H182" s="388"/>
      <c r="I182" s="374"/>
      <c r="J182" s="374"/>
      <c r="K182" s="374"/>
      <c r="L182" s="374"/>
      <c r="M182" s="374"/>
      <c r="N182" s="374"/>
      <c r="O182" s="374"/>
      <c r="P182" s="374"/>
      <c r="Q182" s="374"/>
      <c r="R182" s="374"/>
      <c r="S182" s="374"/>
      <c r="T182" s="374"/>
      <c r="U182" s="374"/>
      <c r="V182" s="374"/>
      <c r="W182" s="374"/>
      <c r="X182" s="374"/>
      <c r="Y182" s="374"/>
      <c r="Z182" s="374"/>
    </row>
    <row r="183" ht="15.75" customHeight="1">
      <c r="A183" s="374"/>
      <c r="B183" s="374"/>
      <c r="C183" s="374"/>
      <c r="D183" s="374"/>
      <c r="E183" s="374"/>
      <c r="F183" s="374"/>
      <c r="G183" s="388"/>
      <c r="H183" s="388"/>
      <c r="I183" s="374"/>
      <c r="J183" s="374"/>
      <c r="K183" s="374"/>
      <c r="L183" s="374"/>
      <c r="M183" s="374"/>
      <c r="N183" s="374"/>
      <c r="O183" s="374"/>
      <c r="P183" s="374"/>
      <c r="Q183" s="374"/>
      <c r="R183" s="374"/>
      <c r="S183" s="374"/>
      <c r="T183" s="374"/>
      <c r="U183" s="374"/>
      <c r="V183" s="374"/>
      <c r="W183" s="374"/>
      <c r="X183" s="374"/>
      <c r="Y183" s="374"/>
      <c r="Z183" s="374"/>
    </row>
    <row r="184" ht="15.75" customHeight="1">
      <c r="A184" s="374"/>
      <c r="B184" s="374"/>
      <c r="C184" s="374"/>
      <c r="D184" s="374"/>
      <c r="E184" s="374"/>
      <c r="F184" s="374"/>
      <c r="G184" s="388"/>
      <c r="H184" s="388"/>
      <c r="I184" s="374"/>
      <c r="J184" s="374"/>
      <c r="K184" s="374"/>
      <c r="L184" s="374"/>
      <c r="M184" s="374"/>
      <c r="N184" s="374"/>
      <c r="O184" s="374"/>
      <c r="P184" s="374"/>
      <c r="Q184" s="374"/>
      <c r="R184" s="374"/>
      <c r="S184" s="374"/>
      <c r="T184" s="374"/>
      <c r="U184" s="374"/>
      <c r="V184" s="374"/>
      <c r="W184" s="374"/>
      <c r="X184" s="374"/>
      <c r="Y184" s="374"/>
      <c r="Z184" s="374"/>
    </row>
    <row r="185" ht="15.75" customHeight="1">
      <c r="A185" s="374"/>
      <c r="B185" s="374"/>
      <c r="C185" s="374"/>
      <c r="D185" s="374"/>
      <c r="E185" s="374"/>
      <c r="F185" s="374"/>
      <c r="G185" s="388"/>
      <c r="H185" s="388"/>
      <c r="I185" s="374"/>
      <c r="J185" s="374"/>
      <c r="K185" s="374"/>
      <c r="L185" s="374"/>
      <c r="M185" s="374"/>
      <c r="N185" s="374"/>
      <c r="O185" s="374"/>
      <c r="P185" s="374"/>
      <c r="Q185" s="374"/>
      <c r="R185" s="374"/>
      <c r="S185" s="374"/>
      <c r="T185" s="374"/>
      <c r="U185" s="374"/>
      <c r="V185" s="374"/>
      <c r="W185" s="374"/>
      <c r="X185" s="374"/>
      <c r="Y185" s="374"/>
      <c r="Z185" s="374"/>
    </row>
    <row r="186" ht="15.75" customHeight="1">
      <c r="A186" s="374"/>
      <c r="B186" s="374"/>
      <c r="C186" s="374"/>
      <c r="D186" s="374"/>
      <c r="E186" s="374"/>
      <c r="F186" s="374"/>
      <c r="G186" s="388"/>
      <c r="H186" s="388"/>
      <c r="I186" s="374"/>
      <c r="J186" s="374"/>
      <c r="K186" s="374"/>
      <c r="L186" s="374"/>
      <c r="M186" s="374"/>
      <c r="N186" s="374"/>
      <c r="O186" s="374"/>
      <c r="P186" s="374"/>
      <c r="Q186" s="374"/>
      <c r="R186" s="374"/>
      <c r="S186" s="374"/>
      <c r="T186" s="374"/>
      <c r="U186" s="374"/>
      <c r="V186" s="374"/>
      <c r="W186" s="374"/>
      <c r="X186" s="374"/>
      <c r="Y186" s="374"/>
      <c r="Z186" s="374"/>
    </row>
    <row r="187" ht="15.75" customHeight="1">
      <c r="A187" s="374"/>
      <c r="B187" s="374"/>
      <c r="C187" s="374"/>
      <c r="D187" s="374"/>
      <c r="E187" s="374"/>
      <c r="F187" s="374"/>
      <c r="G187" s="388"/>
      <c r="H187" s="388"/>
      <c r="I187" s="374"/>
      <c r="J187" s="374"/>
      <c r="K187" s="374"/>
      <c r="L187" s="374"/>
      <c r="M187" s="374"/>
      <c r="N187" s="374"/>
      <c r="O187" s="374"/>
      <c r="P187" s="374"/>
      <c r="Q187" s="374"/>
      <c r="R187" s="374"/>
      <c r="S187" s="374"/>
      <c r="T187" s="374"/>
      <c r="U187" s="374"/>
      <c r="V187" s="374"/>
      <c r="W187" s="374"/>
      <c r="X187" s="374"/>
      <c r="Y187" s="374"/>
      <c r="Z187" s="374"/>
    </row>
    <row r="188" ht="15.75" customHeight="1">
      <c r="A188" s="374"/>
      <c r="B188" s="374"/>
      <c r="C188" s="374"/>
      <c r="D188" s="374"/>
      <c r="E188" s="374"/>
      <c r="F188" s="374"/>
      <c r="G188" s="388"/>
      <c r="H188" s="388"/>
      <c r="I188" s="374"/>
      <c r="J188" s="374"/>
      <c r="K188" s="374"/>
      <c r="L188" s="374"/>
      <c r="M188" s="374"/>
      <c r="N188" s="374"/>
      <c r="O188" s="374"/>
      <c r="P188" s="374"/>
      <c r="Q188" s="374"/>
      <c r="R188" s="374"/>
      <c r="S188" s="374"/>
      <c r="T188" s="374"/>
      <c r="U188" s="374"/>
      <c r="V188" s="374"/>
      <c r="W188" s="374"/>
      <c r="X188" s="374"/>
      <c r="Y188" s="374"/>
      <c r="Z188" s="374"/>
    </row>
    <row r="189" ht="15.75" customHeight="1">
      <c r="A189" s="374"/>
      <c r="B189" s="374"/>
      <c r="C189" s="374"/>
      <c r="D189" s="374"/>
      <c r="E189" s="374"/>
      <c r="F189" s="374"/>
      <c r="G189" s="388"/>
      <c r="H189" s="388"/>
      <c r="I189" s="374"/>
      <c r="J189" s="374"/>
      <c r="K189" s="374"/>
      <c r="L189" s="374"/>
      <c r="M189" s="374"/>
      <c r="N189" s="374"/>
      <c r="O189" s="374"/>
      <c r="P189" s="374"/>
      <c r="Q189" s="374"/>
      <c r="R189" s="374"/>
      <c r="S189" s="374"/>
      <c r="T189" s="374"/>
      <c r="U189" s="374"/>
      <c r="V189" s="374"/>
      <c r="W189" s="374"/>
      <c r="X189" s="374"/>
      <c r="Y189" s="374"/>
      <c r="Z189" s="374"/>
    </row>
    <row r="190" ht="15.75" customHeight="1">
      <c r="A190" s="374"/>
      <c r="B190" s="374"/>
      <c r="C190" s="374"/>
      <c r="D190" s="374"/>
      <c r="E190" s="374"/>
      <c r="F190" s="374"/>
      <c r="G190" s="388"/>
      <c r="H190" s="388"/>
      <c r="I190" s="374"/>
      <c r="J190" s="374"/>
      <c r="K190" s="374"/>
      <c r="L190" s="374"/>
      <c r="M190" s="374"/>
      <c r="N190" s="374"/>
      <c r="O190" s="374"/>
      <c r="P190" s="374"/>
      <c r="Q190" s="374"/>
      <c r="R190" s="374"/>
      <c r="S190" s="374"/>
      <c r="T190" s="374"/>
      <c r="U190" s="374"/>
      <c r="V190" s="374"/>
      <c r="W190" s="374"/>
      <c r="X190" s="374"/>
      <c r="Y190" s="374"/>
      <c r="Z190" s="374"/>
    </row>
    <row r="191" ht="15.75" customHeight="1">
      <c r="A191" s="374"/>
      <c r="B191" s="374"/>
      <c r="C191" s="374"/>
      <c r="D191" s="374"/>
      <c r="E191" s="374"/>
      <c r="F191" s="374"/>
      <c r="G191" s="388"/>
      <c r="H191" s="388"/>
      <c r="I191" s="374"/>
      <c r="J191" s="374"/>
      <c r="K191" s="374"/>
      <c r="L191" s="374"/>
      <c r="M191" s="374"/>
      <c r="N191" s="374"/>
      <c r="O191" s="374"/>
      <c r="P191" s="374"/>
      <c r="Q191" s="374"/>
      <c r="R191" s="374"/>
      <c r="S191" s="374"/>
      <c r="T191" s="374"/>
      <c r="U191" s="374"/>
      <c r="V191" s="374"/>
      <c r="W191" s="374"/>
      <c r="X191" s="374"/>
      <c r="Y191" s="374"/>
      <c r="Z191" s="374"/>
    </row>
    <row r="192" ht="15.75" customHeight="1">
      <c r="A192" s="374"/>
      <c r="B192" s="374"/>
      <c r="C192" s="374"/>
      <c r="D192" s="374"/>
      <c r="E192" s="374"/>
      <c r="F192" s="374"/>
      <c r="G192" s="388"/>
      <c r="H192" s="388"/>
      <c r="I192" s="374"/>
      <c r="J192" s="374"/>
      <c r="K192" s="374"/>
      <c r="L192" s="374"/>
      <c r="M192" s="374"/>
      <c r="N192" s="374"/>
      <c r="O192" s="374"/>
      <c r="P192" s="374"/>
      <c r="Q192" s="374"/>
      <c r="R192" s="374"/>
      <c r="S192" s="374"/>
      <c r="T192" s="374"/>
      <c r="U192" s="374"/>
      <c r="V192" s="374"/>
      <c r="W192" s="374"/>
      <c r="X192" s="374"/>
      <c r="Y192" s="374"/>
      <c r="Z192" s="374"/>
    </row>
    <row r="193" ht="15.75" customHeight="1">
      <c r="A193" s="374"/>
      <c r="B193" s="374"/>
      <c r="C193" s="374"/>
      <c r="D193" s="374"/>
      <c r="E193" s="374"/>
      <c r="F193" s="374"/>
      <c r="G193" s="388"/>
      <c r="H193" s="388"/>
      <c r="I193" s="374"/>
      <c r="J193" s="374"/>
      <c r="K193" s="374"/>
      <c r="L193" s="374"/>
      <c r="M193" s="374"/>
      <c r="N193" s="374"/>
      <c r="O193" s="374"/>
      <c r="P193" s="374"/>
      <c r="Q193" s="374"/>
      <c r="R193" s="374"/>
      <c r="S193" s="374"/>
      <c r="T193" s="374"/>
      <c r="U193" s="374"/>
      <c r="V193" s="374"/>
      <c r="W193" s="374"/>
      <c r="X193" s="374"/>
      <c r="Y193" s="374"/>
      <c r="Z193" s="374"/>
    </row>
    <row r="194" ht="15.75" customHeight="1">
      <c r="A194" s="374"/>
      <c r="B194" s="374"/>
      <c r="C194" s="374"/>
      <c r="D194" s="374"/>
      <c r="E194" s="374"/>
      <c r="F194" s="374"/>
      <c r="G194" s="388"/>
      <c r="H194" s="388"/>
      <c r="I194" s="374"/>
      <c r="J194" s="374"/>
      <c r="K194" s="374"/>
      <c r="L194" s="374"/>
      <c r="M194" s="374"/>
      <c r="N194" s="374"/>
      <c r="O194" s="374"/>
      <c r="P194" s="374"/>
      <c r="Q194" s="374"/>
      <c r="R194" s="374"/>
      <c r="S194" s="374"/>
      <c r="T194" s="374"/>
      <c r="U194" s="374"/>
      <c r="V194" s="374"/>
      <c r="W194" s="374"/>
      <c r="X194" s="374"/>
      <c r="Y194" s="374"/>
      <c r="Z194" s="374"/>
    </row>
    <row r="195" ht="15.75" customHeight="1">
      <c r="A195" s="374"/>
      <c r="B195" s="374"/>
      <c r="C195" s="374"/>
      <c r="D195" s="374"/>
      <c r="E195" s="374"/>
      <c r="F195" s="374"/>
      <c r="G195" s="388"/>
      <c r="H195" s="388"/>
      <c r="I195" s="374"/>
      <c r="J195" s="374"/>
      <c r="K195" s="374"/>
      <c r="L195" s="374"/>
      <c r="M195" s="374"/>
      <c r="N195" s="374"/>
      <c r="O195" s="374"/>
      <c r="P195" s="374"/>
      <c r="Q195" s="374"/>
      <c r="R195" s="374"/>
      <c r="S195" s="374"/>
      <c r="T195" s="374"/>
      <c r="U195" s="374"/>
      <c r="V195" s="374"/>
      <c r="W195" s="374"/>
      <c r="X195" s="374"/>
      <c r="Y195" s="374"/>
      <c r="Z195" s="374"/>
    </row>
    <row r="196" ht="15.75" customHeight="1">
      <c r="A196" s="374"/>
      <c r="B196" s="374"/>
      <c r="C196" s="374"/>
      <c r="D196" s="374"/>
      <c r="E196" s="374"/>
      <c r="F196" s="374"/>
      <c r="G196" s="388"/>
      <c r="H196" s="388"/>
      <c r="I196" s="374"/>
      <c r="J196" s="374"/>
      <c r="K196" s="374"/>
      <c r="L196" s="374"/>
      <c r="M196" s="374"/>
      <c r="N196" s="374"/>
      <c r="O196" s="374"/>
      <c r="P196" s="374"/>
      <c r="Q196" s="374"/>
      <c r="R196" s="374"/>
      <c r="S196" s="374"/>
      <c r="T196" s="374"/>
      <c r="U196" s="374"/>
      <c r="V196" s="374"/>
      <c r="W196" s="374"/>
      <c r="X196" s="374"/>
      <c r="Y196" s="374"/>
      <c r="Z196" s="374"/>
    </row>
    <row r="197" ht="15.75" customHeight="1">
      <c r="A197" s="374"/>
      <c r="B197" s="374"/>
      <c r="C197" s="374"/>
      <c r="D197" s="374"/>
      <c r="E197" s="374"/>
      <c r="F197" s="374"/>
      <c r="G197" s="388"/>
      <c r="H197" s="388"/>
      <c r="I197" s="374"/>
      <c r="J197" s="374"/>
      <c r="K197" s="374"/>
      <c r="L197" s="374"/>
      <c r="M197" s="374"/>
      <c r="N197" s="374"/>
      <c r="O197" s="374"/>
      <c r="P197" s="374"/>
      <c r="Q197" s="374"/>
      <c r="R197" s="374"/>
      <c r="S197" s="374"/>
      <c r="T197" s="374"/>
      <c r="U197" s="374"/>
      <c r="V197" s="374"/>
      <c r="W197" s="374"/>
      <c r="X197" s="374"/>
      <c r="Y197" s="374"/>
      <c r="Z197" s="374"/>
    </row>
    <row r="198" ht="15.75" customHeight="1">
      <c r="A198" s="374"/>
      <c r="B198" s="374"/>
      <c r="C198" s="374"/>
      <c r="D198" s="374"/>
      <c r="E198" s="374"/>
      <c r="F198" s="374"/>
      <c r="G198" s="388"/>
      <c r="H198" s="388"/>
      <c r="I198" s="374"/>
      <c r="J198" s="374"/>
      <c r="K198" s="374"/>
      <c r="L198" s="374"/>
      <c r="M198" s="374"/>
      <c r="N198" s="374"/>
      <c r="O198" s="374"/>
      <c r="P198" s="374"/>
      <c r="Q198" s="374"/>
      <c r="R198" s="374"/>
      <c r="S198" s="374"/>
      <c r="T198" s="374"/>
      <c r="U198" s="374"/>
      <c r="V198" s="374"/>
      <c r="W198" s="374"/>
      <c r="X198" s="374"/>
      <c r="Y198" s="374"/>
      <c r="Z198" s="374"/>
    </row>
    <row r="199" ht="15.75" customHeight="1">
      <c r="A199" s="374"/>
      <c r="B199" s="374"/>
      <c r="C199" s="374"/>
      <c r="D199" s="374"/>
      <c r="E199" s="374"/>
      <c r="F199" s="374"/>
      <c r="G199" s="388"/>
      <c r="H199" s="388"/>
      <c r="I199" s="374"/>
      <c r="J199" s="374"/>
      <c r="K199" s="374"/>
      <c r="L199" s="374"/>
      <c r="M199" s="374"/>
      <c r="N199" s="374"/>
      <c r="O199" s="374"/>
      <c r="P199" s="374"/>
      <c r="Q199" s="374"/>
      <c r="R199" s="374"/>
      <c r="S199" s="374"/>
      <c r="T199" s="374"/>
      <c r="U199" s="374"/>
      <c r="V199" s="374"/>
      <c r="W199" s="374"/>
      <c r="X199" s="374"/>
      <c r="Y199" s="374"/>
      <c r="Z199" s="374"/>
    </row>
    <row r="200" ht="15.75" customHeight="1">
      <c r="A200" s="374"/>
      <c r="B200" s="374"/>
      <c r="C200" s="374"/>
      <c r="D200" s="374"/>
      <c r="E200" s="374"/>
      <c r="F200" s="374"/>
      <c r="G200" s="388"/>
      <c r="H200" s="388"/>
      <c r="I200" s="374"/>
      <c r="J200" s="374"/>
      <c r="K200" s="374"/>
      <c r="L200" s="374"/>
      <c r="M200" s="374"/>
      <c r="N200" s="374"/>
      <c r="O200" s="374"/>
      <c r="P200" s="374"/>
      <c r="Q200" s="374"/>
      <c r="R200" s="374"/>
      <c r="S200" s="374"/>
      <c r="T200" s="374"/>
      <c r="U200" s="374"/>
      <c r="V200" s="374"/>
      <c r="W200" s="374"/>
      <c r="X200" s="374"/>
      <c r="Y200" s="374"/>
      <c r="Z200" s="374"/>
    </row>
    <row r="201" ht="15.75" customHeight="1">
      <c r="A201" s="374"/>
      <c r="B201" s="374"/>
      <c r="C201" s="374"/>
      <c r="D201" s="374"/>
      <c r="E201" s="374"/>
      <c r="F201" s="374"/>
      <c r="G201" s="388"/>
      <c r="H201" s="388"/>
      <c r="I201" s="374"/>
      <c r="J201" s="374"/>
      <c r="K201" s="374"/>
      <c r="L201" s="374"/>
      <c r="M201" s="374"/>
      <c r="N201" s="374"/>
      <c r="O201" s="374"/>
      <c r="P201" s="374"/>
      <c r="Q201" s="374"/>
      <c r="R201" s="374"/>
      <c r="S201" s="374"/>
      <c r="T201" s="374"/>
      <c r="U201" s="374"/>
      <c r="V201" s="374"/>
      <c r="W201" s="374"/>
      <c r="X201" s="374"/>
      <c r="Y201" s="374"/>
      <c r="Z201" s="374"/>
    </row>
    <row r="202" ht="15.75" customHeight="1">
      <c r="A202" s="374"/>
      <c r="B202" s="374"/>
      <c r="C202" s="374"/>
      <c r="D202" s="374"/>
      <c r="E202" s="374"/>
      <c r="F202" s="374"/>
      <c r="G202" s="388"/>
      <c r="H202" s="388"/>
      <c r="I202" s="374"/>
      <c r="J202" s="374"/>
      <c r="K202" s="374"/>
      <c r="L202" s="374"/>
      <c r="M202" s="374"/>
      <c r="N202" s="374"/>
      <c r="O202" s="374"/>
      <c r="P202" s="374"/>
      <c r="Q202" s="374"/>
      <c r="R202" s="374"/>
      <c r="S202" s="374"/>
      <c r="T202" s="374"/>
      <c r="U202" s="374"/>
      <c r="V202" s="374"/>
      <c r="W202" s="374"/>
      <c r="X202" s="374"/>
      <c r="Y202" s="374"/>
      <c r="Z202" s="374"/>
    </row>
    <row r="203" ht="15.75" customHeight="1">
      <c r="A203" s="374"/>
      <c r="B203" s="374"/>
      <c r="C203" s="374"/>
      <c r="D203" s="374"/>
      <c r="E203" s="374"/>
      <c r="F203" s="374"/>
      <c r="G203" s="388"/>
      <c r="H203" s="388"/>
      <c r="I203" s="374"/>
      <c r="J203" s="374"/>
      <c r="K203" s="374"/>
      <c r="L203" s="374"/>
      <c r="M203" s="374"/>
      <c r="N203" s="374"/>
      <c r="O203" s="374"/>
      <c r="P203" s="374"/>
      <c r="Q203" s="374"/>
      <c r="R203" s="374"/>
      <c r="S203" s="374"/>
      <c r="T203" s="374"/>
      <c r="U203" s="374"/>
      <c r="V203" s="374"/>
      <c r="W203" s="374"/>
      <c r="X203" s="374"/>
      <c r="Y203" s="374"/>
      <c r="Z203" s="374"/>
    </row>
    <row r="204" ht="15.75" customHeight="1">
      <c r="A204" s="374"/>
      <c r="B204" s="374"/>
      <c r="C204" s="374"/>
      <c r="D204" s="374"/>
      <c r="E204" s="374"/>
      <c r="F204" s="374"/>
      <c r="G204" s="388"/>
      <c r="H204" s="388"/>
      <c r="I204" s="374"/>
      <c r="J204" s="374"/>
      <c r="K204" s="374"/>
      <c r="L204" s="374"/>
      <c r="M204" s="374"/>
      <c r="N204" s="374"/>
      <c r="O204" s="374"/>
      <c r="P204" s="374"/>
      <c r="Q204" s="374"/>
      <c r="R204" s="374"/>
      <c r="S204" s="374"/>
      <c r="T204" s="374"/>
      <c r="U204" s="374"/>
      <c r="V204" s="374"/>
      <c r="W204" s="374"/>
      <c r="X204" s="374"/>
      <c r="Y204" s="374"/>
      <c r="Z204" s="374"/>
    </row>
    <row r="205" ht="15.75" customHeight="1">
      <c r="A205" s="374"/>
      <c r="B205" s="374"/>
      <c r="C205" s="374"/>
      <c r="D205" s="374"/>
      <c r="E205" s="374"/>
      <c r="F205" s="374"/>
      <c r="G205" s="388"/>
      <c r="H205" s="388"/>
      <c r="I205" s="374"/>
      <c r="J205" s="374"/>
      <c r="K205" s="374"/>
      <c r="L205" s="374"/>
      <c r="M205" s="374"/>
      <c r="N205" s="374"/>
      <c r="O205" s="374"/>
      <c r="P205" s="374"/>
      <c r="Q205" s="374"/>
      <c r="R205" s="374"/>
      <c r="S205" s="374"/>
      <c r="T205" s="374"/>
      <c r="U205" s="374"/>
      <c r="V205" s="374"/>
      <c r="W205" s="374"/>
      <c r="X205" s="374"/>
      <c r="Y205" s="374"/>
      <c r="Z205" s="374"/>
    </row>
    <row r="206" ht="15.75" customHeight="1">
      <c r="A206" s="374"/>
      <c r="B206" s="374"/>
      <c r="C206" s="374"/>
      <c r="D206" s="374"/>
      <c r="E206" s="374"/>
      <c r="F206" s="374"/>
      <c r="G206" s="388"/>
      <c r="H206" s="388"/>
      <c r="I206" s="374"/>
      <c r="J206" s="374"/>
      <c r="K206" s="374"/>
      <c r="L206" s="374"/>
      <c r="M206" s="374"/>
      <c r="N206" s="374"/>
      <c r="O206" s="374"/>
      <c r="P206" s="374"/>
      <c r="Q206" s="374"/>
      <c r="R206" s="374"/>
      <c r="S206" s="374"/>
      <c r="T206" s="374"/>
      <c r="U206" s="374"/>
      <c r="V206" s="374"/>
      <c r="W206" s="374"/>
      <c r="X206" s="374"/>
      <c r="Y206" s="374"/>
      <c r="Z206" s="374"/>
    </row>
    <row r="207" ht="15.75" customHeight="1">
      <c r="A207" s="374"/>
      <c r="B207" s="374"/>
      <c r="C207" s="374"/>
      <c r="D207" s="374"/>
      <c r="E207" s="374"/>
      <c r="F207" s="374"/>
      <c r="G207" s="388"/>
      <c r="H207" s="388"/>
      <c r="I207" s="374"/>
      <c r="J207" s="374"/>
      <c r="K207" s="374"/>
      <c r="L207" s="374"/>
      <c r="M207" s="374"/>
      <c r="N207" s="374"/>
      <c r="O207" s="374"/>
      <c r="P207" s="374"/>
      <c r="Q207" s="374"/>
      <c r="R207" s="374"/>
      <c r="S207" s="374"/>
      <c r="T207" s="374"/>
      <c r="U207" s="374"/>
      <c r="V207" s="374"/>
      <c r="W207" s="374"/>
      <c r="X207" s="374"/>
      <c r="Y207" s="374"/>
      <c r="Z207" s="374"/>
    </row>
    <row r="208" ht="15.75" customHeight="1">
      <c r="A208" s="374"/>
      <c r="B208" s="374"/>
      <c r="C208" s="374"/>
      <c r="D208" s="374"/>
      <c r="E208" s="374"/>
      <c r="F208" s="374"/>
      <c r="G208" s="388"/>
      <c r="H208" s="388"/>
      <c r="I208" s="374"/>
      <c r="J208" s="374"/>
      <c r="K208" s="374"/>
      <c r="L208" s="374"/>
      <c r="M208" s="374"/>
      <c r="N208" s="374"/>
      <c r="O208" s="374"/>
      <c r="P208" s="374"/>
      <c r="Q208" s="374"/>
      <c r="R208" s="374"/>
      <c r="S208" s="374"/>
      <c r="T208" s="374"/>
      <c r="U208" s="374"/>
      <c r="V208" s="374"/>
      <c r="W208" s="374"/>
      <c r="X208" s="374"/>
      <c r="Y208" s="374"/>
      <c r="Z208" s="374"/>
    </row>
    <row r="209" ht="15.75" customHeight="1">
      <c r="A209" s="374"/>
      <c r="B209" s="374"/>
      <c r="C209" s="374"/>
      <c r="D209" s="374"/>
      <c r="E209" s="374"/>
      <c r="F209" s="374"/>
      <c r="G209" s="388"/>
      <c r="H209" s="388"/>
      <c r="I209" s="374"/>
      <c r="J209" s="374"/>
      <c r="K209" s="374"/>
      <c r="L209" s="374"/>
      <c r="M209" s="374"/>
      <c r="N209" s="374"/>
      <c r="O209" s="374"/>
      <c r="P209" s="374"/>
      <c r="Q209" s="374"/>
      <c r="R209" s="374"/>
      <c r="S209" s="374"/>
      <c r="T209" s="374"/>
      <c r="U209" s="374"/>
      <c r="V209" s="374"/>
      <c r="W209" s="374"/>
      <c r="X209" s="374"/>
      <c r="Y209" s="374"/>
      <c r="Z209" s="374"/>
    </row>
    <row r="210" ht="15.75" customHeight="1">
      <c r="A210" s="374"/>
      <c r="B210" s="374"/>
      <c r="C210" s="374"/>
      <c r="D210" s="374"/>
      <c r="E210" s="374"/>
      <c r="F210" s="374"/>
      <c r="G210" s="388"/>
      <c r="H210" s="388"/>
      <c r="I210" s="374"/>
      <c r="J210" s="374"/>
      <c r="K210" s="374"/>
      <c r="L210" s="374"/>
      <c r="M210" s="374"/>
      <c r="N210" s="374"/>
      <c r="O210" s="374"/>
      <c r="P210" s="374"/>
      <c r="Q210" s="374"/>
      <c r="R210" s="374"/>
      <c r="S210" s="374"/>
      <c r="T210" s="374"/>
      <c r="U210" s="374"/>
      <c r="V210" s="374"/>
      <c r="W210" s="374"/>
      <c r="X210" s="374"/>
      <c r="Y210" s="374"/>
      <c r="Z210" s="374"/>
    </row>
    <row r="211" ht="15.75" customHeight="1">
      <c r="A211" s="374"/>
      <c r="B211" s="374"/>
      <c r="C211" s="374"/>
      <c r="D211" s="374"/>
      <c r="E211" s="374"/>
      <c r="F211" s="374"/>
      <c r="G211" s="388"/>
      <c r="H211" s="388"/>
      <c r="I211" s="374"/>
      <c r="J211" s="374"/>
      <c r="K211" s="374"/>
      <c r="L211" s="374"/>
      <c r="M211" s="374"/>
      <c r="N211" s="374"/>
      <c r="O211" s="374"/>
      <c r="P211" s="374"/>
      <c r="Q211" s="374"/>
      <c r="R211" s="374"/>
      <c r="S211" s="374"/>
      <c r="T211" s="374"/>
      <c r="U211" s="374"/>
      <c r="V211" s="374"/>
      <c r="W211" s="374"/>
      <c r="X211" s="374"/>
      <c r="Y211" s="374"/>
      <c r="Z211" s="374"/>
    </row>
    <row r="212" ht="15.75" customHeight="1">
      <c r="A212" s="374"/>
      <c r="B212" s="374"/>
      <c r="C212" s="374"/>
      <c r="D212" s="374"/>
      <c r="E212" s="374"/>
      <c r="F212" s="374"/>
      <c r="G212" s="388"/>
      <c r="H212" s="388"/>
      <c r="I212" s="374"/>
      <c r="J212" s="374"/>
      <c r="K212" s="374"/>
      <c r="L212" s="374"/>
      <c r="M212" s="374"/>
      <c r="N212" s="374"/>
      <c r="O212" s="374"/>
      <c r="P212" s="374"/>
      <c r="Q212" s="374"/>
      <c r="R212" s="374"/>
      <c r="S212" s="374"/>
      <c r="T212" s="374"/>
      <c r="U212" s="374"/>
      <c r="V212" s="374"/>
      <c r="W212" s="374"/>
      <c r="X212" s="374"/>
      <c r="Y212" s="374"/>
      <c r="Z212" s="374"/>
    </row>
    <row r="213" ht="15.75" customHeight="1">
      <c r="A213" s="374"/>
      <c r="B213" s="374"/>
      <c r="C213" s="374"/>
      <c r="D213" s="374"/>
      <c r="E213" s="374"/>
      <c r="F213" s="374"/>
      <c r="G213" s="388"/>
      <c r="H213" s="388"/>
      <c r="I213" s="374"/>
      <c r="J213" s="374"/>
      <c r="K213" s="374"/>
      <c r="L213" s="374"/>
      <c r="M213" s="374"/>
      <c r="N213" s="374"/>
      <c r="O213" s="374"/>
      <c r="P213" s="374"/>
      <c r="Q213" s="374"/>
      <c r="R213" s="374"/>
      <c r="S213" s="374"/>
      <c r="T213" s="374"/>
      <c r="U213" s="374"/>
      <c r="V213" s="374"/>
      <c r="W213" s="374"/>
      <c r="X213" s="374"/>
      <c r="Y213" s="374"/>
      <c r="Z213" s="374"/>
    </row>
    <row r="214" ht="15.75" customHeight="1">
      <c r="A214" s="374"/>
      <c r="B214" s="374"/>
      <c r="C214" s="374"/>
      <c r="D214" s="374"/>
      <c r="E214" s="374"/>
      <c r="F214" s="374"/>
      <c r="G214" s="388"/>
      <c r="H214" s="388"/>
      <c r="I214" s="374"/>
      <c r="J214" s="374"/>
      <c r="K214" s="374"/>
      <c r="L214" s="374"/>
      <c r="M214" s="374"/>
      <c r="N214" s="374"/>
      <c r="O214" s="374"/>
      <c r="P214" s="374"/>
      <c r="Q214" s="374"/>
      <c r="R214" s="374"/>
      <c r="S214" s="374"/>
      <c r="T214" s="374"/>
      <c r="U214" s="374"/>
      <c r="V214" s="374"/>
      <c r="W214" s="374"/>
      <c r="X214" s="374"/>
      <c r="Y214" s="374"/>
      <c r="Z214" s="374"/>
    </row>
    <row r="215" ht="15.75" customHeight="1">
      <c r="A215" s="374"/>
      <c r="B215" s="374"/>
      <c r="C215" s="374"/>
      <c r="D215" s="374"/>
      <c r="E215" s="374"/>
      <c r="F215" s="374"/>
      <c r="G215" s="388"/>
      <c r="H215" s="388"/>
      <c r="I215" s="374"/>
      <c r="J215" s="374"/>
      <c r="K215" s="374"/>
      <c r="L215" s="374"/>
      <c r="M215" s="374"/>
      <c r="N215" s="374"/>
      <c r="O215" s="374"/>
      <c r="P215" s="374"/>
      <c r="Q215" s="374"/>
      <c r="R215" s="374"/>
      <c r="S215" s="374"/>
      <c r="T215" s="374"/>
      <c r="U215" s="374"/>
      <c r="V215" s="374"/>
      <c r="W215" s="374"/>
      <c r="X215" s="374"/>
      <c r="Y215" s="374"/>
      <c r="Z215" s="374"/>
    </row>
    <row r="216" ht="15.75" customHeight="1">
      <c r="A216" s="374"/>
      <c r="B216" s="374"/>
      <c r="C216" s="374"/>
      <c r="D216" s="374"/>
      <c r="E216" s="374"/>
      <c r="F216" s="374"/>
      <c r="G216" s="388"/>
      <c r="H216" s="388"/>
      <c r="I216" s="374"/>
      <c r="J216" s="374"/>
      <c r="K216" s="374"/>
      <c r="L216" s="374"/>
      <c r="M216" s="374"/>
      <c r="N216" s="374"/>
      <c r="O216" s="374"/>
      <c r="P216" s="374"/>
      <c r="Q216" s="374"/>
      <c r="R216" s="374"/>
      <c r="S216" s="374"/>
      <c r="T216" s="374"/>
      <c r="U216" s="374"/>
      <c r="V216" s="374"/>
      <c r="W216" s="374"/>
      <c r="X216" s="374"/>
      <c r="Y216" s="374"/>
      <c r="Z216" s="374"/>
    </row>
    <row r="217" ht="15.75" customHeight="1">
      <c r="A217" s="374"/>
      <c r="B217" s="374"/>
      <c r="C217" s="374"/>
      <c r="D217" s="374"/>
      <c r="E217" s="374"/>
      <c r="F217" s="374"/>
      <c r="G217" s="388"/>
      <c r="H217" s="388"/>
      <c r="I217" s="374"/>
      <c r="J217" s="374"/>
      <c r="K217" s="374"/>
      <c r="L217" s="374"/>
      <c r="M217" s="374"/>
      <c r="N217" s="374"/>
      <c r="O217" s="374"/>
      <c r="P217" s="374"/>
      <c r="Q217" s="374"/>
      <c r="R217" s="374"/>
      <c r="S217" s="374"/>
      <c r="T217" s="374"/>
      <c r="U217" s="374"/>
      <c r="V217" s="374"/>
      <c r="W217" s="374"/>
      <c r="X217" s="374"/>
      <c r="Y217" s="374"/>
      <c r="Z217" s="374"/>
    </row>
    <row r="218" ht="15.75" customHeight="1">
      <c r="A218" s="374"/>
      <c r="B218" s="374"/>
      <c r="C218" s="374"/>
      <c r="D218" s="374"/>
      <c r="E218" s="374"/>
      <c r="F218" s="374"/>
      <c r="G218" s="388"/>
      <c r="H218" s="388"/>
      <c r="I218" s="374"/>
      <c r="J218" s="374"/>
      <c r="K218" s="374"/>
      <c r="L218" s="374"/>
      <c r="M218" s="374"/>
      <c r="N218" s="374"/>
      <c r="O218" s="374"/>
      <c r="P218" s="374"/>
      <c r="Q218" s="374"/>
      <c r="R218" s="374"/>
      <c r="S218" s="374"/>
      <c r="T218" s="374"/>
      <c r="U218" s="374"/>
      <c r="V218" s="374"/>
      <c r="W218" s="374"/>
      <c r="X218" s="374"/>
      <c r="Y218" s="374"/>
      <c r="Z218" s="374"/>
    </row>
    <row r="219" ht="15.75" customHeight="1">
      <c r="A219" s="374"/>
      <c r="B219" s="374"/>
      <c r="C219" s="374"/>
      <c r="D219" s="374"/>
      <c r="E219" s="374"/>
      <c r="F219" s="374"/>
      <c r="G219" s="388"/>
      <c r="H219" s="388"/>
      <c r="I219" s="374"/>
      <c r="J219" s="374"/>
      <c r="K219" s="374"/>
      <c r="L219" s="374"/>
      <c r="M219" s="374"/>
      <c r="N219" s="374"/>
      <c r="O219" s="374"/>
      <c r="P219" s="374"/>
      <c r="Q219" s="374"/>
      <c r="R219" s="374"/>
      <c r="S219" s="374"/>
      <c r="T219" s="374"/>
      <c r="U219" s="374"/>
      <c r="V219" s="374"/>
      <c r="W219" s="374"/>
      <c r="X219" s="374"/>
      <c r="Y219" s="374"/>
      <c r="Z219" s="374"/>
    </row>
    <row r="220" ht="15.75" customHeight="1">
      <c r="A220" s="374"/>
      <c r="B220" s="374"/>
      <c r="C220" s="374"/>
      <c r="D220" s="374"/>
      <c r="E220" s="374"/>
      <c r="F220" s="374"/>
      <c r="G220" s="388"/>
      <c r="H220" s="388"/>
      <c r="I220" s="374"/>
      <c r="J220" s="374"/>
      <c r="K220" s="374"/>
      <c r="L220" s="374"/>
      <c r="M220" s="374"/>
      <c r="N220" s="374"/>
      <c r="O220" s="374"/>
      <c r="P220" s="374"/>
      <c r="Q220" s="374"/>
      <c r="R220" s="374"/>
      <c r="S220" s="374"/>
      <c r="T220" s="374"/>
      <c r="U220" s="374"/>
      <c r="V220" s="374"/>
      <c r="W220" s="374"/>
      <c r="X220" s="374"/>
      <c r="Y220" s="374"/>
      <c r="Z220" s="374"/>
    </row>
    <row r="221" ht="15.75" customHeight="1">
      <c r="A221" s="374"/>
      <c r="B221" s="374"/>
      <c r="C221" s="374"/>
      <c r="D221" s="374"/>
      <c r="E221" s="374"/>
      <c r="F221" s="374"/>
      <c r="G221" s="388"/>
      <c r="H221" s="388"/>
      <c r="I221" s="374"/>
      <c r="J221" s="374"/>
      <c r="K221" s="374"/>
      <c r="L221" s="374"/>
      <c r="M221" s="374"/>
      <c r="N221" s="374"/>
      <c r="O221" s="374"/>
      <c r="P221" s="374"/>
      <c r="Q221" s="374"/>
      <c r="R221" s="374"/>
      <c r="S221" s="374"/>
      <c r="T221" s="374"/>
      <c r="U221" s="374"/>
      <c r="V221" s="374"/>
      <c r="W221" s="374"/>
      <c r="X221" s="374"/>
      <c r="Y221" s="374"/>
      <c r="Z221" s="374"/>
    </row>
    <row r="222" ht="15.75" customHeight="1">
      <c r="A222" s="374"/>
      <c r="B222" s="374"/>
      <c r="C222" s="374"/>
      <c r="D222" s="374"/>
      <c r="E222" s="374"/>
      <c r="F222" s="374"/>
      <c r="G222" s="388"/>
      <c r="H222" s="388"/>
      <c r="I222" s="374"/>
      <c r="J222" s="374"/>
      <c r="K222" s="374"/>
      <c r="L222" s="374"/>
      <c r="M222" s="374"/>
      <c r="N222" s="374"/>
      <c r="O222" s="374"/>
      <c r="P222" s="374"/>
      <c r="Q222" s="374"/>
      <c r="R222" s="374"/>
      <c r="S222" s="374"/>
      <c r="T222" s="374"/>
      <c r="U222" s="374"/>
      <c r="V222" s="374"/>
      <c r="W222" s="374"/>
      <c r="X222" s="374"/>
      <c r="Y222" s="374"/>
      <c r="Z222" s="374"/>
    </row>
    <row r="223" ht="15.75" customHeight="1">
      <c r="A223" s="374"/>
      <c r="B223" s="374"/>
      <c r="C223" s="374"/>
      <c r="D223" s="374"/>
      <c r="E223" s="374"/>
      <c r="F223" s="374"/>
      <c r="G223" s="388"/>
      <c r="H223" s="388"/>
      <c r="I223" s="374"/>
      <c r="J223" s="374"/>
      <c r="K223" s="374"/>
      <c r="L223" s="374"/>
      <c r="M223" s="374"/>
      <c r="N223" s="374"/>
      <c r="O223" s="374"/>
      <c r="P223" s="374"/>
      <c r="Q223" s="374"/>
      <c r="R223" s="374"/>
      <c r="S223" s="374"/>
      <c r="T223" s="374"/>
      <c r="U223" s="374"/>
      <c r="V223" s="374"/>
      <c r="W223" s="374"/>
      <c r="X223" s="374"/>
      <c r="Y223" s="374"/>
      <c r="Z223" s="374"/>
    </row>
    <row r="224" ht="15.75" customHeight="1">
      <c r="A224" s="374"/>
      <c r="B224" s="374"/>
      <c r="C224" s="374"/>
      <c r="D224" s="374"/>
      <c r="E224" s="374"/>
      <c r="F224" s="374"/>
      <c r="G224" s="388"/>
      <c r="H224" s="388"/>
      <c r="I224" s="374"/>
      <c r="J224" s="374"/>
      <c r="K224" s="374"/>
      <c r="L224" s="374"/>
      <c r="M224" s="374"/>
      <c r="N224" s="374"/>
      <c r="O224" s="374"/>
      <c r="P224" s="374"/>
      <c r="Q224" s="374"/>
      <c r="R224" s="374"/>
      <c r="S224" s="374"/>
      <c r="T224" s="374"/>
      <c r="U224" s="374"/>
      <c r="V224" s="374"/>
      <c r="W224" s="374"/>
      <c r="X224" s="374"/>
      <c r="Y224" s="374"/>
      <c r="Z224" s="374"/>
    </row>
    <row r="225" ht="15.75" customHeight="1">
      <c r="A225" s="374"/>
      <c r="B225" s="374"/>
      <c r="C225" s="374"/>
      <c r="D225" s="374"/>
      <c r="E225" s="374"/>
      <c r="F225" s="374"/>
      <c r="G225" s="388"/>
      <c r="H225" s="388"/>
      <c r="I225" s="374"/>
      <c r="J225" s="374"/>
      <c r="K225" s="374"/>
      <c r="L225" s="374"/>
      <c r="M225" s="374"/>
      <c r="N225" s="374"/>
      <c r="O225" s="374"/>
      <c r="P225" s="374"/>
      <c r="Q225" s="374"/>
      <c r="R225" s="374"/>
      <c r="S225" s="374"/>
      <c r="T225" s="374"/>
      <c r="U225" s="374"/>
      <c r="V225" s="374"/>
      <c r="W225" s="374"/>
      <c r="X225" s="374"/>
      <c r="Y225" s="374"/>
      <c r="Z225" s="374"/>
    </row>
    <row r="226" ht="15.75" customHeight="1">
      <c r="A226" s="374"/>
      <c r="B226" s="374"/>
      <c r="C226" s="374"/>
      <c r="D226" s="374"/>
      <c r="E226" s="374"/>
      <c r="F226" s="374"/>
      <c r="G226" s="388"/>
      <c r="H226" s="388"/>
      <c r="I226" s="374"/>
      <c r="J226" s="374"/>
      <c r="K226" s="374"/>
      <c r="L226" s="374"/>
      <c r="M226" s="374"/>
      <c r="N226" s="374"/>
      <c r="O226" s="374"/>
      <c r="P226" s="374"/>
      <c r="Q226" s="374"/>
      <c r="R226" s="374"/>
      <c r="S226" s="374"/>
      <c r="T226" s="374"/>
      <c r="U226" s="374"/>
      <c r="V226" s="374"/>
      <c r="W226" s="374"/>
      <c r="X226" s="374"/>
      <c r="Y226" s="374"/>
      <c r="Z226" s="374"/>
    </row>
    <row r="227" ht="15.75" customHeight="1">
      <c r="A227" s="374"/>
      <c r="B227" s="374"/>
      <c r="C227" s="374"/>
      <c r="D227" s="374"/>
      <c r="E227" s="374"/>
      <c r="F227" s="374"/>
      <c r="G227" s="388"/>
      <c r="H227" s="388"/>
      <c r="I227" s="374"/>
      <c r="J227" s="374"/>
      <c r="K227" s="374"/>
      <c r="L227" s="374"/>
      <c r="M227" s="374"/>
      <c r="N227" s="374"/>
      <c r="O227" s="374"/>
      <c r="P227" s="374"/>
      <c r="Q227" s="374"/>
      <c r="R227" s="374"/>
      <c r="S227" s="374"/>
      <c r="T227" s="374"/>
      <c r="U227" s="374"/>
      <c r="V227" s="374"/>
      <c r="W227" s="374"/>
      <c r="X227" s="374"/>
      <c r="Y227" s="374"/>
      <c r="Z227" s="374"/>
    </row>
    <row r="228" ht="15.75" customHeight="1">
      <c r="A228" s="374"/>
      <c r="B228" s="374"/>
      <c r="C228" s="374"/>
      <c r="D228" s="374"/>
      <c r="E228" s="374"/>
      <c r="F228" s="374"/>
      <c r="G228" s="388"/>
      <c r="H228" s="388"/>
      <c r="I228" s="374"/>
      <c r="J228" s="374"/>
      <c r="K228" s="374"/>
      <c r="L228" s="374"/>
      <c r="M228" s="374"/>
      <c r="N228" s="374"/>
      <c r="O228" s="374"/>
      <c r="P228" s="374"/>
      <c r="Q228" s="374"/>
      <c r="R228" s="374"/>
      <c r="S228" s="374"/>
      <c r="T228" s="374"/>
      <c r="U228" s="374"/>
      <c r="V228" s="374"/>
      <c r="W228" s="374"/>
      <c r="X228" s="374"/>
      <c r="Y228" s="374"/>
      <c r="Z228" s="374"/>
    </row>
    <row r="229" ht="15.75" customHeight="1">
      <c r="A229" s="374"/>
      <c r="B229" s="374"/>
      <c r="C229" s="374"/>
      <c r="D229" s="374"/>
      <c r="E229" s="374"/>
      <c r="F229" s="374"/>
      <c r="G229" s="388"/>
      <c r="H229" s="388"/>
      <c r="I229" s="374"/>
      <c r="J229" s="374"/>
      <c r="K229" s="374"/>
      <c r="L229" s="374"/>
      <c r="M229" s="374"/>
      <c r="N229" s="374"/>
      <c r="O229" s="374"/>
      <c r="P229" s="374"/>
      <c r="Q229" s="374"/>
      <c r="R229" s="374"/>
      <c r="S229" s="374"/>
      <c r="T229" s="374"/>
      <c r="U229" s="374"/>
      <c r="V229" s="374"/>
      <c r="W229" s="374"/>
      <c r="X229" s="374"/>
      <c r="Y229" s="374"/>
      <c r="Z229" s="374"/>
    </row>
    <row r="230" ht="15.75" customHeight="1">
      <c r="A230" s="374"/>
      <c r="B230" s="374"/>
      <c r="C230" s="374"/>
      <c r="D230" s="374"/>
      <c r="E230" s="374"/>
      <c r="F230" s="374"/>
      <c r="G230" s="388"/>
      <c r="H230" s="388"/>
      <c r="I230" s="374"/>
      <c r="J230" s="374"/>
      <c r="K230" s="374"/>
      <c r="L230" s="374"/>
      <c r="M230" s="374"/>
      <c r="N230" s="374"/>
      <c r="O230" s="374"/>
      <c r="P230" s="374"/>
      <c r="Q230" s="374"/>
      <c r="R230" s="374"/>
      <c r="S230" s="374"/>
      <c r="T230" s="374"/>
      <c r="U230" s="374"/>
      <c r="V230" s="374"/>
      <c r="W230" s="374"/>
      <c r="X230" s="374"/>
      <c r="Y230" s="374"/>
      <c r="Z230" s="374"/>
    </row>
    <row r="231" ht="15.75" customHeight="1">
      <c r="A231" s="374"/>
      <c r="B231" s="374"/>
      <c r="C231" s="374"/>
      <c r="D231" s="374"/>
      <c r="E231" s="374"/>
      <c r="F231" s="374"/>
      <c r="G231" s="388"/>
      <c r="H231" s="388"/>
      <c r="I231" s="374"/>
      <c r="J231" s="374"/>
      <c r="K231" s="374"/>
      <c r="L231" s="374"/>
      <c r="M231" s="374"/>
      <c r="N231" s="374"/>
      <c r="O231" s="374"/>
      <c r="P231" s="374"/>
      <c r="Q231" s="374"/>
      <c r="R231" s="374"/>
      <c r="S231" s="374"/>
      <c r="T231" s="374"/>
      <c r="U231" s="374"/>
      <c r="V231" s="374"/>
      <c r="W231" s="374"/>
      <c r="X231" s="374"/>
      <c r="Y231" s="374"/>
      <c r="Z231" s="374"/>
    </row>
    <row r="232" ht="15.75" customHeight="1">
      <c r="A232" s="374"/>
      <c r="B232" s="374"/>
      <c r="C232" s="374"/>
      <c r="D232" s="374"/>
      <c r="E232" s="374"/>
      <c r="F232" s="374"/>
      <c r="G232" s="388"/>
      <c r="H232" s="388"/>
      <c r="I232" s="374"/>
      <c r="J232" s="374"/>
      <c r="K232" s="374"/>
      <c r="L232" s="374"/>
      <c r="M232" s="374"/>
      <c r="N232" s="374"/>
      <c r="O232" s="374"/>
      <c r="P232" s="374"/>
      <c r="Q232" s="374"/>
      <c r="R232" s="374"/>
      <c r="S232" s="374"/>
      <c r="T232" s="374"/>
      <c r="U232" s="374"/>
      <c r="V232" s="374"/>
      <c r="W232" s="374"/>
      <c r="X232" s="374"/>
      <c r="Y232" s="374"/>
      <c r="Z232" s="374"/>
    </row>
    <row r="233" ht="15.75" customHeight="1">
      <c r="A233" s="374"/>
      <c r="B233" s="374"/>
      <c r="C233" s="374"/>
      <c r="D233" s="374"/>
      <c r="E233" s="374"/>
      <c r="F233" s="374"/>
      <c r="G233" s="388"/>
      <c r="H233" s="388"/>
      <c r="I233" s="374"/>
      <c r="J233" s="374"/>
      <c r="K233" s="374"/>
      <c r="L233" s="374"/>
      <c r="M233" s="374"/>
      <c r="N233" s="374"/>
      <c r="O233" s="374"/>
      <c r="P233" s="374"/>
      <c r="Q233" s="374"/>
      <c r="R233" s="374"/>
      <c r="S233" s="374"/>
      <c r="T233" s="374"/>
      <c r="U233" s="374"/>
      <c r="V233" s="374"/>
      <c r="W233" s="374"/>
      <c r="X233" s="374"/>
      <c r="Y233" s="374"/>
      <c r="Z233" s="374"/>
    </row>
    <row r="234" ht="15.75" customHeight="1">
      <c r="A234" s="374"/>
      <c r="B234" s="374"/>
      <c r="C234" s="374"/>
      <c r="D234" s="374"/>
      <c r="E234" s="374"/>
      <c r="F234" s="374"/>
      <c r="G234" s="388"/>
      <c r="H234" s="388"/>
      <c r="I234" s="374"/>
      <c r="J234" s="374"/>
      <c r="K234" s="374"/>
      <c r="L234" s="374"/>
      <c r="M234" s="374"/>
      <c r="N234" s="374"/>
      <c r="O234" s="374"/>
      <c r="P234" s="374"/>
      <c r="Q234" s="374"/>
      <c r="R234" s="374"/>
      <c r="S234" s="374"/>
      <c r="T234" s="374"/>
      <c r="U234" s="374"/>
      <c r="V234" s="374"/>
      <c r="W234" s="374"/>
      <c r="X234" s="374"/>
      <c r="Y234" s="374"/>
      <c r="Z234" s="374"/>
    </row>
    <row r="235" ht="15.75" customHeight="1">
      <c r="A235" s="374"/>
      <c r="B235" s="374"/>
      <c r="C235" s="374"/>
      <c r="D235" s="374"/>
      <c r="E235" s="374"/>
      <c r="F235" s="374"/>
      <c r="G235" s="388"/>
      <c r="H235" s="388"/>
      <c r="I235" s="374"/>
      <c r="J235" s="374"/>
      <c r="K235" s="374"/>
      <c r="L235" s="374"/>
      <c r="M235" s="374"/>
      <c r="N235" s="374"/>
      <c r="O235" s="374"/>
      <c r="P235" s="374"/>
      <c r="Q235" s="374"/>
      <c r="R235" s="374"/>
      <c r="S235" s="374"/>
      <c r="T235" s="374"/>
      <c r="U235" s="374"/>
      <c r="V235" s="374"/>
      <c r="W235" s="374"/>
      <c r="X235" s="374"/>
      <c r="Y235" s="374"/>
      <c r="Z235" s="374"/>
    </row>
    <row r="236" ht="15.75" customHeight="1">
      <c r="A236" s="374"/>
      <c r="B236" s="374"/>
      <c r="C236" s="374"/>
      <c r="D236" s="374"/>
      <c r="E236" s="374"/>
      <c r="F236" s="374"/>
      <c r="G236" s="388"/>
      <c r="H236" s="388"/>
      <c r="I236" s="374"/>
      <c r="J236" s="374"/>
      <c r="K236" s="374"/>
      <c r="L236" s="374"/>
      <c r="M236" s="374"/>
      <c r="N236" s="374"/>
      <c r="O236" s="374"/>
      <c r="P236" s="374"/>
      <c r="Q236" s="374"/>
      <c r="R236" s="374"/>
      <c r="S236" s="374"/>
      <c r="T236" s="374"/>
      <c r="U236" s="374"/>
      <c r="V236" s="374"/>
      <c r="W236" s="374"/>
      <c r="X236" s="374"/>
      <c r="Y236" s="374"/>
      <c r="Z236" s="374"/>
    </row>
    <row r="237" ht="15.75" customHeight="1">
      <c r="A237" s="374"/>
      <c r="B237" s="374"/>
      <c r="C237" s="374"/>
      <c r="D237" s="374"/>
      <c r="E237" s="374"/>
      <c r="F237" s="374"/>
      <c r="G237" s="388"/>
      <c r="H237" s="388"/>
      <c r="I237" s="374"/>
      <c r="J237" s="374"/>
      <c r="K237" s="374"/>
      <c r="L237" s="374"/>
      <c r="M237" s="374"/>
      <c r="N237" s="374"/>
      <c r="O237" s="374"/>
      <c r="P237" s="374"/>
      <c r="Q237" s="374"/>
      <c r="R237" s="374"/>
      <c r="S237" s="374"/>
      <c r="T237" s="374"/>
      <c r="U237" s="374"/>
      <c r="V237" s="374"/>
      <c r="W237" s="374"/>
      <c r="X237" s="374"/>
      <c r="Y237" s="374"/>
      <c r="Z237" s="374"/>
    </row>
    <row r="238" ht="15.75" customHeight="1">
      <c r="A238" s="374"/>
      <c r="B238" s="374"/>
      <c r="C238" s="374"/>
      <c r="D238" s="374"/>
      <c r="E238" s="374"/>
      <c r="F238" s="374"/>
      <c r="G238" s="388"/>
      <c r="H238" s="388"/>
      <c r="I238" s="374"/>
      <c r="J238" s="374"/>
      <c r="K238" s="374"/>
      <c r="L238" s="374"/>
      <c r="M238" s="374"/>
      <c r="N238" s="374"/>
      <c r="O238" s="374"/>
      <c r="P238" s="374"/>
      <c r="Q238" s="374"/>
      <c r="R238" s="374"/>
      <c r="S238" s="374"/>
      <c r="T238" s="374"/>
      <c r="U238" s="374"/>
      <c r="V238" s="374"/>
      <c r="W238" s="374"/>
      <c r="X238" s="374"/>
      <c r="Y238" s="374"/>
      <c r="Z238" s="374"/>
    </row>
    <row r="239" ht="15.75" customHeight="1">
      <c r="A239" s="374"/>
      <c r="B239" s="374"/>
      <c r="C239" s="374"/>
      <c r="D239" s="374"/>
      <c r="E239" s="374"/>
      <c r="F239" s="374"/>
      <c r="G239" s="388"/>
      <c r="H239" s="388"/>
      <c r="I239" s="374"/>
      <c r="J239" s="374"/>
      <c r="K239" s="374"/>
      <c r="L239" s="374"/>
      <c r="M239" s="374"/>
      <c r="N239" s="374"/>
      <c r="O239" s="374"/>
      <c r="P239" s="374"/>
      <c r="Q239" s="374"/>
      <c r="R239" s="374"/>
      <c r="S239" s="374"/>
      <c r="T239" s="374"/>
      <c r="U239" s="374"/>
      <c r="V239" s="374"/>
      <c r="W239" s="374"/>
      <c r="X239" s="374"/>
      <c r="Y239" s="374"/>
      <c r="Z239" s="374"/>
    </row>
    <row r="240" ht="15.75" customHeight="1">
      <c r="A240" s="374"/>
      <c r="B240" s="374"/>
      <c r="C240" s="374"/>
      <c r="D240" s="374"/>
      <c r="E240" s="374"/>
      <c r="F240" s="374"/>
      <c r="G240" s="388"/>
      <c r="H240" s="388"/>
      <c r="I240" s="374"/>
      <c r="J240" s="374"/>
      <c r="K240" s="374"/>
      <c r="L240" s="374"/>
      <c r="M240" s="374"/>
      <c r="N240" s="374"/>
      <c r="O240" s="374"/>
      <c r="P240" s="374"/>
      <c r="Q240" s="374"/>
      <c r="R240" s="374"/>
      <c r="S240" s="374"/>
      <c r="T240" s="374"/>
      <c r="U240" s="374"/>
      <c r="V240" s="374"/>
      <c r="W240" s="374"/>
      <c r="X240" s="374"/>
      <c r="Y240" s="374"/>
      <c r="Z240" s="374"/>
    </row>
    <row r="241" ht="15.75" customHeight="1">
      <c r="A241" s="374"/>
      <c r="B241" s="374"/>
      <c r="C241" s="374"/>
      <c r="D241" s="374"/>
      <c r="E241" s="374"/>
      <c r="F241" s="374"/>
      <c r="G241" s="388"/>
      <c r="H241" s="388"/>
      <c r="I241" s="374"/>
      <c r="J241" s="374"/>
      <c r="K241" s="374"/>
      <c r="L241" s="374"/>
      <c r="M241" s="374"/>
      <c r="N241" s="374"/>
      <c r="O241" s="374"/>
      <c r="P241" s="374"/>
      <c r="Q241" s="374"/>
      <c r="R241" s="374"/>
      <c r="S241" s="374"/>
      <c r="T241" s="374"/>
      <c r="U241" s="374"/>
      <c r="V241" s="374"/>
      <c r="W241" s="374"/>
      <c r="X241" s="374"/>
      <c r="Y241" s="374"/>
      <c r="Z241" s="374"/>
    </row>
    <row r="242" ht="15.75" customHeight="1">
      <c r="A242" s="374"/>
      <c r="B242" s="374"/>
      <c r="C242" s="374"/>
      <c r="D242" s="374"/>
      <c r="E242" s="374"/>
      <c r="F242" s="374"/>
      <c r="G242" s="388"/>
      <c r="H242" s="388"/>
      <c r="I242" s="374"/>
      <c r="J242" s="374"/>
      <c r="K242" s="374"/>
      <c r="L242" s="374"/>
      <c r="M242" s="374"/>
      <c r="N242" s="374"/>
      <c r="O242" s="374"/>
      <c r="P242" s="374"/>
      <c r="Q242" s="374"/>
      <c r="R242" s="374"/>
      <c r="S242" s="374"/>
      <c r="T242" s="374"/>
      <c r="U242" s="374"/>
      <c r="V242" s="374"/>
      <c r="W242" s="374"/>
      <c r="X242" s="374"/>
      <c r="Y242" s="374"/>
      <c r="Z242" s="374"/>
    </row>
    <row r="243" ht="15.75" customHeight="1">
      <c r="A243" s="374"/>
      <c r="B243" s="374"/>
      <c r="C243" s="374"/>
      <c r="D243" s="374"/>
      <c r="E243" s="374"/>
      <c r="F243" s="374"/>
      <c r="G243" s="388"/>
      <c r="H243" s="388"/>
      <c r="I243" s="374"/>
      <c r="J243" s="374"/>
      <c r="K243" s="374"/>
      <c r="L243" s="374"/>
      <c r="M243" s="374"/>
      <c r="N243" s="374"/>
      <c r="O243" s="374"/>
      <c r="P243" s="374"/>
      <c r="Q243" s="374"/>
      <c r="R243" s="374"/>
      <c r="S243" s="374"/>
      <c r="T243" s="374"/>
      <c r="U243" s="374"/>
      <c r="V243" s="374"/>
      <c r="W243" s="374"/>
      <c r="X243" s="374"/>
      <c r="Y243" s="374"/>
      <c r="Z243" s="374"/>
    </row>
    <row r="244" ht="15.75" customHeight="1">
      <c r="A244" s="374"/>
      <c r="B244" s="374"/>
      <c r="C244" s="374"/>
      <c r="D244" s="374"/>
      <c r="E244" s="374"/>
      <c r="F244" s="374"/>
      <c r="G244" s="388"/>
      <c r="H244" s="388"/>
      <c r="I244" s="374"/>
      <c r="J244" s="374"/>
      <c r="K244" s="374"/>
      <c r="L244" s="374"/>
      <c r="M244" s="374"/>
      <c r="N244" s="374"/>
      <c r="O244" s="374"/>
      <c r="P244" s="374"/>
      <c r="Q244" s="374"/>
      <c r="R244" s="374"/>
      <c r="S244" s="374"/>
      <c r="T244" s="374"/>
      <c r="U244" s="374"/>
      <c r="V244" s="374"/>
      <c r="W244" s="374"/>
      <c r="X244" s="374"/>
      <c r="Y244" s="374"/>
      <c r="Z244" s="374"/>
    </row>
    <row r="245" ht="15.75" customHeight="1">
      <c r="A245" s="374"/>
      <c r="B245" s="374"/>
      <c r="C245" s="374"/>
      <c r="D245" s="374"/>
      <c r="E245" s="374"/>
      <c r="F245" s="374"/>
      <c r="G245" s="388"/>
      <c r="H245" s="388"/>
      <c r="I245" s="374"/>
      <c r="J245" s="374"/>
      <c r="K245" s="374"/>
      <c r="L245" s="374"/>
      <c r="M245" s="374"/>
      <c r="N245" s="374"/>
      <c r="O245" s="374"/>
      <c r="P245" s="374"/>
      <c r="Q245" s="374"/>
      <c r="R245" s="374"/>
      <c r="S245" s="374"/>
      <c r="T245" s="374"/>
      <c r="U245" s="374"/>
      <c r="V245" s="374"/>
      <c r="W245" s="374"/>
      <c r="X245" s="374"/>
      <c r="Y245" s="374"/>
      <c r="Z245" s="374"/>
    </row>
    <row r="246" ht="15.75" customHeight="1">
      <c r="A246" s="374"/>
      <c r="B246" s="374"/>
      <c r="C246" s="374"/>
      <c r="D246" s="374"/>
      <c r="E246" s="374"/>
      <c r="F246" s="374"/>
      <c r="G246" s="388"/>
      <c r="H246" s="388"/>
      <c r="I246" s="374"/>
      <c r="J246" s="374"/>
      <c r="K246" s="374"/>
      <c r="L246" s="374"/>
      <c r="M246" s="374"/>
      <c r="N246" s="374"/>
      <c r="O246" s="374"/>
      <c r="P246" s="374"/>
      <c r="Q246" s="374"/>
      <c r="R246" s="374"/>
      <c r="S246" s="374"/>
      <c r="T246" s="374"/>
      <c r="U246" s="374"/>
      <c r="V246" s="374"/>
      <c r="W246" s="374"/>
      <c r="X246" s="374"/>
      <c r="Y246" s="374"/>
      <c r="Z246" s="374"/>
    </row>
    <row r="247" ht="15.75" customHeight="1">
      <c r="A247" s="374"/>
      <c r="B247" s="374"/>
      <c r="C247" s="374"/>
      <c r="D247" s="374"/>
      <c r="E247" s="374"/>
      <c r="F247" s="374"/>
      <c r="G247" s="388"/>
      <c r="H247" s="388"/>
      <c r="I247" s="374"/>
      <c r="J247" s="374"/>
      <c r="K247" s="374"/>
      <c r="L247" s="374"/>
      <c r="M247" s="374"/>
      <c r="N247" s="374"/>
      <c r="O247" s="374"/>
      <c r="P247" s="374"/>
      <c r="Q247" s="374"/>
      <c r="R247" s="374"/>
      <c r="S247" s="374"/>
      <c r="T247" s="374"/>
      <c r="U247" s="374"/>
      <c r="V247" s="374"/>
      <c r="W247" s="374"/>
      <c r="X247" s="374"/>
      <c r="Y247" s="374"/>
      <c r="Z247" s="374"/>
    </row>
    <row r="248" ht="15.75" customHeight="1">
      <c r="A248" s="374"/>
      <c r="B248" s="374"/>
      <c r="C248" s="374"/>
      <c r="D248" s="374"/>
      <c r="E248" s="374"/>
      <c r="F248" s="374"/>
      <c r="G248" s="388"/>
      <c r="H248" s="388"/>
      <c r="I248" s="374"/>
      <c r="J248" s="374"/>
      <c r="K248" s="374"/>
      <c r="L248" s="374"/>
      <c r="M248" s="374"/>
      <c r="N248" s="374"/>
      <c r="O248" s="374"/>
      <c r="P248" s="374"/>
      <c r="Q248" s="374"/>
      <c r="R248" s="374"/>
      <c r="S248" s="374"/>
      <c r="T248" s="374"/>
      <c r="U248" s="374"/>
      <c r="V248" s="374"/>
      <c r="W248" s="374"/>
      <c r="X248" s="374"/>
      <c r="Y248" s="374"/>
      <c r="Z248" s="374"/>
    </row>
    <row r="249" ht="15.75" customHeight="1">
      <c r="A249" s="374"/>
      <c r="B249" s="374"/>
      <c r="C249" s="374"/>
      <c r="D249" s="374"/>
      <c r="E249" s="374"/>
      <c r="F249" s="374"/>
      <c r="G249" s="388"/>
      <c r="H249" s="388"/>
      <c r="I249" s="374"/>
      <c r="J249" s="374"/>
      <c r="K249" s="374"/>
      <c r="L249" s="374"/>
      <c r="M249" s="374"/>
      <c r="N249" s="374"/>
      <c r="O249" s="374"/>
      <c r="P249" s="374"/>
      <c r="Q249" s="374"/>
      <c r="R249" s="374"/>
      <c r="S249" s="374"/>
      <c r="T249" s="374"/>
      <c r="U249" s="374"/>
      <c r="V249" s="374"/>
      <c r="W249" s="374"/>
      <c r="X249" s="374"/>
      <c r="Y249" s="374"/>
      <c r="Z249" s="374"/>
    </row>
    <row r="250" ht="15.75" customHeight="1">
      <c r="A250" s="374"/>
      <c r="B250" s="374"/>
      <c r="C250" s="374"/>
      <c r="D250" s="374"/>
      <c r="E250" s="374"/>
      <c r="F250" s="374"/>
      <c r="G250" s="388"/>
      <c r="H250" s="388"/>
      <c r="I250" s="374"/>
      <c r="J250" s="374"/>
      <c r="K250" s="374"/>
      <c r="L250" s="374"/>
      <c r="M250" s="374"/>
      <c r="N250" s="374"/>
      <c r="O250" s="374"/>
      <c r="P250" s="374"/>
      <c r="Q250" s="374"/>
      <c r="R250" s="374"/>
      <c r="S250" s="374"/>
      <c r="T250" s="374"/>
      <c r="U250" s="374"/>
      <c r="V250" s="374"/>
      <c r="W250" s="374"/>
      <c r="X250" s="374"/>
      <c r="Y250" s="374"/>
      <c r="Z250" s="374"/>
    </row>
    <row r="251" ht="15.75" customHeight="1">
      <c r="A251" s="374"/>
      <c r="B251" s="374"/>
      <c r="C251" s="374"/>
      <c r="D251" s="374"/>
      <c r="E251" s="374"/>
      <c r="F251" s="374"/>
      <c r="G251" s="388"/>
      <c r="H251" s="388"/>
      <c r="I251" s="374"/>
      <c r="J251" s="374"/>
      <c r="K251" s="374"/>
      <c r="L251" s="374"/>
      <c r="M251" s="374"/>
      <c r="N251" s="374"/>
      <c r="O251" s="374"/>
      <c r="P251" s="374"/>
      <c r="Q251" s="374"/>
      <c r="R251" s="374"/>
      <c r="S251" s="374"/>
      <c r="T251" s="374"/>
      <c r="U251" s="374"/>
      <c r="V251" s="374"/>
      <c r="W251" s="374"/>
      <c r="X251" s="374"/>
      <c r="Y251" s="374"/>
      <c r="Z251" s="374"/>
    </row>
    <row r="252" ht="15.75" customHeight="1">
      <c r="A252" s="374"/>
      <c r="B252" s="374"/>
      <c r="C252" s="374"/>
      <c r="D252" s="374"/>
      <c r="E252" s="374"/>
      <c r="F252" s="374"/>
      <c r="G252" s="388"/>
      <c r="H252" s="388"/>
      <c r="I252" s="374"/>
      <c r="J252" s="374"/>
      <c r="K252" s="374"/>
      <c r="L252" s="374"/>
      <c r="M252" s="374"/>
      <c r="N252" s="374"/>
      <c r="O252" s="374"/>
      <c r="P252" s="374"/>
      <c r="Q252" s="374"/>
      <c r="R252" s="374"/>
      <c r="S252" s="374"/>
      <c r="T252" s="374"/>
      <c r="U252" s="374"/>
      <c r="V252" s="374"/>
      <c r="W252" s="374"/>
      <c r="X252" s="374"/>
      <c r="Y252" s="374"/>
      <c r="Z252" s="374"/>
    </row>
    <row r="253" ht="15.75" customHeight="1">
      <c r="A253" s="374"/>
      <c r="B253" s="374"/>
      <c r="C253" s="374"/>
      <c r="D253" s="374"/>
      <c r="E253" s="374"/>
      <c r="F253" s="374"/>
      <c r="G253" s="388"/>
      <c r="H253" s="388"/>
      <c r="I253" s="374"/>
      <c r="J253" s="374"/>
      <c r="K253" s="374"/>
      <c r="L253" s="374"/>
      <c r="M253" s="374"/>
      <c r="N253" s="374"/>
      <c r="O253" s="374"/>
      <c r="P253" s="374"/>
      <c r="Q253" s="374"/>
      <c r="R253" s="374"/>
      <c r="S253" s="374"/>
      <c r="T253" s="374"/>
      <c r="U253" s="374"/>
      <c r="V253" s="374"/>
      <c r="W253" s="374"/>
      <c r="X253" s="374"/>
      <c r="Y253" s="374"/>
      <c r="Z253" s="374"/>
    </row>
    <row r="254" ht="15.75" customHeight="1">
      <c r="A254" s="374"/>
      <c r="B254" s="374"/>
      <c r="C254" s="374"/>
      <c r="D254" s="374"/>
      <c r="E254" s="374"/>
      <c r="F254" s="374"/>
      <c r="G254" s="388"/>
      <c r="H254" s="388"/>
      <c r="I254" s="374"/>
      <c r="J254" s="374"/>
      <c r="K254" s="374"/>
      <c r="L254" s="374"/>
      <c r="M254" s="374"/>
      <c r="N254" s="374"/>
      <c r="O254" s="374"/>
      <c r="P254" s="374"/>
      <c r="Q254" s="374"/>
      <c r="R254" s="374"/>
      <c r="S254" s="374"/>
      <c r="T254" s="374"/>
      <c r="U254" s="374"/>
      <c r="V254" s="374"/>
      <c r="W254" s="374"/>
      <c r="X254" s="374"/>
      <c r="Y254" s="374"/>
      <c r="Z254" s="374"/>
    </row>
    <row r="255" ht="15.75" customHeight="1">
      <c r="A255" s="374"/>
      <c r="B255" s="374"/>
      <c r="C255" s="374"/>
      <c r="D255" s="374"/>
      <c r="E255" s="374"/>
      <c r="F255" s="374"/>
      <c r="G255" s="388"/>
      <c r="H255" s="388"/>
      <c r="I255" s="374"/>
      <c r="J255" s="374"/>
      <c r="K255" s="374"/>
      <c r="L255" s="374"/>
      <c r="M255" s="374"/>
      <c r="N255" s="374"/>
      <c r="O255" s="374"/>
      <c r="P255" s="374"/>
      <c r="Q255" s="374"/>
      <c r="R255" s="374"/>
      <c r="S255" s="374"/>
      <c r="T255" s="374"/>
      <c r="U255" s="374"/>
      <c r="V255" s="374"/>
      <c r="W255" s="374"/>
      <c r="X255" s="374"/>
      <c r="Y255" s="374"/>
      <c r="Z255" s="374"/>
    </row>
    <row r="256" ht="15.75" customHeight="1">
      <c r="A256" s="374"/>
      <c r="B256" s="374"/>
      <c r="C256" s="374"/>
      <c r="D256" s="374"/>
      <c r="E256" s="374"/>
      <c r="F256" s="374"/>
      <c r="G256" s="388"/>
      <c r="H256" s="388"/>
      <c r="I256" s="374"/>
      <c r="J256" s="374"/>
      <c r="K256" s="374"/>
      <c r="L256" s="374"/>
      <c r="M256" s="374"/>
      <c r="N256" s="374"/>
      <c r="O256" s="374"/>
      <c r="P256" s="374"/>
      <c r="Q256" s="374"/>
      <c r="R256" s="374"/>
      <c r="S256" s="374"/>
      <c r="T256" s="374"/>
      <c r="U256" s="374"/>
      <c r="V256" s="374"/>
      <c r="W256" s="374"/>
      <c r="X256" s="374"/>
      <c r="Y256" s="374"/>
      <c r="Z256" s="374"/>
    </row>
    <row r="257" ht="15.75" customHeight="1">
      <c r="A257" s="374"/>
      <c r="B257" s="374"/>
      <c r="C257" s="374"/>
      <c r="D257" s="374"/>
      <c r="E257" s="374"/>
      <c r="F257" s="374"/>
      <c r="G257" s="388"/>
      <c r="H257" s="388"/>
      <c r="I257" s="374"/>
      <c r="J257" s="374"/>
      <c r="K257" s="374"/>
      <c r="L257" s="374"/>
      <c r="M257" s="374"/>
      <c r="N257" s="374"/>
      <c r="O257" s="374"/>
      <c r="P257" s="374"/>
      <c r="Q257" s="374"/>
      <c r="R257" s="374"/>
      <c r="S257" s="374"/>
      <c r="T257" s="374"/>
      <c r="U257" s="374"/>
      <c r="V257" s="374"/>
      <c r="W257" s="374"/>
      <c r="X257" s="374"/>
      <c r="Y257" s="374"/>
      <c r="Z257" s="374"/>
    </row>
    <row r="258" ht="15.75" customHeight="1">
      <c r="A258" s="374"/>
      <c r="B258" s="374"/>
      <c r="C258" s="374"/>
      <c r="D258" s="374"/>
      <c r="E258" s="374"/>
      <c r="F258" s="374"/>
      <c r="G258" s="388"/>
      <c r="H258" s="388"/>
      <c r="I258" s="374"/>
      <c r="J258" s="374"/>
      <c r="K258" s="374"/>
      <c r="L258" s="374"/>
      <c r="M258" s="374"/>
      <c r="N258" s="374"/>
      <c r="O258" s="374"/>
      <c r="P258" s="374"/>
      <c r="Q258" s="374"/>
      <c r="R258" s="374"/>
      <c r="S258" s="374"/>
      <c r="T258" s="374"/>
      <c r="U258" s="374"/>
      <c r="V258" s="374"/>
      <c r="W258" s="374"/>
      <c r="X258" s="374"/>
      <c r="Y258" s="374"/>
      <c r="Z258" s="374"/>
    </row>
    <row r="259" ht="15.75" customHeight="1">
      <c r="A259" s="374"/>
      <c r="B259" s="374"/>
      <c r="C259" s="374"/>
      <c r="D259" s="374"/>
      <c r="E259" s="374"/>
      <c r="F259" s="374"/>
      <c r="G259" s="388"/>
      <c r="H259" s="388"/>
      <c r="I259" s="374"/>
      <c r="J259" s="374"/>
      <c r="K259" s="374"/>
      <c r="L259" s="374"/>
      <c r="M259" s="374"/>
      <c r="N259" s="374"/>
      <c r="O259" s="374"/>
      <c r="P259" s="374"/>
      <c r="Q259" s="374"/>
      <c r="R259" s="374"/>
      <c r="S259" s="374"/>
      <c r="T259" s="374"/>
      <c r="U259" s="374"/>
      <c r="V259" s="374"/>
      <c r="W259" s="374"/>
      <c r="X259" s="374"/>
      <c r="Y259" s="374"/>
      <c r="Z259" s="374"/>
    </row>
    <row r="260" ht="15.75" customHeight="1">
      <c r="A260" s="374"/>
      <c r="B260" s="374"/>
      <c r="C260" s="374"/>
      <c r="D260" s="374"/>
      <c r="E260" s="374"/>
      <c r="F260" s="374"/>
      <c r="G260" s="388"/>
      <c r="H260" s="388"/>
      <c r="I260" s="374"/>
      <c r="J260" s="374"/>
      <c r="K260" s="374"/>
      <c r="L260" s="374"/>
      <c r="M260" s="374"/>
      <c r="N260" s="374"/>
      <c r="O260" s="374"/>
      <c r="P260" s="374"/>
      <c r="Q260" s="374"/>
      <c r="R260" s="374"/>
      <c r="S260" s="374"/>
      <c r="T260" s="374"/>
      <c r="U260" s="374"/>
      <c r="V260" s="374"/>
      <c r="W260" s="374"/>
      <c r="X260" s="374"/>
      <c r="Y260" s="374"/>
      <c r="Z260" s="374"/>
    </row>
    <row r="261" ht="15.75" customHeight="1">
      <c r="A261" s="374"/>
      <c r="B261" s="374"/>
      <c r="C261" s="374"/>
      <c r="D261" s="374"/>
      <c r="E261" s="374"/>
      <c r="F261" s="374"/>
      <c r="G261" s="388"/>
      <c r="H261" s="388"/>
      <c r="I261" s="374"/>
      <c r="J261" s="374"/>
      <c r="K261" s="374"/>
      <c r="L261" s="374"/>
      <c r="M261" s="374"/>
      <c r="N261" s="374"/>
      <c r="O261" s="374"/>
      <c r="P261" s="374"/>
      <c r="Q261" s="374"/>
      <c r="R261" s="374"/>
      <c r="S261" s="374"/>
      <c r="T261" s="374"/>
      <c r="U261" s="374"/>
      <c r="V261" s="374"/>
      <c r="W261" s="374"/>
      <c r="X261" s="374"/>
      <c r="Y261" s="374"/>
      <c r="Z261" s="374"/>
    </row>
    <row r="262" ht="15.75" customHeight="1">
      <c r="A262" s="374"/>
      <c r="B262" s="374"/>
      <c r="C262" s="374"/>
      <c r="D262" s="374"/>
      <c r="E262" s="374"/>
      <c r="F262" s="374"/>
      <c r="G262" s="388"/>
      <c r="H262" s="388"/>
      <c r="I262" s="374"/>
      <c r="J262" s="374"/>
      <c r="K262" s="374"/>
      <c r="L262" s="374"/>
      <c r="M262" s="374"/>
      <c r="N262" s="374"/>
      <c r="O262" s="374"/>
      <c r="P262" s="374"/>
      <c r="Q262" s="374"/>
      <c r="R262" s="374"/>
      <c r="S262" s="374"/>
      <c r="T262" s="374"/>
      <c r="U262" s="374"/>
      <c r="V262" s="374"/>
      <c r="W262" s="374"/>
      <c r="X262" s="374"/>
      <c r="Y262" s="374"/>
      <c r="Z262" s="374"/>
    </row>
    <row r="263" ht="15.75" customHeight="1">
      <c r="A263" s="374"/>
      <c r="B263" s="374"/>
      <c r="C263" s="374"/>
      <c r="D263" s="374"/>
      <c r="E263" s="374"/>
      <c r="F263" s="374"/>
      <c r="G263" s="388"/>
      <c r="H263" s="388"/>
      <c r="I263" s="374"/>
      <c r="J263" s="374"/>
      <c r="K263" s="374"/>
      <c r="L263" s="374"/>
      <c r="M263" s="374"/>
      <c r="N263" s="374"/>
      <c r="O263" s="374"/>
      <c r="P263" s="374"/>
      <c r="Q263" s="374"/>
      <c r="R263" s="374"/>
      <c r="S263" s="374"/>
      <c r="T263" s="374"/>
      <c r="U263" s="374"/>
      <c r="V263" s="374"/>
      <c r="W263" s="374"/>
      <c r="X263" s="374"/>
      <c r="Y263" s="374"/>
      <c r="Z263" s="374"/>
    </row>
    <row r="264" ht="15.75" customHeight="1">
      <c r="A264" s="374"/>
      <c r="B264" s="374"/>
      <c r="C264" s="374"/>
      <c r="D264" s="374"/>
      <c r="E264" s="374"/>
      <c r="F264" s="374"/>
      <c r="G264" s="388"/>
      <c r="H264" s="388"/>
      <c r="I264" s="374"/>
      <c r="J264" s="374"/>
      <c r="K264" s="374"/>
      <c r="L264" s="374"/>
      <c r="M264" s="374"/>
      <c r="N264" s="374"/>
      <c r="O264" s="374"/>
      <c r="P264" s="374"/>
      <c r="Q264" s="374"/>
      <c r="R264" s="374"/>
      <c r="S264" s="374"/>
      <c r="T264" s="374"/>
      <c r="U264" s="374"/>
      <c r="V264" s="374"/>
      <c r="W264" s="374"/>
      <c r="X264" s="374"/>
      <c r="Y264" s="374"/>
      <c r="Z264" s="374"/>
    </row>
    <row r="265" ht="15.75" customHeight="1">
      <c r="A265" s="374"/>
      <c r="B265" s="374"/>
      <c r="C265" s="374"/>
      <c r="D265" s="374"/>
      <c r="E265" s="374"/>
      <c r="F265" s="374"/>
      <c r="G265" s="388"/>
      <c r="H265" s="388"/>
      <c r="I265" s="374"/>
      <c r="J265" s="374"/>
      <c r="K265" s="374"/>
      <c r="L265" s="374"/>
      <c r="M265" s="374"/>
      <c r="N265" s="374"/>
      <c r="O265" s="374"/>
      <c r="P265" s="374"/>
      <c r="Q265" s="374"/>
      <c r="R265" s="374"/>
      <c r="S265" s="374"/>
      <c r="T265" s="374"/>
      <c r="U265" s="374"/>
      <c r="V265" s="374"/>
      <c r="W265" s="374"/>
      <c r="X265" s="374"/>
      <c r="Y265" s="374"/>
      <c r="Z265" s="374"/>
    </row>
    <row r="266" ht="15.75" customHeight="1">
      <c r="A266" s="374"/>
      <c r="B266" s="374"/>
      <c r="C266" s="374"/>
      <c r="D266" s="374"/>
      <c r="E266" s="374"/>
      <c r="F266" s="374"/>
      <c r="G266" s="388"/>
      <c r="H266" s="388"/>
      <c r="I266" s="374"/>
      <c r="J266" s="374"/>
      <c r="K266" s="374"/>
      <c r="L266" s="374"/>
      <c r="M266" s="374"/>
      <c r="N266" s="374"/>
      <c r="O266" s="374"/>
      <c r="P266" s="374"/>
      <c r="Q266" s="374"/>
      <c r="R266" s="374"/>
      <c r="S266" s="374"/>
      <c r="T266" s="374"/>
      <c r="U266" s="374"/>
      <c r="V266" s="374"/>
      <c r="W266" s="374"/>
      <c r="X266" s="374"/>
      <c r="Y266" s="374"/>
      <c r="Z266" s="374"/>
    </row>
    <row r="267" ht="15.75" customHeight="1">
      <c r="A267" s="374"/>
      <c r="B267" s="374"/>
      <c r="C267" s="374"/>
      <c r="D267" s="374"/>
      <c r="E267" s="374"/>
      <c r="F267" s="374"/>
      <c r="G267" s="388"/>
      <c r="H267" s="388"/>
      <c r="I267" s="374"/>
      <c r="J267" s="374"/>
      <c r="K267" s="374"/>
      <c r="L267" s="374"/>
      <c r="M267" s="374"/>
      <c r="N267" s="374"/>
      <c r="O267" s="374"/>
      <c r="P267" s="374"/>
      <c r="Q267" s="374"/>
      <c r="R267" s="374"/>
      <c r="S267" s="374"/>
      <c r="T267" s="374"/>
      <c r="U267" s="374"/>
      <c r="V267" s="374"/>
      <c r="W267" s="374"/>
      <c r="X267" s="374"/>
      <c r="Y267" s="374"/>
      <c r="Z267" s="374"/>
    </row>
    <row r="268" ht="15.75" customHeight="1">
      <c r="A268" s="374"/>
      <c r="B268" s="374"/>
      <c r="C268" s="374"/>
      <c r="D268" s="374"/>
      <c r="E268" s="374"/>
      <c r="F268" s="374"/>
      <c r="G268" s="388"/>
      <c r="H268" s="388"/>
      <c r="I268" s="374"/>
      <c r="J268" s="374"/>
      <c r="K268" s="374"/>
      <c r="L268" s="374"/>
      <c r="M268" s="374"/>
      <c r="N268" s="374"/>
      <c r="O268" s="374"/>
      <c r="P268" s="374"/>
      <c r="Q268" s="374"/>
      <c r="R268" s="374"/>
      <c r="S268" s="374"/>
      <c r="T268" s="374"/>
      <c r="U268" s="374"/>
      <c r="V268" s="374"/>
      <c r="W268" s="374"/>
      <c r="X268" s="374"/>
      <c r="Y268" s="374"/>
      <c r="Z268" s="374"/>
    </row>
    <row r="269" ht="15.75" customHeight="1">
      <c r="A269" s="374"/>
      <c r="B269" s="374"/>
      <c r="C269" s="374"/>
      <c r="D269" s="374"/>
      <c r="E269" s="374"/>
      <c r="F269" s="374"/>
      <c r="G269" s="388"/>
      <c r="H269" s="388"/>
      <c r="I269" s="374"/>
      <c r="J269" s="374"/>
      <c r="K269" s="374"/>
      <c r="L269" s="374"/>
      <c r="M269" s="374"/>
      <c r="N269" s="374"/>
      <c r="O269" s="374"/>
      <c r="P269" s="374"/>
      <c r="Q269" s="374"/>
      <c r="R269" s="374"/>
      <c r="S269" s="374"/>
      <c r="T269" s="374"/>
      <c r="U269" s="374"/>
      <c r="V269" s="374"/>
      <c r="W269" s="374"/>
      <c r="X269" s="374"/>
      <c r="Y269" s="374"/>
      <c r="Z269" s="374"/>
    </row>
    <row r="270" ht="15.75" customHeight="1">
      <c r="A270" s="374"/>
      <c r="B270" s="374"/>
      <c r="C270" s="374"/>
      <c r="D270" s="374"/>
      <c r="E270" s="374"/>
      <c r="F270" s="374"/>
      <c r="G270" s="388"/>
      <c r="H270" s="388"/>
      <c r="I270" s="374"/>
      <c r="J270" s="374"/>
      <c r="K270" s="374"/>
      <c r="L270" s="374"/>
      <c r="M270" s="374"/>
      <c r="N270" s="374"/>
      <c r="O270" s="374"/>
      <c r="P270" s="374"/>
      <c r="Q270" s="374"/>
      <c r="R270" s="374"/>
      <c r="S270" s="374"/>
      <c r="T270" s="374"/>
      <c r="U270" s="374"/>
      <c r="V270" s="374"/>
      <c r="W270" s="374"/>
      <c r="X270" s="374"/>
      <c r="Y270" s="374"/>
      <c r="Z270" s="374"/>
    </row>
    <row r="271" ht="15.75" customHeight="1">
      <c r="A271" s="374"/>
      <c r="B271" s="374"/>
      <c r="C271" s="374"/>
      <c r="D271" s="374"/>
      <c r="E271" s="374"/>
      <c r="F271" s="374"/>
      <c r="G271" s="388"/>
      <c r="H271" s="388"/>
      <c r="I271" s="374"/>
      <c r="J271" s="374"/>
      <c r="K271" s="374"/>
      <c r="L271" s="374"/>
      <c r="M271" s="374"/>
      <c r="N271" s="374"/>
      <c r="O271" s="374"/>
      <c r="P271" s="374"/>
      <c r="Q271" s="374"/>
      <c r="R271" s="374"/>
      <c r="S271" s="374"/>
      <c r="T271" s="374"/>
      <c r="U271" s="374"/>
      <c r="V271" s="374"/>
      <c r="W271" s="374"/>
      <c r="X271" s="374"/>
      <c r="Y271" s="374"/>
      <c r="Z271" s="374"/>
    </row>
    <row r="272" ht="15.75" customHeight="1">
      <c r="A272" s="374"/>
      <c r="B272" s="374"/>
      <c r="C272" s="374"/>
      <c r="D272" s="374"/>
      <c r="E272" s="374"/>
      <c r="F272" s="374"/>
      <c r="G272" s="388"/>
      <c r="H272" s="388"/>
      <c r="I272" s="374"/>
      <c r="J272" s="374"/>
      <c r="K272" s="374"/>
      <c r="L272" s="374"/>
      <c r="M272" s="374"/>
      <c r="N272" s="374"/>
      <c r="O272" s="374"/>
      <c r="P272" s="374"/>
      <c r="Q272" s="374"/>
      <c r="R272" s="374"/>
      <c r="S272" s="374"/>
      <c r="T272" s="374"/>
      <c r="U272" s="374"/>
      <c r="V272" s="374"/>
      <c r="W272" s="374"/>
      <c r="X272" s="374"/>
      <c r="Y272" s="374"/>
      <c r="Z272" s="374"/>
    </row>
    <row r="273" ht="15.75" customHeight="1">
      <c r="A273" s="374"/>
      <c r="B273" s="374"/>
      <c r="C273" s="374"/>
      <c r="D273" s="374"/>
      <c r="E273" s="374"/>
      <c r="F273" s="374"/>
      <c r="G273" s="388"/>
      <c r="H273" s="388"/>
      <c r="I273" s="374"/>
      <c r="J273" s="374"/>
      <c r="K273" s="374"/>
      <c r="L273" s="374"/>
      <c r="M273" s="374"/>
      <c r="N273" s="374"/>
      <c r="O273" s="374"/>
      <c r="P273" s="374"/>
      <c r="Q273" s="374"/>
      <c r="R273" s="374"/>
      <c r="S273" s="374"/>
      <c r="T273" s="374"/>
      <c r="U273" s="374"/>
      <c r="V273" s="374"/>
      <c r="W273" s="374"/>
      <c r="X273" s="374"/>
      <c r="Y273" s="374"/>
      <c r="Z273" s="374"/>
    </row>
    <row r="274" ht="15.75" customHeight="1">
      <c r="A274" s="374"/>
      <c r="B274" s="374"/>
      <c r="C274" s="374"/>
      <c r="D274" s="374"/>
      <c r="E274" s="374"/>
      <c r="F274" s="374"/>
      <c r="G274" s="388"/>
      <c r="H274" s="388"/>
      <c r="I274" s="374"/>
      <c r="J274" s="374"/>
      <c r="K274" s="374"/>
      <c r="L274" s="374"/>
      <c r="M274" s="374"/>
      <c r="N274" s="374"/>
      <c r="O274" s="374"/>
      <c r="P274" s="374"/>
      <c r="Q274" s="374"/>
      <c r="R274" s="374"/>
      <c r="S274" s="374"/>
      <c r="T274" s="374"/>
      <c r="U274" s="374"/>
      <c r="V274" s="374"/>
      <c r="W274" s="374"/>
      <c r="X274" s="374"/>
      <c r="Y274" s="374"/>
      <c r="Z274" s="374"/>
    </row>
    <row r="275" ht="15.75" customHeight="1">
      <c r="A275" s="374"/>
      <c r="B275" s="374"/>
      <c r="C275" s="374"/>
      <c r="D275" s="374"/>
      <c r="E275" s="374"/>
      <c r="F275" s="374"/>
      <c r="G275" s="388"/>
      <c r="H275" s="388"/>
      <c r="I275" s="374"/>
      <c r="J275" s="374"/>
      <c r="K275" s="374"/>
      <c r="L275" s="374"/>
      <c r="M275" s="374"/>
      <c r="N275" s="374"/>
      <c r="O275" s="374"/>
      <c r="P275" s="374"/>
      <c r="Q275" s="374"/>
      <c r="R275" s="374"/>
      <c r="S275" s="374"/>
      <c r="T275" s="374"/>
      <c r="U275" s="374"/>
      <c r="V275" s="374"/>
      <c r="W275" s="374"/>
      <c r="X275" s="374"/>
      <c r="Y275" s="374"/>
      <c r="Z275" s="374"/>
    </row>
    <row r="276" ht="15.75" customHeight="1">
      <c r="A276" s="374"/>
      <c r="B276" s="374"/>
      <c r="C276" s="374"/>
      <c r="D276" s="374"/>
      <c r="E276" s="374"/>
      <c r="F276" s="374"/>
      <c r="G276" s="388"/>
      <c r="H276" s="388"/>
      <c r="I276" s="374"/>
      <c r="J276" s="374"/>
      <c r="K276" s="374"/>
      <c r="L276" s="374"/>
      <c r="M276" s="374"/>
      <c r="N276" s="374"/>
      <c r="O276" s="374"/>
      <c r="P276" s="374"/>
      <c r="Q276" s="374"/>
      <c r="R276" s="374"/>
      <c r="S276" s="374"/>
      <c r="T276" s="374"/>
      <c r="U276" s="374"/>
      <c r="V276" s="374"/>
      <c r="W276" s="374"/>
      <c r="X276" s="374"/>
      <c r="Y276" s="374"/>
      <c r="Z276" s="374"/>
    </row>
    <row r="277" ht="15.75" customHeight="1">
      <c r="A277" s="374"/>
      <c r="B277" s="374"/>
      <c r="C277" s="374"/>
      <c r="D277" s="374"/>
      <c r="E277" s="374"/>
      <c r="F277" s="374"/>
      <c r="G277" s="388"/>
      <c r="H277" s="388"/>
      <c r="I277" s="374"/>
      <c r="J277" s="374"/>
      <c r="K277" s="374"/>
      <c r="L277" s="374"/>
      <c r="M277" s="374"/>
      <c r="N277" s="374"/>
      <c r="O277" s="374"/>
      <c r="P277" s="374"/>
      <c r="Q277" s="374"/>
      <c r="R277" s="374"/>
      <c r="S277" s="374"/>
      <c r="T277" s="374"/>
      <c r="U277" s="374"/>
      <c r="V277" s="374"/>
      <c r="W277" s="374"/>
      <c r="X277" s="374"/>
      <c r="Y277" s="374"/>
      <c r="Z277" s="374"/>
    </row>
    <row r="278" ht="15.75" customHeight="1">
      <c r="A278" s="374"/>
      <c r="B278" s="374"/>
      <c r="C278" s="374"/>
      <c r="D278" s="374"/>
      <c r="E278" s="374"/>
      <c r="F278" s="374"/>
      <c r="G278" s="388"/>
      <c r="H278" s="388"/>
      <c r="I278" s="374"/>
      <c r="J278" s="374"/>
      <c r="K278" s="374"/>
      <c r="L278" s="374"/>
      <c r="M278" s="374"/>
      <c r="N278" s="374"/>
      <c r="O278" s="374"/>
      <c r="P278" s="374"/>
      <c r="Q278" s="374"/>
      <c r="R278" s="374"/>
      <c r="S278" s="374"/>
      <c r="T278" s="374"/>
      <c r="U278" s="374"/>
      <c r="V278" s="374"/>
      <c r="W278" s="374"/>
      <c r="X278" s="374"/>
      <c r="Y278" s="374"/>
      <c r="Z278" s="374"/>
    </row>
    <row r="279" ht="15.75" customHeight="1">
      <c r="A279" s="374"/>
      <c r="B279" s="374"/>
      <c r="C279" s="374"/>
      <c r="D279" s="374"/>
      <c r="E279" s="374"/>
      <c r="F279" s="374"/>
      <c r="G279" s="388"/>
      <c r="H279" s="388"/>
      <c r="I279" s="374"/>
      <c r="J279" s="374"/>
      <c r="K279" s="374"/>
      <c r="L279" s="374"/>
      <c r="M279" s="374"/>
      <c r="N279" s="374"/>
      <c r="O279" s="374"/>
      <c r="P279" s="374"/>
      <c r="Q279" s="374"/>
      <c r="R279" s="374"/>
      <c r="S279" s="374"/>
      <c r="T279" s="374"/>
      <c r="U279" s="374"/>
      <c r="V279" s="374"/>
      <c r="W279" s="374"/>
      <c r="X279" s="374"/>
      <c r="Y279" s="374"/>
      <c r="Z279" s="374"/>
    </row>
    <row r="280" ht="15.75" customHeight="1">
      <c r="A280" s="374"/>
      <c r="B280" s="374"/>
      <c r="C280" s="374"/>
      <c r="D280" s="374"/>
      <c r="E280" s="374"/>
      <c r="F280" s="374"/>
      <c r="G280" s="388"/>
      <c r="H280" s="388"/>
      <c r="I280" s="374"/>
      <c r="J280" s="374"/>
      <c r="K280" s="374"/>
      <c r="L280" s="374"/>
      <c r="M280" s="374"/>
      <c r="N280" s="374"/>
      <c r="O280" s="374"/>
      <c r="P280" s="374"/>
      <c r="Q280" s="374"/>
      <c r="R280" s="374"/>
      <c r="S280" s="374"/>
      <c r="T280" s="374"/>
      <c r="U280" s="374"/>
      <c r="V280" s="374"/>
      <c r="W280" s="374"/>
      <c r="X280" s="374"/>
      <c r="Y280" s="374"/>
      <c r="Z280" s="374"/>
    </row>
    <row r="281" ht="15.75" customHeight="1">
      <c r="A281" s="374"/>
      <c r="B281" s="374"/>
      <c r="C281" s="374"/>
      <c r="D281" s="374"/>
      <c r="E281" s="374"/>
      <c r="F281" s="374"/>
      <c r="G281" s="388"/>
      <c r="H281" s="388"/>
      <c r="I281" s="374"/>
      <c r="J281" s="374"/>
      <c r="K281" s="374"/>
      <c r="L281" s="374"/>
      <c r="M281" s="374"/>
      <c r="N281" s="374"/>
      <c r="O281" s="374"/>
      <c r="P281" s="374"/>
      <c r="Q281" s="374"/>
      <c r="R281" s="374"/>
      <c r="S281" s="374"/>
      <c r="T281" s="374"/>
      <c r="U281" s="374"/>
      <c r="V281" s="374"/>
      <c r="W281" s="374"/>
      <c r="X281" s="374"/>
      <c r="Y281" s="374"/>
      <c r="Z281" s="374"/>
    </row>
    <row r="282" ht="15.75" customHeight="1">
      <c r="A282" s="374"/>
      <c r="B282" s="374"/>
      <c r="C282" s="374"/>
      <c r="D282" s="374"/>
      <c r="E282" s="374"/>
      <c r="F282" s="374"/>
      <c r="G282" s="388"/>
      <c r="H282" s="388"/>
      <c r="I282" s="374"/>
      <c r="J282" s="374"/>
      <c r="K282" s="374"/>
      <c r="L282" s="374"/>
      <c r="M282" s="374"/>
      <c r="N282" s="374"/>
      <c r="O282" s="374"/>
      <c r="P282" s="374"/>
      <c r="Q282" s="374"/>
      <c r="R282" s="374"/>
      <c r="S282" s="374"/>
      <c r="T282" s="374"/>
      <c r="U282" s="374"/>
      <c r="V282" s="374"/>
      <c r="W282" s="374"/>
      <c r="X282" s="374"/>
      <c r="Y282" s="374"/>
      <c r="Z282" s="374"/>
    </row>
    <row r="283" ht="15.75" customHeight="1">
      <c r="A283" s="374"/>
      <c r="B283" s="374"/>
      <c r="C283" s="374"/>
      <c r="D283" s="374"/>
      <c r="E283" s="374"/>
      <c r="F283" s="374"/>
      <c r="G283" s="388"/>
      <c r="H283" s="388"/>
      <c r="I283" s="374"/>
      <c r="J283" s="374"/>
      <c r="K283" s="374"/>
      <c r="L283" s="374"/>
      <c r="M283" s="374"/>
      <c r="N283" s="374"/>
      <c r="O283" s="374"/>
      <c r="P283" s="374"/>
      <c r="Q283" s="374"/>
      <c r="R283" s="374"/>
      <c r="S283" s="374"/>
      <c r="T283" s="374"/>
      <c r="U283" s="374"/>
      <c r="V283" s="374"/>
      <c r="W283" s="374"/>
      <c r="X283" s="374"/>
      <c r="Y283" s="374"/>
      <c r="Z283" s="374"/>
    </row>
    <row r="284" ht="15.75" customHeight="1">
      <c r="A284" s="374"/>
      <c r="B284" s="374"/>
      <c r="C284" s="374"/>
      <c r="D284" s="374"/>
      <c r="E284" s="374"/>
      <c r="F284" s="374"/>
      <c r="G284" s="388"/>
      <c r="H284" s="388"/>
      <c r="I284" s="374"/>
      <c r="J284" s="374"/>
      <c r="K284" s="374"/>
      <c r="L284" s="374"/>
      <c r="M284" s="374"/>
      <c r="N284" s="374"/>
      <c r="O284" s="374"/>
      <c r="P284" s="374"/>
      <c r="Q284" s="374"/>
      <c r="R284" s="374"/>
      <c r="S284" s="374"/>
      <c r="T284" s="374"/>
      <c r="U284" s="374"/>
      <c r="V284" s="374"/>
      <c r="W284" s="374"/>
      <c r="X284" s="374"/>
      <c r="Y284" s="374"/>
      <c r="Z284" s="374"/>
    </row>
    <row r="285" ht="15.75" customHeight="1">
      <c r="A285" s="374"/>
      <c r="B285" s="374"/>
      <c r="C285" s="374"/>
      <c r="D285" s="374"/>
      <c r="E285" s="374"/>
      <c r="F285" s="374"/>
      <c r="G285" s="388"/>
      <c r="H285" s="388"/>
      <c r="I285" s="374"/>
      <c r="J285" s="374"/>
      <c r="K285" s="374"/>
      <c r="L285" s="374"/>
      <c r="M285" s="374"/>
      <c r="N285" s="374"/>
      <c r="O285" s="374"/>
      <c r="P285" s="374"/>
      <c r="Q285" s="374"/>
      <c r="R285" s="374"/>
      <c r="S285" s="374"/>
      <c r="T285" s="374"/>
      <c r="U285" s="374"/>
      <c r="V285" s="374"/>
      <c r="W285" s="374"/>
      <c r="X285" s="374"/>
      <c r="Y285" s="374"/>
      <c r="Z285" s="374"/>
    </row>
    <row r="286" ht="15.75" customHeight="1">
      <c r="A286" s="374"/>
      <c r="B286" s="374"/>
      <c r="C286" s="374"/>
      <c r="D286" s="374"/>
      <c r="E286" s="374"/>
      <c r="F286" s="374"/>
      <c r="G286" s="388"/>
      <c r="H286" s="388"/>
      <c r="I286" s="374"/>
      <c r="J286" s="374"/>
      <c r="K286" s="374"/>
      <c r="L286" s="374"/>
      <c r="M286" s="374"/>
      <c r="N286" s="374"/>
      <c r="O286" s="374"/>
      <c r="P286" s="374"/>
      <c r="Q286" s="374"/>
      <c r="R286" s="374"/>
      <c r="S286" s="374"/>
      <c r="T286" s="374"/>
      <c r="U286" s="374"/>
      <c r="V286" s="374"/>
      <c r="W286" s="374"/>
      <c r="X286" s="374"/>
      <c r="Y286" s="374"/>
      <c r="Z286" s="374"/>
    </row>
    <row r="287" ht="15.75" customHeight="1">
      <c r="A287" s="374"/>
      <c r="B287" s="374"/>
      <c r="C287" s="374"/>
      <c r="D287" s="374"/>
      <c r="E287" s="374"/>
      <c r="F287" s="374"/>
      <c r="G287" s="388"/>
      <c r="H287" s="388"/>
      <c r="I287" s="374"/>
      <c r="J287" s="374"/>
      <c r="K287" s="374"/>
      <c r="L287" s="374"/>
      <c r="M287" s="374"/>
      <c r="N287" s="374"/>
      <c r="O287" s="374"/>
      <c r="P287" s="374"/>
      <c r="Q287" s="374"/>
      <c r="R287" s="374"/>
      <c r="S287" s="374"/>
      <c r="T287" s="374"/>
      <c r="U287" s="374"/>
      <c r="V287" s="374"/>
      <c r="W287" s="374"/>
      <c r="X287" s="374"/>
      <c r="Y287" s="374"/>
      <c r="Z287" s="374"/>
    </row>
    <row r="288" ht="15.75" customHeight="1">
      <c r="A288" s="374"/>
      <c r="B288" s="374"/>
      <c r="C288" s="374"/>
      <c r="D288" s="374"/>
      <c r="E288" s="374"/>
      <c r="F288" s="374"/>
      <c r="G288" s="388"/>
      <c r="H288" s="388"/>
      <c r="I288" s="374"/>
      <c r="J288" s="374"/>
      <c r="K288" s="374"/>
      <c r="L288" s="374"/>
      <c r="M288" s="374"/>
      <c r="N288" s="374"/>
      <c r="O288" s="374"/>
      <c r="P288" s="374"/>
      <c r="Q288" s="374"/>
      <c r="R288" s="374"/>
      <c r="S288" s="374"/>
      <c r="T288" s="374"/>
      <c r="U288" s="374"/>
      <c r="V288" s="374"/>
      <c r="W288" s="374"/>
      <c r="X288" s="374"/>
      <c r="Y288" s="374"/>
      <c r="Z288" s="374"/>
    </row>
    <row r="289" ht="15.75" customHeight="1">
      <c r="A289" s="374"/>
      <c r="B289" s="374"/>
      <c r="C289" s="374"/>
      <c r="D289" s="374"/>
      <c r="E289" s="374"/>
      <c r="F289" s="374"/>
      <c r="G289" s="388"/>
      <c r="H289" s="388"/>
      <c r="I289" s="374"/>
      <c r="J289" s="374"/>
      <c r="K289" s="374"/>
      <c r="L289" s="374"/>
      <c r="M289" s="374"/>
      <c r="N289" s="374"/>
      <c r="O289" s="374"/>
      <c r="P289" s="374"/>
      <c r="Q289" s="374"/>
      <c r="R289" s="374"/>
      <c r="S289" s="374"/>
      <c r="T289" s="374"/>
      <c r="U289" s="374"/>
      <c r="V289" s="374"/>
      <c r="W289" s="374"/>
      <c r="X289" s="374"/>
      <c r="Y289" s="374"/>
      <c r="Z289" s="374"/>
    </row>
    <row r="290" ht="15.75" customHeight="1">
      <c r="A290" s="374"/>
      <c r="B290" s="374"/>
      <c r="C290" s="374"/>
      <c r="D290" s="374"/>
      <c r="E290" s="374"/>
      <c r="F290" s="374"/>
      <c r="G290" s="388"/>
      <c r="H290" s="388"/>
      <c r="I290" s="374"/>
      <c r="J290" s="374"/>
      <c r="K290" s="374"/>
      <c r="L290" s="374"/>
      <c r="M290" s="374"/>
      <c r="N290" s="374"/>
      <c r="O290" s="374"/>
      <c r="P290" s="374"/>
      <c r="Q290" s="374"/>
      <c r="R290" s="374"/>
      <c r="S290" s="374"/>
      <c r="T290" s="374"/>
      <c r="U290" s="374"/>
      <c r="V290" s="374"/>
      <c r="W290" s="374"/>
      <c r="X290" s="374"/>
      <c r="Y290" s="374"/>
      <c r="Z290" s="374"/>
    </row>
    <row r="291" ht="15.75" customHeight="1">
      <c r="A291" s="374"/>
      <c r="B291" s="374"/>
      <c r="C291" s="374"/>
      <c r="D291" s="374"/>
      <c r="E291" s="374"/>
      <c r="F291" s="374"/>
      <c r="G291" s="388"/>
      <c r="H291" s="388"/>
      <c r="I291" s="374"/>
      <c r="J291" s="374"/>
      <c r="K291" s="374"/>
      <c r="L291" s="374"/>
      <c r="M291" s="374"/>
      <c r="N291" s="374"/>
      <c r="O291" s="374"/>
      <c r="P291" s="374"/>
      <c r="Q291" s="374"/>
      <c r="R291" s="374"/>
      <c r="S291" s="374"/>
      <c r="T291" s="374"/>
      <c r="U291" s="374"/>
      <c r="V291" s="374"/>
      <c r="W291" s="374"/>
      <c r="X291" s="374"/>
      <c r="Y291" s="374"/>
      <c r="Z291" s="374"/>
    </row>
    <row r="292" ht="15.75" customHeight="1">
      <c r="A292" s="374"/>
      <c r="B292" s="374"/>
      <c r="C292" s="374"/>
      <c r="D292" s="374"/>
      <c r="E292" s="374"/>
      <c r="F292" s="374"/>
      <c r="G292" s="388"/>
      <c r="H292" s="388"/>
      <c r="I292" s="374"/>
      <c r="J292" s="374"/>
      <c r="K292" s="374"/>
      <c r="L292" s="374"/>
      <c r="M292" s="374"/>
      <c r="N292" s="374"/>
      <c r="O292" s="374"/>
      <c r="P292" s="374"/>
      <c r="Q292" s="374"/>
      <c r="R292" s="374"/>
      <c r="S292" s="374"/>
      <c r="T292" s="374"/>
      <c r="U292" s="374"/>
      <c r="V292" s="374"/>
      <c r="W292" s="374"/>
      <c r="X292" s="374"/>
      <c r="Y292" s="374"/>
      <c r="Z292" s="374"/>
    </row>
    <row r="293" ht="15.75" customHeight="1">
      <c r="A293" s="374"/>
      <c r="B293" s="374"/>
      <c r="C293" s="374"/>
      <c r="D293" s="374"/>
      <c r="E293" s="374"/>
      <c r="F293" s="374"/>
      <c r="G293" s="388"/>
      <c r="H293" s="388"/>
      <c r="I293" s="374"/>
      <c r="J293" s="374"/>
      <c r="K293" s="374"/>
      <c r="L293" s="374"/>
      <c r="M293" s="374"/>
      <c r="N293" s="374"/>
      <c r="O293" s="374"/>
      <c r="P293" s="374"/>
      <c r="Q293" s="374"/>
      <c r="R293" s="374"/>
      <c r="S293" s="374"/>
      <c r="T293" s="374"/>
      <c r="U293" s="374"/>
      <c r="V293" s="374"/>
      <c r="W293" s="374"/>
      <c r="X293" s="374"/>
      <c r="Y293" s="374"/>
      <c r="Z293" s="374"/>
    </row>
    <row r="294" ht="15.75" customHeight="1">
      <c r="A294" s="374"/>
      <c r="B294" s="374"/>
      <c r="C294" s="374"/>
      <c r="D294" s="374"/>
      <c r="E294" s="374"/>
      <c r="F294" s="374"/>
      <c r="G294" s="388"/>
      <c r="H294" s="388"/>
      <c r="I294" s="374"/>
      <c r="J294" s="374"/>
      <c r="K294" s="374"/>
      <c r="L294" s="374"/>
      <c r="M294" s="374"/>
      <c r="N294" s="374"/>
      <c r="O294" s="374"/>
      <c r="P294" s="374"/>
      <c r="Q294" s="374"/>
      <c r="R294" s="374"/>
      <c r="S294" s="374"/>
      <c r="T294" s="374"/>
      <c r="U294" s="374"/>
      <c r="V294" s="374"/>
      <c r="W294" s="374"/>
      <c r="X294" s="374"/>
      <c r="Y294" s="374"/>
      <c r="Z294" s="374"/>
    </row>
    <row r="295" ht="15.75" customHeight="1">
      <c r="A295" s="374"/>
      <c r="B295" s="374"/>
      <c r="C295" s="374"/>
      <c r="D295" s="374"/>
      <c r="E295" s="374"/>
      <c r="F295" s="374"/>
      <c r="G295" s="388"/>
      <c r="H295" s="388"/>
      <c r="I295" s="374"/>
      <c r="J295" s="374"/>
      <c r="K295" s="374"/>
      <c r="L295" s="374"/>
      <c r="M295" s="374"/>
      <c r="N295" s="374"/>
      <c r="O295" s="374"/>
      <c r="P295" s="374"/>
      <c r="Q295" s="374"/>
      <c r="R295" s="374"/>
      <c r="S295" s="374"/>
      <c r="T295" s="374"/>
      <c r="U295" s="374"/>
      <c r="V295" s="374"/>
      <c r="W295" s="374"/>
      <c r="X295" s="374"/>
      <c r="Y295" s="374"/>
      <c r="Z295" s="374"/>
    </row>
    <row r="296" ht="15.75" customHeight="1">
      <c r="A296" s="374"/>
      <c r="B296" s="374"/>
      <c r="C296" s="374"/>
      <c r="D296" s="374"/>
      <c r="E296" s="374"/>
      <c r="F296" s="374"/>
      <c r="G296" s="388"/>
      <c r="H296" s="388"/>
      <c r="I296" s="374"/>
      <c r="J296" s="374"/>
      <c r="K296" s="374"/>
      <c r="L296" s="374"/>
      <c r="M296" s="374"/>
      <c r="N296" s="374"/>
      <c r="O296" s="374"/>
      <c r="P296" s="374"/>
      <c r="Q296" s="374"/>
      <c r="R296" s="374"/>
      <c r="S296" s="374"/>
      <c r="T296" s="374"/>
      <c r="U296" s="374"/>
      <c r="V296" s="374"/>
      <c r="W296" s="374"/>
      <c r="X296" s="374"/>
      <c r="Y296" s="374"/>
      <c r="Z296" s="374"/>
    </row>
    <row r="297" ht="15.75" customHeight="1">
      <c r="A297" s="374"/>
      <c r="B297" s="374"/>
      <c r="C297" s="374"/>
      <c r="D297" s="374"/>
      <c r="E297" s="374"/>
      <c r="F297" s="374"/>
      <c r="G297" s="388"/>
      <c r="H297" s="388"/>
      <c r="I297" s="374"/>
      <c r="J297" s="374"/>
      <c r="K297" s="374"/>
      <c r="L297" s="374"/>
      <c r="M297" s="374"/>
      <c r="N297" s="374"/>
      <c r="O297" s="374"/>
      <c r="P297" s="374"/>
      <c r="Q297" s="374"/>
      <c r="R297" s="374"/>
      <c r="S297" s="374"/>
      <c r="T297" s="374"/>
      <c r="U297" s="374"/>
      <c r="V297" s="374"/>
      <c r="W297" s="374"/>
      <c r="X297" s="374"/>
      <c r="Y297" s="374"/>
      <c r="Z297" s="374"/>
    </row>
    <row r="298" ht="15.75" customHeight="1">
      <c r="A298" s="374"/>
      <c r="B298" s="374"/>
      <c r="C298" s="374"/>
      <c r="D298" s="374"/>
      <c r="E298" s="374"/>
      <c r="F298" s="374"/>
      <c r="G298" s="388"/>
      <c r="H298" s="388"/>
      <c r="I298" s="374"/>
      <c r="J298" s="374"/>
      <c r="K298" s="374"/>
      <c r="L298" s="374"/>
      <c r="M298" s="374"/>
      <c r="N298" s="374"/>
      <c r="O298" s="374"/>
      <c r="P298" s="374"/>
      <c r="Q298" s="374"/>
      <c r="R298" s="374"/>
      <c r="S298" s="374"/>
      <c r="T298" s="374"/>
      <c r="U298" s="374"/>
      <c r="V298" s="374"/>
      <c r="W298" s="374"/>
      <c r="X298" s="374"/>
      <c r="Y298" s="374"/>
      <c r="Z298" s="374"/>
    </row>
    <row r="299" ht="15.75" customHeight="1">
      <c r="A299" s="374"/>
      <c r="B299" s="374"/>
      <c r="C299" s="374"/>
      <c r="D299" s="374"/>
      <c r="E299" s="374"/>
      <c r="F299" s="374"/>
      <c r="G299" s="388"/>
      <c r="H299" s="388"/>
      <c r="I299" s="374"/>
      <c r="J299" s="374"/>
      <c r="K299" s="374"/>
      <c r="L299" s="374"/>
      <c r="M299" s="374"/>
      <c r="N299" s="374"/>
      <c r="O299" s="374"/>
      <c r="P299" s="374"/>
      <c r="Q299" s="374"/>
      <c r="R299" s="374"/>
      <c r="S299" s="374"/>
      <c r="T299" s="374"/>
      <c r="U299" s="374"/>
      <c r="V299" s="374"/>
      <c r="W299" s="374"/>
      <c r="X299" s="374"/>
      <c r="Y299" s="374"/>
      <c r="Z299" s="374"/>
    </row>
    <row r="300" ht="15.75" customHeight="1">
      <c r="A300" s="374"/>
      <c r="B300" s="374"/>
      <c r="C300" s="374"/>
      <c r="D300" s="374"/>
      <c r="E300" s="374"/>
      <c r="F300" s="374"/>
      <c r="G300" s="388"/>
      <c r="H300" s="388"/>
      <c r="I300" s="374"/>
      <c r="J300" s="374"/>
      <c r="K300" s="374"/>
      <c r="L300" s="374"/>
      <c r="M300" s="374"/>
      <c r="N300" s="374"/>
      <c r="O300" s="374"/>
      <c r="P300" s="374"/>
      <c r="Q300" s="374"/>
      <c r="R300" s="374"/>
      <c r="S300" s="374"/>
      <c r="T300" s="374"/>
      <c r="U300" s="374"/>
      <c r="V300" s="374"/>
      <c r="W300" s="374"/>
      <c r="X300" s="374"/>
      <c r="Y300" s="374"/>
      <c r="Z300" s="374"/>
    </row>
    <row r="301" ht="15.75" customHeight="1">
      <c r="A301" s="374"/>
      <c r="B301" s="374"/>
      <c r="C301" s="374"/>
      <c r="D301" s="374"/>
      <c r="E301" s="374"/>
      <c r="F301" s="374"/>
      <c r="G301" s="388"/>
      <c r="H301" s="388"/>
      <c r="I301" s="374"/>
      <c r="J301" s="374"/>
      <c r="K301" s="374"/>
      <c r="L301" s="374"/>
      <c r="M301" s="374"/>
      <c r="N301" s="374"/>
      <c r="O301" s="374"/>
      <c r="P301" s="374"/>
      <c r="Q301" s="374"/>
      <c r="R301" s="374"/>
      <c r="S301" s="374"/>
      <c r="T301" s="374"/>
      <c r="U301" s="374"/>
      <c r="V301" s="374"/>
      <c r="W301" s="374"/>
      <c r="X301" s="374"/>
      <c r="Y301" s="374"/>
      <c r="Z301" s="374"/>
    </row>
    <row r="302" ht="15.75" customHeight="1">
      <c r="A302" s="374"/>
      <c r="B302" s="374"/>
      <c r="C302" s="374"/>
      <c r="D302" s="374"/>
      <c r="E302" s="374"/>
      <c r="F302" s="374"/>
      <c r="G302" s="388"/>
      <c r="H302" s="388"/>
      <c r="I302" s="374"/>
      <c r="J302" s="374"/>
      <c r="K302" s="374"/>
      <c r="L302" s="374"/>
      <c r="M302" s="374"/>
      <c r="N302" s="374"/>
      <c r="O302" s="374"/>
      <c r="P302" s="374"/>
      <c r="Q302" s="374"/>
      <c r="R302" s="374"/>
      <c r="S302" s="374"/>
      <c r="T302" s="374"/>
      <c r="U302" s="374"/>
      <c r="V302" s="374"/>
      <c r="W302" s="374"/>
      <c r="X302" s="374"/>
      <c r="Y302" s="374"/>
      <c r="Z302" s="374"/>
    </row>
    <row r="303" ht="15.75" customHeight="1">
      <c r="A303" s="374"/>
      <c r="B303" s="374"/>
      <c r="C303" s="374"/>
      <c r="D303" s="374"/>
      <c r="E303" s="374"/>
      <c r="F303" s="374"/>
      <c r="G303" s="388"/>
      <c r="H303" s="388"/>
      <c r="I303" s="374"/>
      <c r="J303" s="374"/>
      <c r="K303" s="374"/>
      <c r="L303" s="374"/>
      <c r="M303" s="374"/>
      <c r="N303" s="374"/>
      <c r="O303" s="374"/>
      <c r="P303" s="374"/>
      <c r="Q303" s="374"/>
      <c r="R303" s="374"/>
      <c r="S303" s="374"/>
      <c r="T303" s="374"/>
      <c r="U303" s="374"/>
      <c r="V303" s="374"/>
      <c r="W303" s="374"/>
      <c r="X303" s="374"/>
      <c r="Y303" s="374"/>
      <c r="Z303" s="374"/>
    </row>
    <row r="304" ht="15.75" customHeight="1">
      <c r="A304" s="374"/>
      <c r="B304" s="374"/>
      <c r="C304" s="374"/>
      <c r="D304" s="374"/>
      <c r="E304" s="374"/>
      <c r="F304" s="374"/>
      <c r="G304" s="388"/>
      <c r="H304" s="388"/>
      <c r="I304" s="374"/>
      <c r="J304" s="374"/>
      <c r="K304" s="374"/>
      <c r="L304" s="374"/>
      <c r="M304" s="374"/>
      <c r="N304" s="374"/>
      <c r="O304" s="374"/>
      <c r="P304" s="374"/>
      <c r="Q304" s="374"/>
      <c r="R304" s="374"/>
      <c r="S304" s="374"/>
      <c r="T304" s="374"/>
      <c r="U304" s="374"/>
      <c r="V304" s="374"/>
      <c r="W304" s="374"/>
      <c r="X304" s="374"/>
      <c r="Y304" s="374"/>
      <c r="Z304" s="374"/>
    </row>
    <row r="305" ht="15.75" customHeight="1">
      <c r="A305" s="374"/>
      <c r="B305" s="374"/>
      <c r="C305" s="374"/>
      <c r="D305" s="374"/>
      <c r="E305" s="374"/>
      <c r="F305" s="374"/>
      <c r="G305" s="388"/>
      <c r="H305" s="388"/>
      <c r="I305" s="374"/>
      <c r="J305" s="374"/>
      <c r="K305" s="374"/>
      <c r="L305" s="374"/>
      <c r="M305" s="374"/>
      <c r="N305" s="374"/>
      <c r="O305" s="374"/>
      <c r="P305" s="374"/>
      <c r="Q305" s="374"/>
      <c r="R305" s="374"/>
      <c r="S305" s="374"/>
      <c r="T305" s="374"/>
      <c r="U305" s="374"/>
      <c r="V305" s="374"/>
      <c r="W305" s="374"/>
      <c r="X305" s="374"/>
      <c r="Y305" s="374"/>
      <c r="Z305" s="374"/>
    </row>
    <row r="306" ht="15.75" customHeight="1">
      <c r="A306" s="374"/>
      <c r="B306" s="374"/>
      <c r="C306" s="374"/>
      <c r="D306" s="374"/>
      <c r="E306" s="374"/>
      <c r="F306" s="374"/>
      <c r="G306" s="388"/>
      <c r="H306" s="388"/>
      <c r="I306" s="374"/>
      <c r="J306" s="374"/>
      <c r="K306" s="374"/>
      <c r="L306" s="374"/>
      <c r="M306" s="374"/>
      <c r="N306" s="374"/>
      <c r="O306" s="374"/>
      <c r="P306" s="374"/>
      <c r="Q306" s="374"/>
      <c r="R306" s="374"/>
      <c r="S306" s="374"/>
      <c r="T306" s="374"/>
      <c r="U306" s="374"/>
      <c r="V306" s="374"/>
      <c r="W306" s="374"/>
      <c r="X306" s="374"/>
      <c r="Y306" s="374"/>
      <c r="Z306" s="374"/>
    </row>
    <row r="307" ht="15.75" customHeight="1">
      <c r="A307" s="374"/>
      <c r="B307" s="374"/>
      <c r="C307" s="374"/>
      <c r="D307" s="374"/>
      <c r="E307" s="374"/>
      <c r="F307" s="374"/>
      <c r="G307" s="388"/>
      <c r="H307" s="388"/>
      <c r="I307" s="374"/>
      <c r="J307" s="374"/>
      <c r="K307" s="374"/>
      <c r="L307" s="374"/>
      <c r="M307" s="374"/>
      <c r="N307" s="374"/>
      <c r="O307" s="374"/>
      <c r="P307" s="374"/>
      <c r="Q307" s="374"/>
      <c r="R307" s="374"/>
      <c r="S307" s="374"/>
      <c r="T307" s="374"/>
      <c r="U307" s="374"/>
      <c r="V307" s="374"/>
      <c r="W307" s="374"/>
      <c r="X307" s="374"/>
      <c r="Y307" s="374"/>
      <c r="Z307" s="374"/>
    </row>
    <row r="308" ht="15.75" customHeight="1">
      <c r="A308" s="374"/>
      <c r="B308" s="374"/>
      <c r="C308" s="374"/>
      <c r="D308" s="374"/>
      <c r="E308" s="374"/>
      <c r="F308" s="374"/>
      <c r="G308" s="388"/>
      <c r="H308" s="388"/>
      <c r="I308" s="374"/>
      <c r="J308" s="374"/>
      <c r="K308" s="374"/>
      <c r="L308" s="374"/>
      <c r="M308" s="374"/>
      <c r="N308" s="374"/>
      <c r="O308" s="374"/>
      <c r="P308" s="374"/>
      <c r="Q308" s="374"/>
      <c r="R308" s="374"/>
      <c r="S308" s="374"/>
      <c r="T308" s="374"/>
      <c r="U308" s="374"/>
      <c r="V308" s="374"/>
      <c r="W308" s="374"/>
      <c r="X308" s="374"/>
      <c r="Y308" s="374"/>
      <c r="Z308" s="374"/>
    </row>
    <row r="309" ht="15.75" customHeight="1">
      <c r="A309" s="374"/>
      <c r="B309" s="374"/>
      <c r="C309" s="374"/>
      <c r="D309" s="374"/>
      <c r="E309" s="374"/>
      <c r="F309" s="374"/>
      <c r="G309" s="388"/>
      <c r="H309" s="388"/>
      <c r="I309" s="374"/>
      <c r="J309" s="374"/>
      <c r="K309" s="374"/>
      <c r="L309" s="374"/>
      <c r="M309" s="374"/>
      <c r="N309" s="374"/>
      <c r="O309" s="374"/>
      <c r="P309" s="374"/>
      <c r="Q309" s="374"/>
      <c r="R309" s="374"/>
      <c r="S309" s="374"/>
      <c r="T309" s="374"/>
      <c r="U309" s="374"/>
      <c r="V309" s="374"/>
      <c r="W309" s="374"/>
      <c r="X309" s="374"/>
      <c r="Y309" s="374"/>
      <c r="Z309" s="374"/>
    </row>
    <row r="310" ht="15.75" customHeight="1">
      <c r="A310" s="374"/>
      <c r="B310" s="374"/>
      <c r="C310" s="374"/>
      <c r="D310" s="374"/>
      <c r="E310" s="374"/>
      <c r="F310" s="374"/>
      <c r="G310" s="388"/>
      <c r="H310" s="388"/>
      <c r="I310" s="374"/>
      <c r="J310" s="374"/>
      <c r="K310" s="374"/>
      <c r="L310" s="374"/>
      <c r="M310" s="374"/>
      <c r="N310" s="374"/>
      <c r="O310" s="374"/>
      <c r="P310" s="374"/>
      <c r="Q310" s="374"/>
      <c r="R310" s="374"/>
      <c r="S310" s="374"/>
      <c r="T310" s="374"/>
      <c r="U310" s="374"/>
      <c r="V310" s="374"/>
      <c r="W310" s="374"/>
      <c r="X310" s="374"/>
      <c r="Y310" s="374"/>
      <c r="Z310" s="374"/>
    </row>
    <row r="311" ht="15.75" customHeight="1">
      <c r="A311" s="374"/>
      <c r="B311" s="374"/>
      <c r="C311" s="374"/>
      <c r="D311" s="374"/>
      <c r="E311" s="374"/>
      <c r="F311" s="374"/>
      <c r="G311" s="388"/>
      <c r="H311" s="388"/>
      <c r="I311" s="374"/>
      <c r="J311" s="374"/>
      <c r="K311" s="374"/>
      <c r="L311" s="374"/>
      <c r="M311" s="374"/>
      <c r="N311" s="374"/>
      <c r="O311" s="374"/>
      <c r="P311" s="374"/>
      <c r="Q311" s="374"/>
      <c r="R311" s="374"/>
      <c r="S311" s="374"/>
      <c r="T311" s="374"/>
      <c r="U311" s="374"/>
      <c r="V311" s="374"/>
      <c r="W311" s="374"/>
      <c r="X311" s="374"/>
      <c r="Y311" s="374"/>
      <c r="Z311" s="374"/>
    </row>
    <row r="312" ht="15.75" customHeight="1">
      <c r="A312" s="374"/>
      <c r="B312" s="374"/>
      <c r="C312" s="374"/>
      <c r="D312" s="374"/>
      <c r="E312" s="374"/>
      <c r="F312" s="374"/>
      <c r="G312" s="388"/>
      <c r="H312" s="388"/>
      <c r="I312" s="374"/>
      <c r="J312" s="374"/>
      <c r="K312" s="374"/>
      <c r="L312" s="374"/>
      <c r="M312" s="374"/>
      <c r="N312" s="374"/>
      <c r="O312" s="374"/>
      <c r="P312" s="374"/>
      <c r="Q312" s="374"/>
      <c r="R312" s="374"/>
      <c r="S312" s="374"/>
      <c r="T312" s="374"/>
      <c r="U312" s="374"/>
      <c r="V312" s="374"/>
      <c r="W312" s="374"/>
      <c r="X312" s="374"/>
      <c r="Y312" s="374"/>
      <c r="Z312" s="374"/>
    </row>
    <row r="313" ht="15.75" customHeight="1">
      <c r="A313" s="374"/>
      <c r="B313" s="374"/>
      <c r="C313" s="374"/>
      <c r="D313" s="374"/>
      <c r="E313" s="374"/>
      <c r="F313" s="374"/>
      <c r="G313" s="388"/>
      <c r="H313" s="388"/>
      <c r="I313" s="374"/>
      <c r="J313" s="374"/>
      <c r="K313" s="374"/>
      <c r="L313" s="374"/>
      <c r="M313" s="374"/>
      <c r="N313" s="374"/>
      <c r="O313" s="374"/>
      <c r="P313" s="374"/>
      <c r="Q313" s="374"/>
      <c r="R313" s="374"/>
      <c r="S313" s="374"/>
      <c r="T313" s="374"/>
      <c r="U313" s="374"/>
      <c r="V313" s="374"/>
      <c r="W313" s="374"/>
      <c r="X313" s="374"/>
      <c r="Y313" s="374"/>
      <c r="Z313" s="374"/>
    </row>
    <row r="314" ht="15.75" customHeight="1">
      <c r="A314" s="374"/>
      <c r="B314" s="374"/>
      <c r="C314" s="374"/>
      <c r="D314" s="374"/>
      <c r="E314" s="374"/>
      <c r="F314" s="374"/>
      <c r="G314" s="388"/>
      <c r="H314" s="388"/>
      <c r="I314" s="374"/>
      <c r="J314" s="374"/>
      <c r="K314" s="374"/>
      <c r="L314" s="374"/>
      <c r="M314" s="374"/>
      <c r="N314" s="374"/>
      <c r="O314" s="374"/>
      <c r="P314" s="374"/>
      <c r="Q314" s="374"/>
      <c r="R314" s="374"/>
      <c r="S314" s="374"/>
      <c r="T314" s="374"/>
      <c r="U314" s="374"/>
      <c r="V314" s="374"/>
      <c r="W314" s="374"/>
      <c r="X314" s="374"/>
      <c r="Y314" s="374"/>
      <c r="Z314" s="374"/>
    </row>
    <row r="315" ht="15.75" customHeight="1">
      <c r="A315" s="374"/>
      <c r="B315" s="374"/>
      <c r="C315" s="374"/>
      <c r="D315" s="374"/>
      <c r="E315" s="374"/>
      <c r="F315" s="374"/>
      <c r="G315" s="388"/>
      <c r="H315" s="388"/>
      <c r="I315" s="374"/>
      <c r="J315" s="374"/>
      <c r="K315" s="374"/>
      <c r="L315" s="374"/>
      <c r="M315" s="374"/>
      <c r="N315" s="374"/>
      <c r="O315" s="374"/>
      <c r="P315" s="374"/>
      <c r="Q315" s="374"/>
      <c r="R315" s="374"/>
      <c r="S315" s="374"/>
      <c r="T315" s="374"/>
      <c r="U315" s="374"/>
      <c r="V315" s="374"/>
      <c r="W315" s="374"/>
      <c r="X315" s="374"/>
      <c r="Y315" s="374"/>
      <c r="Z315" s="374"/>
    </row>
    <row r="316" ht="15.75" customHeight="1">
      <c r="A316" s="374"/>
      <c r="B316" s="374"/>
      <c r="C316" s="374"/>
      <c r="D316" s="374"/>
      <c r="E316" s="374"/>
      <c r="F316" s="374"/>
      <c r="G316" s="388"/>
      <c r="H316" s="388"/>
      <c r="I316" s="374"/>
      <c r="J316" s="374"/>
      <c r="K316" s="374"/>
      <c r="L316" s="374"/>
      <c r="M316" s="374"/>
      <c r="N316" s="374"/>
      <c r="O316" s="374"/>
      <c r="P316" s="374"/>
      <c r="Q316" s="374"/>
      <c r="R316" s="374"/>
      <c r="S316" s="374"/>
      <c r="T316" s="374"/>
      <c r="U316" s="374"/>
      <c r="V316" s="374"/>
      <c r="W316" s="374"/>
      <c r="X316" s="374"/>
      <c r="Y316" s="374"/>
      <c r="Z316" s="374"/>
    </row>
    <row r="317" ht="15.75" customHeight="1">
      <c r="A317" s="374"/>
      <c r="B317" s="374"/>
      <c r="C317" s="374"/>
      <c r="D317" s="374"/>
      <c r="E317" s="374"/>
      <c r="F317" s="374"/>
      <c r="G317" s="388"/>
      <c r="H317" s="388"/>
      <c r="I317" s="374"/>
      <c r="J317" s="374"/>
      <c r="K317" s="374"/>
      <c r="L317" s="374"/>
      <c r="M317" s="374"/>
      <c r="N317" s="374"/>
      <c r="O317" s="374"/>
      <c r="P317" s="374"/>
      <c r="Q317" s="374"/>
      <c r="R317" s="374"/>
      <c r="S317" s="374"/>
      <c r="T317" s="374"/>
      <c r="U317" s="374"/>
      <c r="V317" s="374"/>
      <c r="W317" s="374"/>
      <c r="X317" s="374"/>
      <c r="Y317" s="374"/>
      <c r="Z317" s="374"/>
    </row>
    <row r="318" ht="15.75" customHeight="1">
      <c r="A318" s="374"/>
      <c r="B318" s="374"/>
      <c r="C318" s="374"/>
      <c r="D318" s="374"/>
      <c r="E318" s="374"/>
      <c r="F318" s="374"/>
      <c r="G318" s="388"/>
      <c r="H318" s="388"/>
      <c r="I318" s="374"/>
      <c r="J318" s="374"/>
      <c r="K318" s="374"/>
      <c r="L318" s="374"/>
      <c r="M318" s="374"/>
      <c r="N318" s="374"/>
      <c r="O318" s="374"/>
      <c r="P318" s="374"/>
      <c r="Q318" s="374"/>
      <c r="R318" s="374"/>
      <c r="S318" s="374"/>
      <c r="T318" s="374"/>
      <c r="U318" s="374"/>
      <c r="V318" s="374"/>
      <c r="W318" s="374"/>
      <c r="X318" s="374"/>
      <c r="Y318" s="374"/>
      <c r="Z318" s="374"/>
    </row>
    <row r="319" ht="15.75" customHeight="1">
      <c r="A319" s="374"/>
      <c r="B319" s="374"/>
      <c r="C319" s="374"/>
      <c r="D319" s="374"/>
      <c r="E319" s="374"/>
      <c r="F319" s="374"/>
      <c r="G319" s="388"/>
      <c r="H319" s="388"/>
      <c r="I319" s="374"/>
      <c r="J319" s="374"/>
      <c r="K319" s="374"/>
      <c r="L319" s="374"/>
      <c r="M319" s="374"/>
      <c r="N319" s="374"/>
      <c r="O319" s="374"/>
      <c r="P319" s="374"/>
      <c r="Q319" s="374"/>
      <c r="R319" s="374"/>
      <c r="S319" s="374"/>
      <c r="T319" s="374"/>
      <c r="U319" s="374"/>
      <c r="V319" s="374"/>
      <c r="W319" s="374"/>
      <c r="X319" s="374"/>
      <c r="Y319" s="374"/>
      <c r="Z319" s="374"/>
    </row>
    <row r="320" ht="15.75" customHeight="1">
      <c r="A320" s="374"/>
      <c r="B320" s="374"/>
      <c r="C320" s="374"/>
      <c r="D320" s="374"/>
      <c r="E320" s="374"/>
      <c r="F320" s="374"/>
      <c r="G320" s="388"/>
      <c r="H320" s="388"/>
      <c r="I320" s="374"/>
      <c r="J320" s="374"/>
      <c r="K320" s="374"/>
      <c r="L320" s="374"/>
      <c r="M320" s="374"/>
      <c r="N320" s="374"/>
      <c r="O320" s="374"/>
      <c r="P320" s="374"/>
      <c r="Q320" s="374"/>
      <c r="R320" s="374"/>
      <c r="S320" s="374"/>
      <c r="T320" s="374"/>
      <c r="U320" s="374"/>
      <c r="V320" s="374"/>
      <c r="W320" s="374"/>
      <c r="X320" s="374"/>
      <c r="Y320" s="374"/>
      <c r="Z320" s="374"/>
    </row>
    <row r="321" ht="15.75" customHeight="1">
      <c r="A321" s="374"/>
      <c r="B321" s="374"/>
      <c r="C321" s="374"/>
      <c r="D321" s="374"/>
      <c r="E321" s="374"/>
      <c r="F321" s="374"/>
      <c r="G321" s="388"/>
      <c r="H321" s="388"/>
      <c r="I321" s="374"/>
      <c r="J321" s="374"/>
      <c r="K321" s="374"/>
      <c r="L321" s="374"/>
      <c r="M321" s="374"/>
      <c r="N321" s="374"/>
      <c r="O321" s="374"/>
      <c r="P321" s="374"/>
      <c r="Q321" s="374"/>
      <c r="R321" s="374"/>
      <c r="S321" s="374"/>
      <c r="T321" s="374"/>
      <c r="U321" s="374"/>
      <c r="V321" s="374"/>
      <c r="W321" s="374"/>
      <c r="X321" s="374"/>
      <c r="Y321" s="374"/>
      <c r="Z321" s="374"/>
    </row>
    <row r="322" ht="15.75" customHeight="1">
      <c r="A322" s="374"/>
      <c r="B322" s="374"/>
      <c r="C322" s="374"/>
      <c r="D322" s="374"/>
      <c r="E322" s="374"/>
      <c r="F322" s="374"/>
      <c r="G322" s="388"/>
      <c r="H322" s="388"/>
      <c r="I322" s="374"/>
      <c r="J322" s="374"/>
      <c r="K322" s="374"/>
      <c r="L322" s="374"/>
      <c r="M322" s="374"/>
      <c r="N322" s="374"/>
      <c r="O322" s="374"/>
      <c r="P322" s="374"/>
      <c r="Q322" s="374"/>
      <c r="R322" s="374"/>
      <c r="S322" s="374"/>
      <c r="T322" s="374"/>
      <c r="U322" s="374"/>
      <c r="V322" s="374"/>
      <c r="W322" s="374"/>
      <c r="X322" s="374"/>
      <c r="Y322" s="374"/>
      <c r="Z322" s="374"/>
    </row>
    <row r="323" ht="15.75" customHeight="1">
      <c r="A323" s="374"/>
      <c r="B323" s="374"/>
      <c r="C323" s="374"/>
      <c r="D323" s="374"/>
      <c r="E323" s="374"/>
      <c r="F323" s="374"/>
      <c r="G323" s="388"/>
      <c r="H323" s="388"/>
      <c r="I323" s="374"/>
      <c r="J323" s="374"/>
      <c r="K323" s="374"/>
      <c r="L323" s="374"/>
      <c r="M323" s="374"/>
      <c r="N323" s="374"/>
      <c r="O323" s="374"/>
      <c r="P323" s="374"/>
      <c r="Q323" s="374"/>
      <c r="R323" s="374"/>
      <c r="S323" s="374"/>
      <c r="T323" s="374"/>
      <c r="U323" s="374"/>
      <c r="V323" s="374"/>
      <c r="W323" s="374"/>
      <c r="X323" s="374"/>
      <c r="Y323" s="374"/>
      <c r="Z323" s="374"/>
    </row>
    <row r="324" ht="15.75" customHeight="1">
      <c r="A324" s="374"/>
      <c r="B324" s="374"/>
      <c r="C324" s="374"/>
      <c r="D324" s="374"/>
      <c r="E324" s="374"/>
      <c r="F324" s="374"/>
      <c r="G324" s="388"/>
      <c r="H324" s="388"/>
      <c r="I324" s="374"/>
      <c r="J324" s="374"/>
      <c r="K324" s="374"/>
      <c r="L324" s="374"/>
      <c r="M324" s="374"/>
      <c r="N324" s="374"/>
      <c r="O324" s="374"/>
      <c r="P324" s="374"/>
      <c r="Q324" s="374"/>
      <c r="R324" s="374"/>
      <c r="S324" s="374"/>
      <c r="T324" s="374"/>
      <c r="U324" s="374"/>
      <c r="V324" s="374"/>
      <c r="W324" s="374"/>
      <c r="X324" s="374"/>
      <c r="Y324" s="374"/>
      <c r="Z324" s="374"/>
    </row>
    <row r="325" ht="15.75" customHeight="1">
      <c r="A325" s="374"/>
      <c r="B325" s="374"/>
      <c r="C325" s="374"/>
      <c r="D325" s="374"/>
      <c r="E325" s="374"/>
      <c r="F325" s="374"/>
      <c r="G325" s="388"/>
      <c r="H325" s="388"/>
      <c r="I325" s="374"/>
      <c r="J325" s="374"/>
      <c r="K325" s="374"/>
      <c r="L325" s="374"/>
      <c r="M325" s="374"/>
      <c r="N325" s="374"/>
      <c r="O325" s="374"/>
      <c r="P325" s="374"/>
      <c r="Q325" s="374"/>
      <c r="R325" s="374"/>
      <c r="S325" s="374"/>
      <c r="T325" s="374"/>
      <c r="U325" s="374"/>
      <c r="V325" s="374"/>
      <c r="W325" s="374"/>
      <c r="X325" s="374"/>
      <c r="Y325" s="374"/>
      <c r="Z325" s="374"/>
    </row>
    <row r="326" ht="15.75" customHeight="1">
      <c r="A326" s="374"/>
      <c r="B326" s="374"/>
      <c r="C326" s="374"/>
      <c r="D326" s="374"/>
      <c r="E326" s="374"/>
      <c r="F326" s="374"/>
      <c r="G326" s="388"/>
      <c r="H326" s="388"/>
      <c r="I326" s="374"/>
      <c r="J326" s="374"/>
      <c r="K326" s="374"/>
      <c r="L326" s="374"/>
      <c r="M326" s="374"/>
      <c r="N326" s="374"/>
      <c r="O326" s="374"/>
      <c r="P326" s="374"/>
      <c r="Q326" s="374"/>
      <c r="R326" s="374"/>
      <c r="S326" s="374"/>
      <c r="T326" s="374"/>
      <c r="U326" s="374"/>
      <c r="V326" s="374"/>
      <c r="W326" s="374"/>
      <c r="X326" s="374"/>
      <c r="Y326" s="374"/>
      <c r="Z326" s="374"/>
    </row>
    <row r="327" ht="15.75" customHeight="1">
      <c r="A327" s="374"/>
      <c r="B327" s="374"/>
      <c r="C327" s="374"/>
      <c r="D327" s="374"/>
      <c r="E327" s="374"/>
      <c r="F327" s="374"/>
      <c r="G327" s="388"/>
      <c r="H327" s="388"/>
      <c r="I327" s="374"/>
      <c r="J327" s="374"/>
      <c r="K327" s="374"/>
      <c r="L327" s="374"/>
      <c r="M327" s="374"/>
      <c r="N327" s="374"/>
      <c r="O327" s="374"/>
      <c r="P327" s="374"/>
      <c r="Q327" s="374"/>
      <c r="R327" s="374"/>
      <c r="S327" s="374"/>
      <c r="T327" s="374"/>
      <c r="U327" s="374"/>
      <c r="V327" s="374"/>
      <c r="W327" s="374"/>
      <c r="X327" s="374"/>
      <c r="Y327" s="374"/>
      <c r="Z327" s="374"/>
    </row>
    <row r="328" ht="15.75" customHeight="1">
      <c r="A328" s="374"/>
      <c r="B328" s="374"/>
      <c r="C328" s="374"/>
      <c r="D328" s="374"/>
      <c r="E328" s="374"/>
      <c r="F328" s="374"/>
      <c r="G328" s="388"/>
      <c r="H328" s="388"/>
      <c r="I328" s="374"/>
      <c r="J328" s="374"/>
      <c r="K328" s="374"/>
      <c r="L328" s="374"/>
      <c r="M328" s="374"/>
      <c r="N328" s="374"/>
      <c r="O328" s="374"/>
      <c r="P328" s="374"/>
      <c r="Q328" s="374"/>
      <c r="R328" s="374"/>
      <c r="S328" s="374"/>
      <c r="T328" s="374"/>
      <c r="U328" s="374"/>
      <c r="V328" s="374"/>
      <c r="W328" s="374"/>
      <c r="X328" s="374"/>
      <c r="Y328" s="374"/>
      <c r="Z328" s="374"/>
    </row>
    <row r="329" ht="15.75" customHeight="1">
      <c r="A329" s="374"/>
      <c r="B329" s="374"/>
      <c r="C329" s="374"/>
      <c r="D329" s="374"/>
      <c r="E329" s="374"/>
      <c r="F329" s="374"/>
      <c r="G329" s="388"/>
      <c r="H329" s="388"/>
      <c r="I329" s="374"/>
      <c r="J329" s="374"/>
      <c r="K329" s="374"/>
      <c r="L329" s="374"/>
      <c r="M329" s="374"/>
      <c r="N329" s="374"/>
      <c r="O329" s="374"/>
      <c r="P329" s="374"/>
      <c r="Q329" s="374"/>
      <c r="R329" s="374"/>
      <c r="S329" s="374"/>
      <c r="T329" s="374"/>
      <c r="U329" s="374"/>
      <c r="V329" s="374"/>
      <c r="W329" s="374"/>
      <c r="X329" s="374"/>
      <c r="Y329" s="374"/>
      <c r="Z329" s="374"/>
    </row>
    <row r="330" ht="15.75" customHeight="1">
      <c r="A330" s="374"/>
      <c r="B330" s="374"/>
      <c r="C330" s="374"/>
      <c r="D330" s="374"/>
      <c r="E330" s="374"/>
      <c r="F330" s="374"/>
      <c r="G330" s="388"/>
      <c r="H330" s="388"/>
      <c r="I330" s="374"/>
      <c r="J330" s="374"/>
      <c r="K330" s="374"/>
      <c r="L330" s="374"/>
      <c r="M330" s="374"/>
      <c r="N330" s="374"/>
      <c r="O330" s="374"/>
      <c r="P330" s="374"/>
      <c r="Q330" s="374"/>
      <c r="R330" s="374"/>
      <c r="S330" s="374"/>
      <c r="T330" s="374"/>
      <c r="U330" s="374"/>
      <c r="V330" s="374"/>
      <c r="W330" s="374"/>
      <c r="X330" s="374"/>
      <c r="Y330" s="374"/>
      <c r="Z330" s="374"/>
    </row>
    <row r="331" ht="15.75" customHeight="1">
      <c r="A331" s="374"/>
      <c r="B331" s="374"/>
      <c r="C331" s="374"/>
      <c r="D331" s="374"/>
      <c r="E331" s="374"/>
      <c r="F331" s="374"/>
      <c r="G331" s="388"/>
      <c r="H331" s="388"/>
      <c r="I331" s="374"/>
      <c r="J331" s="374"/>
      <c r="K331" s="374"/>
      <c r="L331" s="374"/>
      <c r="M331" s="374"/>
      <c r="N331" s="374"/>
      <c r="O331" s="374"/>
      <c r="P331" s="374"/>
      <c r="Q331" s="374"/>
      <c r="R331" s="374"/>
      <c r="S331" s="374"/>
      <c r="T331" s="374"/>
      <c r="U331" s="374"/>
      <c r="V331" s="374"/>
      <c r="W331" s="374"/>
      <c r="X331" s="374"/>
      <c r="Y331" s="374"/>
      <c r="Z331" s="374"/>
    </row>
    <row r="332" ht="15.75" customHeight="1">
      <c r="A332" s="374"/>
      <c r="B332" s="374"/>
      <c r="C332" s="374"/>
      <c r="D332" s="374"/>
      <c r="E332" s="374"/>
      <c r="F332" s="374"/>
      <c r="G332" s="388"/>
      <c r="H332" s="388"/>
      <c r="I332" s="374"/>
      <c r="J332" s="374"/>
      <c r="K332" s="374"/>
      <c r="L332" s="374"/>
      <c r="M332" s="374"/>
      <c r="N332" s="374"/>
      <c r="O332" s="374"/>
      <c r="P332" s="374"/>
      <c r="Q332" s="374"/>
      <c r="R332" s="374"/>
      <c r="S332" s="374"/>
      <c r="T332" s="374"/>
      <c r="U332" s="374"/>
      <c r="V332" s="374"/>
      <c r="W332" s="374"/>
      <c r="X332" s="374"/>
      <c r="Y332" s="374"/>
      <c r="Z332" s="374"/>
    </row>
    <row r="333" ht="15.75" customHeight="1">
      <c r="A333" s="374"/>
      <c r="B333" s="374"/>
      <c r="C333" s="374"/>
      <c r="D333" s="374"/>
      <c r="E333" s="374"/>
      <c r="F333" s="374"/>
      <c r="G333" s="388"/>
      <c r="H333" s="388"/>
      <c r="I333" s="374"/>
      <c r="J333" s="374"/>
      <c r="K333" s="374"/>
      <c r="L333" s="374"/>
      <c r="M333" s="374"/>
      <c r="N333" s="374"/>
      <c r="O333" s="374"/>
      <c r="P333" s="374"/>
      <c r="Q333" s="374"/>
      <c r="R333" s="374"/>
      <c r="S333" s="374"/>
      <c r="T333" s="374"/>
      <c r="U333" s="374"/>
      <c r="V333" s="374"/>
      <c r="W333" s="374"/>
      <c r="X333" s="374"/>
      <c r="Y333" s="374"/>
      <c r="Z333" s="374"/>
    </row>
    <row r="334" ht="15.75" customHeight="1">
      <c r="A334" s="374"/>
      <c r="B334" s="374"/>
      <c r="C334" s="374"/>
      <c r="D334" s="374"/>
      <c r="E334" s="374"/>
      <c r="F334" s="374"/>
      <c r="G334" s="388"/>
      <c r="H334" s="388"/>
      <c r="I334" s="374"/>
      <c r="J334" s="374"/>
      <c r="K334" s="374"/>
      <c r="L334" s="374"/>
      <c r="M334" s="374"/>
      <c r="N334" s="374"/>
      <c r="O334" s="374"/>
      <c r="P334" s="374"/>
      <c r="Q334" s="374"/>
      <c r="R334" s="374"/>
      <c r="S334" s="374"/>
      <c r="T334" s="374"/>
      <c r="U334" s="374"/>
      <c r="V334" s="374"/>
      <c r="W334" s="374"/>
      <c r="X334" s="374"/>
      <c r="Y334" s="374"/>
      <c r="Z334" s="374"/>
    </row>
    <row r="335" ht="15.75" customHeight="1">
      <c r="A335" s="374"/>
      <c r="B335" s="374"/>
      <c r="C335" s="374"/>
      <c r="D335" s="374"/>
      <c r="E335" s="374"/>
      <c r="F335" s="374"/>
      <c r="G335" s="388"/>
      <c r="H335" s="388"/>
      <c r="I335" s="374"/>
      <c r="J335" s="374"/>
      <c r="K335" s="374"/>
      <c r="L335" s="374"/>
      <c r="M335" s="374"/>
      <c r="N335" s="374"/>
      <c r="O335" s="374"/>
      <c r="P335" s="374"/>
      <c r="Q335" s="374"/>
      <c r="R335" s="374"/>
      <c r="S335" s="374"/>
      <c r="T335" s="374"/>
      <c r="U335" s="374"/>
      <c r="V335" s="374"/>
      <c r="W335" s="374"/>
      <c r="X335" s="374"/>
      <c r="Y335" s="374"/>
      <c r="Z335" s="374"/>
    </row>
    <row r="336" ht="15.75" customHeight="1">
      <c r="A336" s="374"/>
      <c r="B336" s="374"/>
      <c r="C336" s="374"/>
      <c r="D336" s="374"/>
      <c r="E336" s="374"/>
      <c r="F336" s="374"/>
      <c r="G336" s="388"/>
      <c r="H336" s="388"/>
      <c r="I336" s="374"/>
      <c r="J336" s="374"/>
      <c r="K336" s="374"/>
      <c r="L336" s="374"/>
      <c r="M336" s="374"/>
      <c r="N336" s="374"/>
      <c r="O336" s="374"/>
      <c r="P336" s="374"/>
      <c r="Q336" s="374"/>
      <c r="R336" s="374"/>
      <c r="S336" s="374"/>
      <c r="T336" s="374"/>
      <c r="U336" s="374"/>
      <c r="V336" s="374"/>
      <c r="W336" s="374"/>
      <c r="X336" s="374"/>
      <c r="Y336" s="374"/>
      <c r="Z336" s="374"/>
    </row>
    <row r="337" ht="15.75" customHeight="1">
      <c r="A337" s="374"/>
      <c r="B337" s="374"/>
      <c r="C337" s="374"/>
      <c r="D337" s="374"/>
      <c r="E337" s="374"/>
      <c r="F337" s="374"/>
      <c r="G337" s="388"/>
      <c r="H337" s="388"/>
      <c r="I337" s="374"/>
      <c r="J337" s="374"/>
      <c r="K337" s="374"/>
      <c r="L337" s="374"/>
      <c r="M337" s="374"/>
      <c r="N337" s="374"/>
      <c r="O337" s="374"/>
      <c r="P337" s="374"/>
      <c r="Q337" s="374"/>
      <c r="R337" s="374"/>
      <c r="S337" s="374"/>
      <c r="T337" s="374"/>
      <c r="U337" s="374"/>
      <c r="V337" s="374"/>
      <c r="W337" s="374"/>
      <c r="X337" s="374"/>
      <c r="Y337" s="374"/>
      <c r="Z337" s="374"/>
    </row>
    <row r="338" ht="15.75" customHeight="1">
      <c r="A338" s="374"/>
      <c r="B338" s="374"/>
      <c r="C338" s="374"/>
      <c r="D338" s="374"/>
      <c r="E338" s="374"/>
      <c r="F338" s="374"/>
      <c r="G338" s="388"/>
      <c r="H338" s="388"/>
      <c r="I338" s="374"/>
      <c r="J338" s="374"/>
      <c r="K338" s="374"/>
      <c r="L338" s="374"/>
      <c r="M338" s="374"/>
      <c r="N338" s="374"/>
      <c r="O338" s="374"/>
      <c r="P338" s="374"/>
      <c r="Q338" s="374"/>
      <c r="R338" s="374"/>
      <c r="S338" s="374"/>
      <c r="T338" s="374"/>
      <c r="U338" s="374"/>
      <c r="V338" s="374"/>
      <c r="W338" s="374"/>
      <c r="X338" s="374"/>
      <c r="Y338" s="374"/>
      <c r="Z338" s="374"/>
    </row>
    <row r="339" ht="15.75" customHeight="1">
      <c r="A339" s="374"/>
      <c r="B339" s="374"/>
      <c r="C339" s="374"/>
      <c r="D339" s="374"/>
      <c r="E339" s="374"/>
      <c r="F339" s="374"/>
      <c r="G339" s="388"/>
      <c r="H339" s="388"/>
      <c r="I339" s="374"/>
      <c r="J339" s="374"/>
      <c r="K339" s="374"/>
      <c r="L339" s="374"/>
      <c r="M339" s="374"/>
      <c r="N339" s="374"/>
      <c r="O339" s="374"/>
      <c r="P339" s="374"/>
      <c r="Q339" s="374"/>
      <c r="R339" s="374"/>
      <c r="S339" s="374"/>
      <c r="T339" s="374"/>
      <c r="U339" s="374"/>
      <c r="V339" s="374"/>
      <c r="W339" s="374"/>
      <c r="X339" s="374"/>
      <c r="Y339" s="374"/>
      <c r="Z339" s="374"/>
    </row>
    <row r="340" ht="15.75" customHeight="1">
      <c r="A340" s="374"/>
      <c r="B340" s="374"/>
      <c r="C340" s="374"/>
      <c r="D340" s="374"/>
      <c r="E340" s="374"/>
      <c r="F340" s="374"/>
      <c r="G340" s="388"/>
      <c r="H340" s="388"/>
      <c r="I340" s="374"/>
      <c r="J340" s="374"/>
      <c r="K340" s="374"/>
      <c r="L340" s="374"/>
      <c r="M340" s="374"/>
      <c r="N340" s="374"/>
      <c r="O340" s="374"/>
      <c r="P340" s="374"/>
      <c r="Q340" s="374"/>
      <c r="R340" s="374"/>
      <c r="S340" s="374"/>
      <c r="T340" s="374"/>
      <c r="U340" s="374"/>
      <c r="V340" s="374"/>
      <c r="W340" s="374"/>
      <c r="X340" s="374"/>
      <c r="Y340" s="374"/>
      <c r="Z340" s="374"/>
    </row>
    <row r="341" ht="15.75" customHeight="1">
      <c r="A341" s="374"/>
      <c r="B341" s="374"/>
      <c r="C341" s="374"/>
      <c r="D341" s="374"/>
      <c r="E341" s="374"/>
      <c r="F341" s="374"/>
      <c r="G341" s="388"/>
      <c r="H341" s="388"/>
      <c r="I341" s="374"/>
      <c r="J341" s="374"/>
      <c r="K341" s="374"/>
      <c r="L341" s="374"/>
      <c r="M341" s="374"/>
      <c r="N341" s="374"/>
      <c r="O341" s="374"/>
      <c r="P341" s="374"/>
      <c r="Q341" s="374"/>
      <c r="R341" s="374"/>
      <c r="S341" s="374"/>
      <c r="T341" s="374"/>
      <c r="U341" s="374"/>
      <c r="V341" s="374"/>
      <c r="W341" s="374"/>
      <c r="X341" s="374"/>
      <c r="Y341" s="374"/>
      <c r="Z341" s="374"/>
    </row>
    <row r="342" ht="15.75" customHeight="1">
      <c r="A342" s="374"/>
      <c r="B342" s="374"/>
      <c r="C342" s="374"/>
      <c r="D342" s="374"/>
      <c r="E342" s="374"/>
      <c r="F342" s="374"/>
      <c r="G342" s="388"/>
      <c r="H342" s="388"/>
      <c r="I342" s="374"/>
      <c r="J342" s="374"/>
      <c r="K342" s="374"/>
      <c r="L342" s="374"/>
      <c r="M342" s="374"/>
      <c r="N342" s="374"/>
      <c r="O342" s="374"/>
      <c r="P342" s="374"/>
      <c r="Q342" s="374"/>
      <c r="R342" s="374"/>
      <c r="S342" s="374"/>
      <c r="T342" s="374"/>
      <c r="U342" s="374"/>
      <c r="V342" s="374"/>
      <c r="W342" s="374"/>
      <c r="X342" s="374"/>
      <c r="Y342" s="374"/>
      <c r="Z342" s="374"/>
    </row>
    <row r="343" ht="15.75" customHeight="1">
      <c r="A343" s="374"/>
      <c r="B343" s="374"/>
      <c r="C343" s="374"/>
      <c r="D343" s="374"/>
      <c r="E343" s="374"/>
      <c r="F343" s="374"/>
      <c r="G343" s="388"/>
      <c r="H343" s="388"/>
      <c r="I343" s="374"/>
      <c r="J343" s="374"/>
      <c r="K343" s="374"/>
      <c r="L343" s="374"/>
      <c r="M343" s="374"/>
      <c r="N343" s="374"/>
      <c r="O343" s="374"/>
      <c r="P343" s="374"/>
      <c r="Q343" s="374"/>
      <c r="R343" s="374"/>
      <c r="S343" s="374"/>
      <c r="T343" s="374"/>
      <c r="U343" s="374"/>
      <c r="V343" s="374"/>
      <c r="W343" s="374"/>
      <c r="X343" s="374"/>
      <c r="Y343" s="374"/>
      <c r="Z343" s="374"/>
    </row>
    <row r="344" ht="15.75" customHeight="1">
      <c r="A344" s="374"/>
      <c r="B344" s="374"/>
      <c r="C344" s="374"/>
      <c r="D344" s="374"/>
      <c r="E344" s="374"/>
      <c r="F344" s="374"/>
      <c r="G344" s="388"/>
      <c r="H344" s="388"/>
      <c r="I344" s="374"/>
      <c r="J344" s="374"/>
      <c r="K344" s="374"/>
      <c r="L344" s="374"/>
      <c r="M344" s="374"/>
      <c r="N344" s="374"/>
      <c r="O344" s="374"/>
      <c r="P344" s="374"/>
      <c r="Q344" s="374"/>
      <c r="R344" s="374"/>
      <c r="S344" s="374"/>
      <c r="T344" s="374"/>
      <c r="U344" s="374"/>
      <c r="V344" s="374"/>
      <c r="W344" s="374"/>
      <c r="X344" s="374"/>
      <c r="Y344" s="374"/>
      <c r="Z344" s="374"/>
    </row>
    <row r="345" ht="15.75" customHeight="1">
      <c r="A345" s="374"/>
      <c r="B345" s="374"/>
      <c r="C345" s="374"/>
      <c r="D345" s="374"/>
      <c r="E345" s="374"/>
      <c r="F345" s="374"/>
      <c r="G345" s="388"/>
      <c r="H345" s="388"/>
      <c r="I345" s="374"/>
      <c r="J345" s="374"/>
      <c r="K345" s="374"/>
      <c r="L345" s="374"/>
      <c r="M345" s="374"/>
      <c r="N345" s="374"/>
      <c r="O345" s="374"/>
      <c r="P345" s="374"/>
      <c r="Q345" s="374"/>
      <c r="R345" s="374"/>
      <c r="S345" s="374"/>
      <c r="T345" s="374"/>
      <c r="U345" s="374"/>
      <c r="V345" s="374"/>
      <c r="W345" s="374"/>
      <c r="X345" s="374"/>
      <c r="Y345" s="374"/>
      <c r="Z345" s="374"/>
    </row>
    <row r="346" ht="15.75" customHeight="1">
      <c r="A346" s="374"/>
      <c r="B346" s="374"/>
      <c r="C346" s="374"/>
      <c r="D346" s="374"/>
      <c r="E346" s="374"/>
      <c r="F346" s="374"/>
      <c r="G346" s="388"/>
      <c r="H346" s="388"/>
      <c r="I346" s="374"/>
      <c r="J346" s="374"/>
      <c r="K346" s="374"/>
      <c r="L346" s="374"/>
      <c r="M346" s="374"/>
      <c r="N346" s="374"/>
      <c r="O346" s="374"/>
      <c r="P346" s="374"/>
      <c r="Q346" s="374"/>
      <c r="R346" s="374"/>
      <c r="S346" s="374"/>
      <c r="T346" s="374"/>
      <c r="U346" s="374"/>
      <c r="V346" s="374"/>
      <c r="W346" s="374"/>
      <c r="X346" s="374"/>
      <c r="Y346" s="374"/>
      <c r="Z346" s="374"/>
    </row>
    <row r="347" ht="15.75" customHeight="1">
      <c r="A347" s="374"/>
      <c r="B347" s="374"/>
      <c r="C347" s="374"/>
      <c r="D347" s="374"/>
      <c r="E347" s="374"/>
      <c r="F347" s="374"/>
      <c r="G347" s="388"/>
      <c r="H347" s="388"/>
      <c r="I347" s="374"/>
      <c r="J347" s="374"/>
      <c r="K347" s="374"/>
      <c r="L347" s="374"/>
      <c r="M347" s="374"/>
      <c r="N347" s="374"/>
      <c r="O347" s="374"/>
      <c r="P347" s="374"/>
      <c r="Q347" s="374"/>
      <c r="R347" s="374"/>
      <c r="S347" s="374"/>
      <c r="T347" s="374"/>
      <c r="U347" s="374"/>
      <c r="V347" s="374"/>
      <c r="W347" s="374"/>
      <c r="X347" s="374"/>
      <c r="Y347" s="374"/>
      <c r="Z347" s="374"/>
    </row>
    <row r="348" ht="15.75" customHeight="1">
      <c r="A348" s="374"/>
      <c r="B348" s="374"/>
      <c r="C348" s="374"/>
      <c r="D348" s="374"/>
      <c r="E348" s="374"/>
      <c r="F348" s="374"/>
      <c r="G348" s="388"/>
      <c r="H348" s="388"/>
      <c r="I348" s="374"/>
      <c r="J348" s="374"/>
      <c r="K348" s="374"/>
      <c r="L348" s="374"/>
      <c r="M348" s="374"/>
      <c r="N348" s="374"/>
      <c r="O348" s="374"/>
      <c r="P348" s="374"/>
      <c r="Q348" s="374"/>
      <c r="R348" s="374"/>
      <c r="S348" s="374"/>
      <c r="T348" s="374"/>
      <c r="U348" s="374"/>
      <c r="V348" s="374"/>
      <c r="W348" s="374"/>
      <c r="X348" s="374"/>
      <c r="Y348" s="374"/>
      <c r="Z348" s="374"/>
    </row>
    <row r="349" ht="15.75" customHeight="1">
      <c r="A349" s="374"/>
      <c r="B349" s="374"/>
      <c r="C349" s="374"/>
      <c r="D349" s="374"/>
      <c r="E349" s="374"/>
      <c r="F349" s="374"/>
      <c r="G349" s="388"/>
      <c r="H349" s="388"/>
      <c r="I349" s="374"/>
      <c r="J349" s="374"/>
      <c r="K349" s="374"/>
      <c r="L349" s="374"/>
      <c r="M349" s="374"/>
      <c r="N349" s="374"/>
      <c r="O349" s="374"/>
      <c r="P349" s="374"/>
      <c r="Q349" s="374"/>
      <c r="R349" s="374"/>
      <c r="S349" s="374"/>
      <c r="T349" s="374"/>
      <c r="U349" s="374"/>
      <c r="V349" s="374"/>
      <c r="W349" s="374"/>
      <c r="X349" s="374"/>
      <c r="Y349" s="374"/>
      <c r="Z349" s="374"/>
    </row>
    <row r="350" ht="15.75" customHeight="1">
      <c r="A350" s="374"/>
      <c r="B350" s="374"/>
      <c r="C350" s="374"/>
      <c r="D350" s="374"/>
      <c r="E350" s="374"/>
      <c r="F350" s="374"/>
      <c r="G350" s="388"/>
      <c r="H350" s="388"/>
      <c r="I350" s="374"/>
      <c r="J350" s="374"/>
      <c r="K350" s="374"/>
      <c r="L350" s="374"/>
      <c r="M350" s="374"/>
      <c r="N350" s="374"/>
      <c r="O350" s="374"/>
      <c r="P350" s="374"/>
      <c r="Q350" s="374"/>
      <c r="R350" s="374"/>
      <c r="S350" s="374"/>
      <c r="T350" s="374"/>
      <c r="U350" s="374"/>
      <c r="V350" s="374"/>
      <c r="W350" s="374"/>
      <c r="X350" s="374"/>
      <c r="Y350" s="374"/>
      <c r="Z350" s="374"/>
    </row>
    <row r="351" ht="15.75" customHeight="1">
      <c r="A351" s="374"/>
      <c r="B351" s="374"/>
      <c r="C351" s="374"/>
      <c r="D351" s="374"/>
      <c r="E351" s="374"/>
      <c r="F351" s="374"/>
      <c r="G351" s="388"/>
      <c r="H351" s="388"/>
      <c r="I351" s="374"/>
      <c r="J351" s="374"/>
      <c r="K351" s="374"/>
      <c r="L351" s="374"/>
      <c r="M351" s="374"/>
      <c r="N351" s="374"/>
      <c r="O351" s="374"/>
      <c r="P351" s="374"/>
      <c r="Q351" s="374"/>
      <c r="R351" s="374"/>
      <c r="S351" s="374"/>
      <c r="T351" s="374"/>
      <c r="U351" s="374"/>
      <c r="V351" s="374"/>
      <c r="W351" s="374"/>
      <c r="X351" s="374"/>
      <c r="Y351" s="374"/>
      <c r="Z351" s="374"/>
    </row>
    <row r="352" ht="15.75" customHeight="1">
      <c r="A352" s="374"/>
      <c r="B352" s="374"/>
      <c r="C352" s="374"/>
      <c r="D352" s="374"/>
      <c r="E352" s="374"/>
      <c r="F352" s="374"/>
      <c r="G352" s="388"/>
      <c r="H352" s="388"/>
      <c r="I352" s="374"/>
      <c r="J352" s="374"/>
      <c r="K352" s="374"/>
      <c r="L352" s="374"/>
      <c r="M352" s="374"/>
      <c r="N352" s="374"/>
      <c r="O352" s="374"/>
      <c r="P352" s="374"/>
      <c r="Q352" s="374"/>
      <c r="R352" s="374"/>
      <c r="S352" s="374"/>
      <c r="T352" s="374"/>
      <c r="U352" s="374"/>
      <c r="V352" s="374"/>
      <c r="W352" s="374"/>
      <c r="X352" s="374"/>
      <c r="Y352" s="374"/>
      <c r="Z352" s="374"/>
    </row>
    <row r="353" ht="15.75" customHeight="1">
      <c r="A353" s="374"/>
      <c r="B353" s="374"/>
      <c r="C353" s="374"/>
      <c r="D353" s="374"/>
      <c r="E353" s="374"/>
      <c r="F353" s="374"/>
      <c r="G353" s="388"/>
      <c r="H353" s="388"/>
      <c r="I353" s="374"/>
      <c r="J353" s="374"/>
      <c r="K353" s="374"/>
      <c r="L353" s="374"/>
      <c r="M353" s="374"/>
      <c r="N353" s="374"/>
      <c r="O353" s="374"/>
      <c r="P353" s="374"/>
      <c r="Q353" s="374"/>
      <c r="R353" s="374"/>
      <c r="S353" s="374"/>
      <c r="T353" s="374"/>
      <c r="U353" s="374"/>
      <c r="V353" s="374"/>
      <c r="W353" s="374"/>
      <c r="X353" s="374"/>
      <c r="Y353" s="374"/>
      <c r="Z353" s="374"/>
    </row>
    <row r="354" ht="15.75" customHeight="1">
      <c r="A354" s="374"/>
      <c r="B354" s="374"/>
      <c r="C354" s="374"/>
      <c r="D354" s="374"/>
      <c r="E354" s="374"/>
      <c r="F354" s="374"/>
      <c r="G354" s="388"/>
      <c r="H354" s="388"/>
      <c r="I354" s="374"/>
      <c r="J354" s="374"/>
      <c r="K354" s="374"/>
      <c r="L354" s="374"/>
      <c r="M354" s="374"/>
      <c r="N354" s="374"/>
      <c r="O354" s="374"/>
      <c r="P354" s="374"/>
      <c r="Q354" s="374"/>
      <c r="R354" s="374"/>
      <c r="S354" s="374"/>
      <c r="T354" s="374"/>
      <c r="U354" s="374"/>
      <c r="V354" s="374"/>
      <c r="W354" s="374"/>
      <c r="X354" s="374"/>
      <c r="Y354" s="374"/>
      <c r="Z354" s="374"/>
    </row>
    <row r="355" ht="15.75" customHeight="1">
      <c r="A355" s="374"/>
      <c r="B355" s="374"/>
      <c r="C355" s="374"/>
      <c r="D355" s="374"/>
      <c r="E355" s="374"/>
      <c r="F355" s="374"/>
      <c r="G355" s="388"/>
      <c r="H355" s="388"/>
      <c r="I355" s="374"/>
      <c r="J355" s="374"/>
      <c r="K355" s="374"/>
      <c r="L355" s="374"/>
      <c r="M355" s="374"/>
      <c r="N355" s="374"/>
      <c r="O355" s="374"/>
      <c r="P355" s="374"/>
      <c r="Q355" s="374"/>
      <c r="R355" s="374"/>
      <c r="S355" s="374"/>
      <c r="T355" s="374"/>
      <c r="U355" s="374"/>
      <c r="V355" s="374"/>
      <c r="W355" s="374"/>
      <c r="X355" s="374"/>
      <c r="Y355" s="374"/>
      <c r="Z355" s="374"/>
    </row>
    <row r="356" ht="15.75" customHeight="1">
      <c r="A356" s="374"/>
      <c r="B356" s="374"/>
      <c r="C356" s="374"/>
      <c r="D356" s="374"/>
      <c r="E356" s="374"/>
      <c r="F356" s="374"/>
      <c r="G356" s="388"/>
      <c r="H356" s="388"/>
      <c r="I356" s="374"/>
      <c r="J356" s="374"/>
      <c r="K356" s="374"/>
      <c r="L356" s="374"/>
      <c r="M356" s="374"/>
      <c r="N356" s="374"/>
      <c r="O356" s="374"/>
      <c r="P356" s="374"/>
      <c r="Q356" s="374"/>
      <c r="R356" s="374"/>
      <c r="S356" s="374"/>
      <c r="T356" s="374"/>
      <c r="U356" s="374"/>
      <c r="V356" s="374"/>
      <c r="W356" s="374"/>
      <c r="X356" s="374"/>
      <c r="Y356" s="374"/>
      <c r="Z356" s="374"/>
    </row>
    <row r="357" ht="15.75" customHeight="1">
      <c r="A357" s="374"/>
      <c r="B357" s="374"/>
      <c r="C357" s="374"/>
      <c r="D357" s="374"/>
      <c r="E357" s="374"/>
      <c r="F357" s="374"/>
      <c r="G357" s="388"/>
      <c r="H357" s="388"/>
      <c r="I357" s="374"/>
      <c r="J357" s="374"/>
      <c r="K357" s="374"/>
      <c r="L357" s="374"/>
      <c r="M357" s="374"/>
      <c r="N357" s="374"/>
      <c r="O357" s="374"/>
      <c r="P357" s="374"/>
      <c r="Q357" s="374"/>
      <c r="R357" s="374"/>
      <c r="S357" s="374"/>
      <c r="T357" s="374"/>
      <c r="U357" s="374"/>
      <c r="V357" s="374"/>
      <c r="W357" s="374"/>
      <c r="X357" s="374"/>
      <c r="Y357" s="374"/>
      <c r="Z357" s="374"/>
    </row>
    <row r="358" ht="15.75" customHeight="1">
      <c r="A358" s="374"/>
      <c r="B358" s="374"/>
      <c r="C358" s="374"/>
      <c r="D358" s="374"/>
      <c r="E358" s="374"/>
      <c r="F358" s="374"/>
      <c r="G358" s="388"/>
      <c r="H358" s="388"/>
      <c r="I358" s="374"/>
      <c r="J358" s="374"/>
      <c r="K358" s="374"/>
      <c r="L358" s="374"/>
      <c r="M358" s="374"/>
      <c r="N358" s="374"/>
      <c r="O358" s="374"/>
      <c r="P358" s="374"/>
      <c r="Q358" s="374"/>
      <c r="R358" s="374"/>
      <c r="S358" s="374"/>
      <c r="T358" s="374"/>
      <c r="U358" s="374"/>
      <c r="V358" s="374"/>
      <c r="W358" s="374"/>
      <c r="X358" s="374"/>
      <c r="Y358" s="374"/>
      <c r="Z358" s="374"/>
    </row>
    <row r="359" ht="15.75" customHeight="1">
      <c r="A359" s="374"/>
      <c r="B359" s="374"/>
      <c r="C359" s="374"/>
      <c r="D359" s="374"/>
      <c r="E359" s="374"/>
      <c r="F359" s="374"/>
      <c r="G359" s="388"/>
      <c r="H359" s="388"/>
      <c r="I359" s="374"/>
      <c r="J359" s="374"/>
      <c r="K359" s="374"/>
      <c r="L359" s="374"/>
      <c r="M359" s="374"/>
      <c r="N359" s="374"/>
      <c r="O359" s="374"/>
      <c r="P359" s="374"/>
      <c r="Q359" s="374"/>
      <c r="R359" s="374"/>
      <c r="S359" s="374"/>
      <c r="T359" s="374"/>
      <c r="U359" s="374"/>
      <c r="V359" s="374"/>
      <c r="W359" s="374"/>
      <c r="X359" s="374"/>
      <c r="Y359" s="374"/>
      <c r="Z359" s="374"/>
    </row>
    <row r="360" ht="15.75" customHeight="1">
      <c r="A360" s="374"/>
      <c r="B360" s="374"/>
      <c r="C360" s="374"/>
      <c r="D360" s="374"/>
      <c r="E360" s="374"/>
      <c r="F360" s="374"/>
      <c r="G360" s="388"/>
      <c r="H360" s="388"/>
      <c r="I360" s="374"/>
      <c r="J360" s="374"/>
      <c r="K360" s="374"/>
      <c r="L360" s="374"/>
      <c r="M360" s="374"/>
      <c r="N360" s="374"/>
      <c r="O360" s="374"/>
      <c r="P360" s="374"/>
      <c r="Q360" s="374"/>
      <c r="R360" s="374"/>
      <c r="S360" s="374"/>
      <c r="T360" s="374"/>
      <c r="U360" s="374"/>
      <c r="V360" s="374"/>
      <c r="W360" s="374"/>
      <c r="X360" s="374"/>
      <c r="Y360" s="374"/>
      <c r="Z360" s="374"/>
    </row>
    <row r="361" ht="15.75" customHeight="1">
      <c r="A361" s="374"/>
      <c r="B361" s="374"/>
      <c r="C361" s="374"/>
      <c r="D361" s="374"/>
      <c r="E361" s="374"/>
      <c r="F361" s="374"/>
      <c r="G361" s="388"/>
      <c r="H361" s="388"/>
      <c r="I361" s="374"/>
      <c r="J361" s="374"/>
      <c r="K361" s="374"/>
      <c r="L361" s="374"/>
      <c r="M361" s="374"/>
      <c r="N361" s="374"/>
      <c r="O361" s="374"/>
      <c r="P361" s="374"/>
      <c r="Q361" s="374"/>
      <c r="R361" s="374"/>
      <c r="S361" s="374"/>
      <c r="T361" s="374"/>
      <c r="U361" s="374"/>
      <c r="V361" s="374"/>
      <c r="W361" s="374"/>
      <c r="X361" s="374"/>
      <c r="Y361" s="374"/>
      <c r="Z361" s="374"/>
    </row>
    <row r="362" ht="15.75" customHeight="1">
      <c r="A362" s="374"/>
      <c r="B362" s="374"/>
      <c r="C362" s="374"/>
      <c r="D362" s="374"/>
      <c r="E362" s="374"/>
      <c r="F362" s="374"/>
      <c r="G362" s="388"/>
      <c r="H362" s="388"/>
      <c r="I362" s="374"/>
      <c r="J362" s="374"/>
      <c r="K362" s="374"/>
      <c r="L362" s="374"/>
      <c r="M362" s="374"/>
      <c r="N362" s="374"/>
      <c r="O362" s="374"/>
      <c r="P362" s="374"/>
      <c r="Q362" s="374"/>
      <c r="R362" s="374"/>
      <c r="S362" s="374"/>
      <c r="T362" s="374"/>
      <c r="U362" s="374"/>
      <c r="V362" s="374"/>
      <c r="W362" s="374"/>
      <c r="X362" s="374"/>
      <c r="Y362" s="374"/>
      <c r="Z362" s="374"/>
    </row>
    <row r="363" ht="15.75" customHeight="1">
      <c r="A363" s="374"/>
      <c r="B363" s="374"/>
      <c r="C363" s="374"/>
      <c r="D363" s="374"/>
      <c r="E363" s="374"/>
      <c r="F363" s="374"/>
      <c r="G363" s="388"/>
      <c r="H363" s="388"/>
      <c r="I363" s="374"/>
      <c r="J363" s="374"/>
      <c r="K363" s="374"/>
      <c r="L363" s="374"/>
      <c r="M363" s="374"/>
      <c r="N363" s="374"/>
      <c r="O363" s="374"/>
      <c r="P363" s="374"/>
      <c r="Q363" s="374"/>
      <c r="R363" s="374"/>
      <c r="S363" s="374"/>
      <c r="T363" s="374"/>
      <c r="U363" s="374"/>
      <c r="V363" s="374"/>
      <c r="W363" s="374"/>
      <c r="X363" s="374"/>
      <c r="Y363" s="374"/>
      <c r="Z363" s="374"/>
    </row>
    <row r="364" ht="15.75" customHeight="1">
      <c r="A364" s="374"/>
      <c r="B364" s="374"/>
      <c r="C364" s="374"/>
      <c r="D364" s="374"/>
      <c r="E364" s="374"/>
      <c r="F364" s="374"/>
      <c r="G364" s="388"/>
      <c r="H364" s="388"/>
      <c r="I364" s="374"/>
      <c r="J364" s="374"/>
      <c r="K364" s="374"/>
      <c r="L364" s="374"/>
      <c r="M364" s="374"/>
      <c r="N364" s="374"/>
      <c r="O364" s="374"/>
      <c r="P364" s="374"/>
      <c r="Q364" s="374"/>
      <c r="R364" s="374"/>
      <c r="S364" s="374"/>
      <c r="T364" s="374"/>
      <c r="U364" s="374"/>
      <c r="V364" s="374"/>
      <c r="W364" s="374"/>
      <c r="X364" s="374"/>
      <c r="Y364" s="374"/>
      <c r="Z364" s="374"/>
    </row>
    <row r="365" ht="15.75" customHeight="1">
      <c r="A365" s="374"/>
      <c r="B365" s="374"/>
      <c r="C365" s="374"/>
      <c r="D365" s="374"/>
      <c r="E365" s="374"/>
      <c r="F365" s="374"/>
      <c r="G365" s="388"/>
      <c r="H365" s="388"/>
      <c r="I365" s="374"/>
      <c r="J365" s="374"/>
      <c r="K365" s="374"/>
      <c r="L365" s="374"/>
      <c r="M365" s="374"/>
      <c r="N365" s="374"/>
      <c r="O365" s="374"/>
      <c r="P365" s="374"/>
      <c r="Q365" s="374"/>
      <c r="R365" s="374"/>
      <c r="S365" s="374"/>
      <c r="T365" s="374"/>
      <c r="U365" s="374"/>
      <c r="V365" s="374"/>
      <c r="W365" s="374"/>
      <c r="X365" s="374"/>
      <c r="Y365" s="374"/>
      <c r="Z365" s="374"/>
    </row>
    <row r="366" ht="15.75" customHeight="1">
      <c r="A366" s="374"/>
      <c r="B366" s="374"/>
      <c r="C366" s="374"/>
      <c r="D366" s="374"/>
      <c r="E366" s="374"/>
      <c r="F366" s="374"/>
      <c r="G366" s="388"/>
      <c r="H366" s="388"/>
      <c r="I366" s="374"/>
      <c r="J366" s="374"/>
      <c r="K366" s="374"/>
      <c r="L366" s="374"/>
      <c r="M366" s="374"/>
      <c r="N366" s="374"/>
      <c r="O366" s="374"/>
      <c r="P366" s="374"/>
      <c r="Q366" s="374"/>
      <c r="R366" s="374"/>
      <c r="S366" s="374"/>
      <c r="T366" s="374"/>
      <c r="U366" s="374"/>
      <c r="V366" s="374"/>
      <c r="W366" s="374"/>
      <c r="X366" s="374"/>
      <c r="Y366" s="374"/>
      <c r="Z366" s="374"/>
    </row>
    <row r="367" ht="15.75" customHeight="1">
      <c r="A367" s="374"/>
      <c r="B367" s="374"/>
      <c r="C367" s="374"/>
      <c r="D367" s="374"/>
      <c r="E367" s="374"/>
      <c r="F367" s="374"/>
      <c r="G367" s="388"/>
      <c r="H367" s="388"/>
      <c r="I367" s="374"/>
      <c r="J367" s="374"/>
      <c r="K367" s="374"/>
      <c r="L367" s="374"/>
      <c r="M367" s="374"/>
      <c r="N367" s="374"/>
      <c r="O367" s="374"/>
      <c r="P367" s="374"/>
      <c r="Q367" s="374"/>
      <c r="R367" s="374"/>
      <c r="S367" s="374"/>
      <c r="T367" s="374"/>
      <c r="U367" s="374"/>
      <c r="V367" s="374"/>
      <c r="W367" s="374"/>
      <c r="X367" s="374"/>
      <c r="Y367" s="374"/>
      <c r="Z367" s="374"/>
    </row>
    <row r="368" ht="15.75" customHeight="1">
      <c r="A368" s="374"/>
      <c r="B368" s="374"/>
      <c r="C368" s="374"/>
      <c r="D368" s="374"/>
      <c r="E368" s="374"/>
      <c r="F368" s="374"/>
      <c r="G368" s="388"/>
      <c r="H368" s="388"/>
      <c r="I368" s="374"/>
      <c r="J368" s="374"/>
      <c r="K368" s="374"/>
      <c r="L368" s="374"/>
      <c r="M368" s="374"/>
      <c r="N368" s="374"/>
      <c r="O368" s="374"/>
      <c r="P368" s="374"/>
      <c r="Q368" s="374"/>
      <c r="R368" s="374"/>
      <c r="S368" s="374"/>
      <c r="T368" s="374"/>
      <c r="U368" s="374"/>
      <c r="V368" s="374"/>
      <c r="W368" s="374"/>
      <c r="X368" s="374"/>
      <c r="Y368" s="374"/>
      <c r="Z368" s="374"/>
    </row>
    <row r="369" ht="15.75" customHeight="1">
      <c r="A369" s="374"/>
      <c r="B369" s="374"/>
      <c r="C369" s="374"/>
      <c r="D369" s="374"/>
      <c r="E369" s="374"/>
      <c r="F369" s="374"/>
      <c r="G369" s="388"/>
      <c r="H369" s="388"/>
      <c r="I369" s="374"/>
      <c r="J369" s="374"/>
      <c r="K369" s="374"/>
      <c r="L369" s="374"/>
      <c r="M369" s="374"/>
      <c r="N369" s="374"/>
      <c r="O369" s="374"/>
      <c r="P369" s="374"/>
      <c r="Q369" s="374"/>
      <c r="R369" s="374"/>
      <c r="S369" s="374"/>
      <c r="T369" s="374"/>
      <c r="U369" s="374"/>
      <c r="V369" s="374"/>
      <c r="W369" s="374"/>
      <c r="X369" s="374"/>
      <c r="Y369" s="374"/>
      <c r="Z369" s="374"/>
    </row>
    <row r="370" ht="15.75" customHeight="1">
      <c r="A370" s="374"/>
      <c r="B370" s="374"/>
      <c r="C370" s="374"/>
      <c r="D370" s="374"/>
      <c r="E370" s="374"/>
      <c r="F370" s="374"/>
      <c r="G370" s="388"/>
      <c r="H370" s="388"/>
      <c r="I370" s="374"/>
      <c r="J370" s="374"/>
      <c r="K370" s="374"/>
      <c r="L370" s="374"/>
      <c r="M370" s="374"/>
      <c r="N370" s="374"/>
      <c r="O370" s="374"/>
      <c r="P370" s="374"/>
      <c r="Q370" s="374"/>
      <c r="R370" s="374"/>
      <c r="S370" s="374"/>
      <c r="T370" s="374"/>
      <c r="U370" s="374"/>
      <c r="V370" s="374"/>
      <c r="W370" s="374"/>
      <c r="X370" s="374"/>
      <c r="Y370" s="374"/>
      <c r="Z370" s="374"/>
    </row>
    <row r="371" ht="15.75" customHeight="1">
      <c r="A371" s="374"/>
      <c r="B371" s="374"/>
      <c r="C371" s="374"/>
      <c r="D371" s="374"/>
      <c r="E371" s="374"/>
      <c r="F371" s="374"/>
      <c r="G371" s="388"/>
      <c r="H371" s="388"/>
      <c r="I371" s="374"/>
      <c r="J371" s="374"/>
      <c r="K371" s="374"/>
      <c r="L371" s="374"/>
      <c r="M371" s="374"/>
      <c r="N371" s="374"/>
      <c r="O371" s="374"/>
      <c r="P371" s="374"/>
      <c r="Q371" s="374"/>
      <c r="R371" s="374"/>
      <c r="S371" s="374"/>
      <c r="T371" s="374"/>
      <c r="U371" s="374"/>
      <c r="V371" s="374"/>
      <c r="W371" s="374"/>
      <c r="X371" s="374"/>
      <c r="Y371" s="374"/>
      <c r="Z371" s="374"/>
    </row>
    <row r="372" ht="15.75" customHeight="1">
      <c r="A372" s="374"/>
      <c r="B372" s="374"/>
      <c r="C372" s="374"/>
      <c r="D372" s="374"/>
      <c r="E372" s="374"/>
      <c r="F372" s="374"/>
      <c r="G372" s="388"/>
      <c r="H372" s="388"/>
      <c r="I372" s="374"/>
      <c r="J372" s="374"/>
      <c r="K372" s="374"/>
      <c r="L372" s="374"/>
      <c r="M372" s="374"/>
      <c r="N372" s="374"/>
      <c r="O372" s="374"/>
      <c r="P372" s="374"/>
      <c r="Q372" s="374"/>
      <c r="R372" s="374"/>
      <c r="S372" s="374"/>
      <c r="T372" s="374"/>
      <c r="U372" s="374"/>
      <c r="V372" s="374"/>
      <c r="W372" s="374"/>
      <c r="X372" s="374"/>
      <c r="Y372" s="374"/>
      <c r="Z372" s="374"/>
    </row>
    <row r="373" ht="15.75" customHeight="1">
      <c r="A373" s="374"/>
      <c r="B373" s="374"/>
      <c r="C373" s="374"/>
      <c r="D373" s="374"/>
      <c r="E373" s="374"/>
      <c r="F373" s="374"/>
      <c r="G373" s="388"/>
      <c r="H373" s="388"/>
      <c r="I373" s="374"/>
      <c r="J373" s="374"/>
      <c r="K373" s="374"/>
      <c r="L373" s="374"/>
      <c r="M373" s="374"/>
      <c r="N373" s="374"/>
      <c r="O373" s="374"/>
      <c r="P373" s="374"/>
      <c r="Q373" s="374"/>
      <c r="R373" s="374"/>
      <c r="S373" s="374"/>
      <c r="T373" s="374"/>
      <c r="U373" s="374"/>
      <c r="V373" s="374"/>
      <c r="W373" s="374"/>
      <c r="X373" s="374"/>
      <c r="Y373" s="374"/>
      <c r="Z373" s="374"/>
    </row>
    <row r="374" ht="15.75" customHeight="1">
      <c r="A374" s="374"/>
      <c r="B374" s="374"/>
      <c r="C374" s="374"/>
      <c r="D374" s="374"/>
      <c r="E374" s="374"/>
      <c r="F374" s="374"/>
      <c r="G374" s="388"/>
      <c r="H374" s="388"/>
      <c r="I374" s="374"/>
      <c r="J374" s="374"/>
      <c r="K374" s="374"/>
      <c r="L374" s="374"/>
      <c r="M374" s="374"/>
      <c r="N374" s="374"/>
      <c r="O374" s="374"/>
      <c r="P374" s="374"/>
      <c r="Q374" s="374"/>
      <c r="R374" s="374"/>
      <c r="S374" s="374"/>
      <c r="T374" s="374"/>
      <c r="U374" s="374"/>
      <c r="V374" s="374"/>
      <c r="W374" s="374"/>
      <c r="X374" s="374"/>
      <c r="Y374" s="374"/>
      <c r="Z374" s="374"/>
    </row>
    <row r="375" ht="15.75" customHeight="1">
      <c r="A375" s="374"/>
      <c r="B375" s="374"/>
      <c r="C375" s="374"/>
      <c r="D375" s="374"/>
      <c r="E375" s="374"/>
      <c r="F375" s="374"/>
      <c r="G375" s="388"/>
      <c r="H375" s="388"/>
      <c r="I375" s="374"/>
      <c r="J375" s="374"/>
      <c r="K375" s="374"/>
      <c r="L375" s="374"/>
      <c r="M375" s="374"/>
      <c r="N375" s="374"/>
      <c r="O375" s="374"/>
      <c r="P375" s="374"/>
      <c r="Q375" s="374"/>
      <c r="R375" s="374"/>
      <c r="S375" s="374"/>
      <c r="T375" s="374"/>
      <c r="U375" s="374"/>
      <c r="V375" s="374"/>
      <c r="W375" s="374"/>
      <c r="X375" s="374"/>
      <c r="Y375" s="374"/>
      <c r="Z375" s="374"/>
    </row>
    <row r="376" ht="15.75" customHeight="1">
      <c r="A376" s="374"/>
      <c r="B376" s="374"/>
      <c r="C376" s="374"/>
      <c r="D376" s="374"/>
      <c r="E376" s="374"/>
      <c r="F376" s="374"/>
      <c r="G376" s="388"/>
      <c r="H376" s="388"/>
      <c r="I376" s="374"/>
      <c r="J376" s="374"/>
      <c r="K376" s="374"/>
      <c r="L376" s="374"/>
      <c r="M376" s="374"/>
      <c r="N376" s="374"/>
      <c r="O376" s="374"/>
      <c r="P376" s="374"/>
      <c r="Q376" s="374"/>
      <c r="R376" s="374"/>
      <c r="S376" s="374"/>
      <c r="T376" s="374"/>
      <c r="U376" s="374"/>
      <c r="V376" s="374"/>
      <c r="W376" s="374"/>
      <c r="X376" s="374"/>
      <c r="Y376" s="374"/>
      <c r="Z376" s="374"/>
    </row>
    <row r="377" ht="15.75" customHeight="1">
      <c r="A377" s="374"/>
      <c r="B377" s="374"/>
      <c r="C377" s="374"/>
      <c r="D377" s="374"/>
      <c r="E377" s="374"/>
      <c r="F377" s="374"/>
      <c r="G377" s="388"/>
      <c r="H377" s="388"/>
      <c r="I377" s="374"/>
      <c r="J377" s="374"/>
      <c r="K377" s="374"/>
      <c r="L377" s="374"/>
      <c r="M377" s="374"/>
      <c r="N377" s="374"/>
      <c r="O377" s="374"/>
      <c r="P377" s="374"/>
      <c r="Q377" s="374"/>
      <c r="R377" s="374"/>
      <c r="S377" s="374"/>
      <c r="T377" s="374"/>
      <c r="U377" s="374"/>
      <c r="V377" s="374"/>
      <c r="W377" s="374"/>
      <c r="X377" s="374"/>
      <c r="Y377" s="374"/>
      <c r="Z377" s="374"/>
    </row>
    <row r="378" ht="15.75" customHeight="1">
      <c r="A378" s="374"/>
      <c r="B378" s="374"/>
      <c r="C378" s="374"/>
      <c r="D378" s="374"/>
      <c r="E378" s="374"/>
      <c r="F378" s="374"/>
      <c r="G378" s="388"/>
      <c r="H378" s="388"/>
      <c r="I378" s="374"/>
      <c r="J378" s="374"/>
      <c r="K378" s="374"/>
      <c r="L378" s="374"/>
      <c r="M378" s="374"/>
      <c r="N378" s="374"/>
      <c r="O378" s="374"/>
      <c r="P378" s="374"/>
      <c r="Q378" s="374"/>
      <c r="R378" s="374"/>
      <c r="S378" s="374"/>
      <c r="T378" s="374"/>
      <c r="U378" s="374"/>
      <c r="V378" s="374"/>
      <c r="W378" s="374"/>
      <c r="X378" s="374"/>
      <c r="Y378" s="374"/>
      <c r="Z378" s="374"/>
    </row>
    <row r="379" ht="15.75" customHeight="1">
      <c r="A379" s="374"/>
      <c r="B379" s="374"/>
      <c r="C379" s="374"/>
      <c r="D379" s="374"/>
      <c r="E379" s="374"/>
      <c r="F379" s="374"/>
      <c r="G379" s="388"/>
      <c r="H379" s="388"/>
      <c r="I379" s="374"/>
      <c r="J379" s="374"/>
      <c r="K379" s="374"/>
      <c r="L379" s="374"/>
      <c r="M379" s="374"/>
      <c r="N379" s="374"/>
      <c r="O379" s="374"/>
      <c r="P379" s="374"/>
      <c r="Q379" s="374"/>
      <c r="R379" s="374"/>
      <c r="S379" s="374"/>
      <c r="T379" s="374"/>
      <c r="U379" s="374"/>
      <c r="V379" s="374"/>
      <c r="W379" s="374"/>
      <c r="X379" s="374"/>
      <c r="Y379" s="374"/>
      <c r="Z379" s="374"/>
    </row>
    <row r="380" ht="15.75" customHeight="1">
      <c r="A380" s="374"/>
      <c r="B380" s="374"/>
      <c r="C380" s="374"/>
      <c r="D380" s="374"/>
      <c r="E380" s="374"/>
      <c r="F380" s="374"/>
      <c r="G380" s="388"/>
      <c r="H380" s="388"/>
      <c r="I380" s="374"/>
      <c r="J380" s="374"/>
      <c r="K380" s="374"/>
      <c r="L380" s="374"/>
      <c r="M380" s="374"/>
      <c r="N380" s="374"/>
      <c r="O380" s="374"/>
      <c r="P380" s="374"/>
      <c r="Q380" s="374"/>
      <c r="R380" s="374"/>
      <c r="S380" s="374"/>
      <c r="T380" s="374"/>
      <c r="U380" s="374"/>
      <c r="V380" s="374"/>
      <c r="W380" s="374"/>
      <c r="X380" s="374"/>
      <c r="Y380" s="374"/>
      <c r="Z380" s="374"/>
    </row>
    <row r="381" ht="15.75" customHeight="1">
      <c r="A381" s="374"/>
      <c r="B381" s="374"/>
      <c r="C381" s="374"/>
      <c r="D381" s="374"/>
      <c r="E381" s="374"/>
      <c r="F381" s="374"/>
      <c r="G381" s="388"/>
      <c r="H381" s="388"/>
      <c r="I381" s="374"/>
      <c r="J381" s="374"/>
      <c r="K381" s="374"/>
      <c r="L381" s="374"/>
      <c r="M381" s="374"/>
      <c r="N381" s="374"/>
      <c r="O381" s="374"/>
      <c r="P381" s="374"/>
      <c r="Q381" s="374"/>
      <c r="R381" s="374"/>
      <c r="S381" s="374"/>
      <c r="T381" s="374"/>
      <c r="U381" s="374"/>
      <c r="V381" s="374"/>
      <c r="W381" s="374"/>
      <c r="X381" s="374"/>
      <c r="Y381" s="374"/>
      <c r="Z381" s="374"/>
    </row>
    <row r="382" ht="15.75" customHeight="1">
      <c r="A382" s="374"/>
      <c r="B382" s="374"/>
      <c r="C382" s="374"/>
      <c r="D382" s="374"/>
      <c r="E382" s="374"/>
      <c r="F382" s="374"/>
      <c r="G382" s="388"/>
      <c r="H382" s="388"/>
      <c r="I382" s="374"/>
      <c r="J382" s="374"/>
      <c r="K382" s="374"/>
      <c r="L382" s="374"/>
      <c r="M382" s="374"/>
      <c r="N382" s="374"/>
      <c r="O382" s="374"/>
      <c r="P382" s="374"/>
      <c r="Q382" s="374"/>
      <c r="R382" s="374"/>
      <c r="S382" s="374"/>
      <c r="T382" s="374"/>
      <c r="U382" s="374"/>
      <c r="V382" s="374"/>
      <c r="W382" s="374"/>
      <c r="X382" s="374"/>
      <c r="Y382" s="374"/>
      <c r="Z382" s="374"/>
    </row>
    <row r="383" ht="15.75" customHeight="1">
      <c r="A383" s="374"/>
      <c r="B383" s="374"/>
      <c r="C383" s="374"/>
      <c r="D383" s="374"/>
      <c r="E383" s="374"/>
      <c r="F383" s="374"/>
      <c r="G383" s="388"/>
      <c r="H383" s="388"/>
      <c r="I383" s="374"/>
      <c r="J383" s="374"/>
      <c r="K383" s="374"/>
      <c r="L383" s="374"/>
      <c r="M383" s="374"/>
      <c r="N383" s="374"/>
      <c r="O383" s="374"/>
      <c r="P383" s="374"/>
      <c r="Q383" s="374"/>
      <c r="R383" s="374"/>
      <c r="S383" s="374"/>
      <c r="T383" s="374"/>
      <c r="U383" s="374"/>
      <c r="V383" s="374"/>
      <c r="W383" s="374"/>
      <c r="X383" s="374"/>
      <c r="Y383" s="374"/>
      <c r="Z383" s="374"/>
    </row>
    <row r="384" ht="15.75" customHeight="1">
      <c r="A384" s="374"/>
      <c r="B384" s="374"/>
      <c r="C384" s="374"/>
      <c r="D384" s="374"/>
      <c r="E384" s="374"/>
      <c r="F384" s="374"/>
      <c r="G384" s="388"/>
      <c r="H384" s="388"/>
      <c r="I384" s="374"/>
      <c r="J384" s="374"/>
      <c r="K384" s="374"/>
      <c r="L384" s="374"/>
      <c r="M384" s="374"/>
      <c r="N384" s="374"/>
      <c r="O384" s="374"/>
      <c r="P384" s="374"/>
      <c r="Q384" s="374"/>
      <c r="R384" s="374"/>
      <c r="S384" s="374"/>
      <c r="T384" s="374"/>
      <c r="U384" s="374"/>
      <c r="V384" s="374"/>
      <c r="W384" s="374"/>
      <c r="X384" s="374"/>
      <c r="Y384" s="374"/>
      <c r="Z384" s="374"/>
    </row>
    <row r="385" ht="15.75" customHeight="1">
      <c r="A385" s="374"/>
      <c r="B385" s="374"/>
      <c r="C385" s="374"/>
      <c r="D385" s="374"/>
      <c r="E385" s="374"/>
      <c r="F385" s="374"/>
      <c r="G385" s="388"/>
      <c r="H385" s="388"/>
      <c r="I385" s="374"/>
      <c r="J385" s="374"/>
      <c r="K385" s="374"/>
      <c r="L385" s="374"/>
      <c r="M385" s="374"/>
      <c r="N385" s="374"/>
      <c r="O385" s="374"/>
      <c r="P385" s="374"/>
      <c r="Q385" s="374"/>
      <c r="R385" s="374"/>
      <c r="S385" s="374"/>
      <c r="T385" s="374"/>
      <c r="U385" s="374"/>
      <c r="V385" s="374"/>
      <c r="W385" s="374"/>
      <c r="X385" s="374"/>
      <c r="Y385" s="374"/>
      <c r="Z385" s="374"/>
    </row>
    <row r="386" ht="15.75" customHeight="1">
      <c r="A386" s="374"/>
      <c r="B386" s="374"/>
      <c r="C386" s="374"/>
      <c r="D386" s="374"/>
      <c r="E386" s="374"/>
      <c r="F386" s="374"/>
      <c r="G386" s="388"/>
      <c r="H386" s="388"/>
      <c r="I386" s="374"/>
      <c r="J386" s="374"/>
      <c r="K386" s="374"/>
      <c r="L386" s="374"/>
      <c r="M386" s="374"/>
      <c r="N386" s="374"/>
      <c r="O386" s="374"/>
      <c r="P386" s="374"/>
      <c r="Q386" s="374"/>
      <c r="R386" s="374"/>
      <c r="S386" s="374"/>
      <c r="T386" s="374"/>
      <c r="U386" s="374"/>
      <c r="V386" s="374"/>
      <c r="W386" s="374"/>
      <c r="X386" s="374"/>
      <c r="Y386" s="374"/>
      <c r="Z386" s="374"/>
    </row>
    <row r="387" ht="15.75" customHeight="1">
      <c r="A387" s="374"/>
      <c r="B387" s="374"/>
      <c r="C387" s="374"/>
      <c r="D387" s="374"/>
      <c r="E387" s="374"/>
      <c r="F387" s="374"/>
      <c r="G387" s="388"/>
      <c r="H387" s="388"/>
      <c r="I387" s="374"/>
      <c r="J387" s="374"/>
      <c r="K387" s="374"/>
      <c r="L387" s="374"/>
      <c r="M387" s="374"/>
      <c r="N387" s="374"/>
      <c r="O387" s="374"/>
      <c r="P387" s="374"/>
      <c r="Q387" s="374"/>
      <c r="R387" s="374"/>
      <c r="S387" s="374"/>
      <c r="T387" s="374"/>
      <c r="U387" s="374"/>
      <c r="V387" s="374"/>
      <c r="W387" s="374"/>
      <c r="X387" s="374"/>
      <c r="Y387" s="374"/>
      <c r="Z387" s="374"/>
    </row>
    <row r="388" ht="15.75" customHeight="1">
      <c r="A388" s="374"/>
      <c r="B388" s="374"/>
      <c r="C388" s="374"/>
      <c r="D388" s="374"/>
      <c r="E388" s="374"/>
      <c r="F388" s="374"/>
      <c r="G388" s="388"/>
      <c r="H388" s="388"/>
      <c r="I388" s="374"/>
      <c r="J388" s="374"/>
      <c r="K388" s="374"/>
      <c r="L388" s="374"/>
      <c r="M388" s="374"/>
      <c r="N388" s="374"/>
      <c r="O388" s="374"/>
      <c r="P388" s="374"/>
      <c r="Q388" s="374"/>
      <c r="R388" s="374"/>
      <c r="S388" s="374"/>
      <c r="T388" s="374"/>
      <c r="U388" s="374"/>
      <c r="V388" s="374"/>
      <c r="W388" s="374"/>
      <c r="X388" s="374"/>
      <c r="Y388" s="374"/>
      <c r="Z388" s="374"/>
    </row>
    <row r="389" ht="15.75" customHeight="1">
      <c r="A389" s="374"/>
      <c r="B389" s="374"/>
      <c r="C389" s="374"/>
      <c r="D389" s="374"/>
      <c r="E389" s="374"/>
      <c r="F389" s="374"/>
      <c r="G389" s="388"/>
      <c r="H389" s="388"/>
      <c r="I389" s="374"/>
      <c r="J389" s="374"/>
      <c r="K389" s="374"/>
      <c r="L389" s="374"/>
      <c r="M389" s="374"/>
      <c r="N389" s="374"/>
      <c r="O389" s="374"/>
      <c r="P389" s="374"/>
      <c r="Q389" s="374"/>
      <c r="R389" s="374"/>
      <c r="S389" s="374"/>
      <c r="T389" s="374"/>
      <c r="U389" s="374"/>
      <c r="V389" s="374"/>
      <c r="W389" s="374"/>
      <c r="X389" s="374"/>
      <c r="Y389" s="374"/>
      <c r="Z389" s="374"/>
    </row>
    <row r="390" ht="15.75" customHeight="1">
      <c r="A390" s="374"/>
      <c r="B390" s="374"/>
      <c r="C390" s="374"/>
      <c r="D390" s="374"/>
      <c r="E390" s="374"/>
      <c r="F390" s="374"/>
      <c r="G390" s="388"/>
      <c r="H390" s="388"/>
      <c r="I390" s="374"/>
      <c r="J390" s="374"/>
      <c r="K390" s="374"/>
      <c r="L390" s="374"/>
      <c r="M390" s="374"/>
      <c r="N390" s="374"/>
      <c r="O390" s="374"/>
      <c r="P390" s="374"/>
      <c r="Q390" s="374"/>
      <c r="R390" s="374"/>
      <c r="S390" s="374"/>
      <c r="T390" s="374"/>
      <c r="U390" s="374"/>
      <c r="V390" s="374"/>
      <c r="W390" s="374"/>
      <c r="X390" s="374"/>
      <c r="Y390" s="374"/>
      <c r="Z390" s="374"/>
    </row>
    <row r="391" ht="15.75" customHeight="1">
      <c r="A391" s="374"/>
      <c r="B391" s="374"/>
      <c r="C391" s="374"/>
      <c r="D391" s="374"/>
      <c r="E391" s="374"/>
      <c r="F391" s="374"/>
      <c r="G391" s="388"/>
      <c r="H391" s="388"/>
      <c r="I391" s="374"/>
      <c r="J391" s="374"/>
      <c r="K391" s="374"/>
      <c r="L391" s="374"/>
      <c r="M391" s="374"/>
      <c r="N391" s="374"/>
      <c r="O391" s="374"/>
      <c r="P391" s="374"/>
      <c r="Q391" s="374"/>
      <c r="R391" s="374"/>
      <c r="S391" s="374"/>
      <c r="T391" s="374"/>
      <c r="U391" s="374"/>
      <c r="V391" s="374"/>
      <c r="W391" s="374"/>
      <c r="X391" s="374"/>
      <c r="Y391" s="374"/>
      <c r="Z391" s="374"/>
    </row>
    <row r="392" ht="15.75" customHeight="1">
      <c r="A392" s="374"/>
      <c r="B392" s="374"/>
      <c r="C392" s="374"/>
      <c r="D392" s="374"/>
      <c r="E392" s="374"/>
      <c r="F392" s="374"/>
      <c r="G392" s="388"/>
      <c r="H392" s="388"/>
      <c r="I392" s="374"/>
      <c r="J392" s="374"/>
      <c r="K392" s="374"/>
      <c r="L392" s="374"/>
      <c r="M392" s="374"/>
      <c r="N392" s="374"/>
      <c r="O392" s="374"/>
      <c r="P392" s="374"/>
      <c r="Q392" s="374"/>
      <c r="R392" s="374"/>
      <c r="S392" s="374"/>
      <c r="T392" s="374"/>
      <c r="U392" s="374"/>
      <c r="V392" s="374"/>
      <c r="W392" s="374"/>
      <c r="X392" s="374"/>
      <c r="Y392" s="374"/>
      <c r="Z392" s="374"/>
    </row>
    <row r="393" ht="15.75" customHeight="1">
      <c r="A393" s="374"/>
      <c r="B393" s="374"/>
      <c r="C393" s="374"/>
      <c r="D393" s="374"/>
      <c r="E393" s="374"/>
      <c r="F393" s="374"/>
      <c r="G393" s="388"/>
      <c r="H393" s="388"/>
      <c r="I393" s="374"/>
      <c r="J393" s="374"/>
      <c r="K393" s="374"/>
      <c r="L393" s="374"/>
      <c r="M393" s="374"/>
      <c r="N393" s="374"/>
      <c r="O393" s="374"/>
      <c r="P393" s="374"/>
      <c r="Q393" s="374"/>
      <c r="R393" s="374"/>
      <c r="S393" s="374"/>
      <c r="T393" s="374"/>
      <c r="U393" s="374"/>
      <c r="V393" s="374"/>
      <c r="W393" s="374"/>
      <c r="X393" s="374"/>
      <c r="Y393" s="374"/>
      <c r="Z393" s="374"/>
    </row>
    <row r="394" ht="15.75" customHeight="1">
      <c r="A394" s="374"/>
      <c r="B394" s="374"/>
      <c r="C394" s="374"/>
      <c r="D394" s="374"/>
      <c r="E394" s="374"/>
      <c r="F394" s="374"/>
      <c r="G394" s="388"/>
      <c r="H394" s="388"/>
      <c r="I394" s="374"/>
      <c r="J394" s="374"/>
      <c r="K394" s="374"/>
      <c r="L394" s="374"/>
      <c r="M394" s="374"/>
      <c r="N394" s="374"/>
      <c r="O394" s="374"/>
      <c r="P394" s="374"/>
      <c r="Q394" s="374"/>
      <c r="R394" s="374"/>
      <c r="S394" s="374"/>
      <c r="T394" s="374"/>
      <c r="U394" s="374"/>
      <c r="V394" s="374"/>
      <c r="W394" s="374"/>
      <c r="X394" s="374"/>
      <c r="Y394" s="374"/>
      <c r="Z394" s="374"/>
    </row>
    <row r="395" ht="15.75" customHeight="1">
      <c r="A395" s="374"/>
      <c r="B395" s="374"/>
      <c r="C395" s="374"/>
      <c r="D395" s="374"/>
      <c r="E395" s="374"/>
      <c r="F395" s="374"/>
      <c r="G395" s="388"/>
      <c r="H395" s="388"/>
      <c r="I395" s="374"/>
      <c r="J395" s="374"/>
      <c r="K395" s="374"/>
      <c r="L395" s="374"/>
      <c r="M395" s="374"/>
      <c r="N395" s="374"/>
      <c r="O395" s="374"/>
      <c r="P395" s="374"/>
      <c r="Q395" s="374"/>
      <c r="R395" s="374"/>
      <c r="S395" s="374"/>
      <c r="T395" s="374"/>
      <c r="U395" s="374"/>
      <c r="V395" s="374"/>
      <c r="W395" s="374"/>
      <c r="X395" s="374"/>
      <c r="Y395" s="374"/>
      <c r="Z395" s="374"/>
    </row>
    <row r="396" ht="15.75" customHeight="1">
      <c r="A396" s="374"/>
      <c r="B396" s="374"/>
      <c r="C396" s="374"/>
      <c r="D396" s="374"/>
      <c r="E396" s="374"/>
      <c r="F396" s="374"/>
      <c r="G396" s="388"/>
      <c r="H396" s="388"/>
      <c r="I396" s="374"/>
      <c r="J396" s="374"/>
      <c r="K396" s="374"/>
      <c r="L396" s="374"/>
      <c r="M396" s="374"/>
      <c r="N396" s="374"/>
      <c r="O396" s="374"/>
      <c r="P396" s="374"/>
      <c r="Q396" s="374"/>
      <c r="R396" s="374"/>
      <c r="S396" s="374"/>
      <c r="T396" s="374"/>
      <c r="U396" s="374"/>
      <c r="V396" s="374"/>
      <c r="W396" s="374"/>
      <c r="X396" s="374"/>
      <c r="Y396" s="374"/>
      <c r="Z396" s="374"/>
    </row>
    <row r="397" ht="15.75" customHeight="1">
      <c r="A397" s="374"/>
      <c r="B397" s="374"/>
      <c r="C397" s="374"/>
      <c r="D397" s="374"/>
      <c r="E397" s="374"/>
      <c r="F397" s="374"/>
      <c r="G397" s="388"/>
      <c r="H397" s="388"/>
      <c r="I397" s="374"/>
      <c r="J397" s="374"/>
      <c r="K397" s="374"/>
      <c r="L397" s="374"/>
      <c r="M397" s="374"/>
      <c r="N397" s="374"/>
      <c r="O397" s="374"/>
      <c r="P397" s="374"/>
      <c r="Q397" s="374"/>
      <c r="R397" s="374"/>
      <c r="S397" s="374"/>
      <c r="T397" s="374"/>
      <c r="U397" s="374"/>
      <c r="V397" s="374"/>
      <c r="W397" s="374"/>
      <c r="X397" s="374"/>
      <c r="Y397" s="374"/>
      <c r="Z397" s="374"/>
    </row>
    <row r="398" ht="15.75" customHeight="1">
      <c r="A398" s="374"/>
      <c r="B398" s="374"/>
      <c r="C398" s="374"/>
      <c r="D398" s="374"/>
      <c r="E398" s="374"/>
      <c r="F398" s="374"/>
      <c r="G398" s="388"/>
      <c r="H398" s="388"/>
      <c r="I398" s="374"/>
      <c r="J398" s="374"/>
      <c r="K398" s="374"/>
      <c r="L398" s="374"/>
      <c r="M398" s="374"/>
      <c r="N398" s="374"/>
      <c r="O398" s="374"/>
      <c r="P398" s="374"/>
      <c r="Q398" s="374"/>
      <c r="R398" s="374"/>
      <c r="S398" s="374"/>
      <c r="T398" s="374"/>
      <c r="U398" s="374"/>
      <c r="V398" s="374"/>
      <c r="W398" s="374"/>
      <c r="X398" s="374"/>
      <c r="Y398" s="374"/>
      <c r="Z398" s="374"/>
    </row>
    <row r="399" ht="15.75" customHeight="1">
      <c r="A399" s="374"/>
      <c r="B399" s="374"/>
      <c r="C399" s="374"/>
      <c r="D399" s="374"/>
      <c r="E399" s="374"/>
      <c r="F399" s="374"/>
      <c r="G399" s="388"/>
      <c r="H399" s="388"/>
      <c r="I399" s="374"/>
      <c r="J399" s="374"/>
      <c r="K399" s="374"/>
      <c r="L399" s="374"/>
      <c r="M399" s="374"/>
      <c r="N399" s="374"/>
      <c r="O399" s="374"/>
      <c r="P399" s="374"/>
      <c r="Q399" s="374"/>
      <c r="R399" s="374"/>
      <c r="S399" s="374"/>
      <c r="T399" s="374"/>
      <c r="U399" s="374"/>
      <c r="V399" s="374"/>
      <c r="W399" s="374"/>
      <c r="X399" s="374"/>
      <c r="Y399" s="374"/>
      <c r="Z399" s="374"/>
    </row>
    <row r="400" ht="15.75" customHeight="1">
      <c r="A400" s="374"/>
      <c r="B400" s="374"/>
      <c r="C400" s="374"/>
      <c r="D400" s="374"/>
      <c r="E400" s="374"/>
      <c r="F400" s="374"/>
      <c r="G400" s="388"/>
      <c r="H400" s="388"/>
      <c r="I400" s="374"/>
      <c r="J400" s="374"/>
      <c r="K400" s="374"/>
      <c r="L400" s="374"/>
      <c r="M400" s="374"/>
      <c r="N400" s="374"/>
      <c r="O400" s="374"/>
      <c r="P400" s="374"/>
      <c r="Q400" s="374"/>
      <c r="R400" s="374"/>
      <c r="S400" s="374"/>
      <c r="T400" s="374"/>
      <c r="U400" s="374"/>
      <c r="V400" s="374"/>
      <c r="W400" s="374"/>
      <c r="X400" s="374"/>
      <c r="Y400" s="374"/>
      <c r="Z400" s="374"/>
    </row>
    <row r="401" ht="15.75" customHeight="1">
      <c r="A401" s="374"/>
      <c r="B401" s="374"/>
      <c r="C401" s="374"/>
      <c r="D401" s="374"/>
      <c r="E401" s="374"/>
      <c r="F401" s="374"/>
      <c r="G401" s="388"/>
      <c r="H401" s="388"/>
      <c r="I401" s="374"/>
      <c r="J401" s="374"/>
      <c r="K401" s="374"/>
      <c r="L401" s="374"/>
      <c r="M401" s="374"/>
      <c r="N401" s="374"/>
      <c r="O401" s="374"/>
      <c r="P401" s="374"/>
      <c r="Q401" s="374"/>
      <c r="R401" s="374"/>
      <c r="S401" s="374"/>
      <c r="T401" s="374"/>
      <c r="U401" s="374"/>
      <c r="V401" s="374"/>
      <c r="W401" s="374"/>
      <c r="X401" s="374"/>
      <c r="Y401" s="374"/>
      <c r="Z401" s="374"/>
    </row>
    <row r="402" ht="15.75" customHeight="1">
      <c r="A402" s="374"/>
      <c r="B402" s="374"/>
      <c r="C402" s="374"/>
      <c r="D402" s="374"/>
      <c r="E402" s="374"/>
      <c r="F402" s="374"/>
      <c r="G402" s="388"/>
      <c r="H402" s="388"/>
      <c r="I402" s="374"/>
      <c r="J402" s="374"/>
      <c r="K402" s="374"/>
      <c r="L402" s="374"/>
      <c r="M402" s="374"/>
      <c r="N402" s="374"/>
      <c r="O402" s="374"/>
      <c r="P402" s="374"/>
      <c r="Q402" s="374"/>
      <c r="R402" s="374"/>
      <c r="S402" s="374"/>
      <c r="T402" s="374"/>
      <c r="U402" s="374"/>
      <c r="V402" s="374"/>
      <c r="W402" s="374"/>
      <c r="X402" s="374"/>
      <c r="Y402" s="374"/>
      <c r="Z402" s="374"/>
    </row>
    <row r="403" ht="15.75" customHeight="1">
      <c r="A403" s="374"/>
      <c r="B403" s="374"/>
      <c r="C403" s="374"/>
      <c r="D403" s="374"/>
      <c r="E403" s="374"/>
      <c r="F403" s="374"/>
      <c r="G403" s="388"/>
      <c r="H403" s="388"/>
      <c r="I403" s="374"/>
      <c r="J403" s="374"/>
      <c r="K403" s="374"/>
      <c r="L403" s="374"/>
      <c r="M403" s="374"/>
      <c r="N403" s="374"/>
      <c r="O403" s="374"/>
      <c r="P403" s="374"/>
      <c r="Q403" s="374"/>
      <c r="R403" s="374"/>
      <c r="S403" s="374"/>
      <c r="T403" s="374"/>
      <c r="U403" s="374"/>
      <c r="V403" s="374"/>
      <c r="W403" s="374"/>
      <c r="X403" s="374"/>
      <c r="Y403" s="374"/>
      <c r="Z403" s="374"/>
    </row>
    <row r="404" ht="15.75" customHeight="1">
      <c r="A404" s="374"/>
      <c r="B404" s="374"/>
      <c r="C404" s="374"/>
      <c r="D404" s="374"/>
      <c r="E404" s="374"/>
      <c r="F404" s="374"/>
      <c r="G404" s="388"/>
      <c r="H404" s="388"/>
      <c r="I404" s="374"/>
      <c r="J404" s="374"/>
      <c r="K404" s="374"/>
      <c r="L404" s="374"/>
      <c r="M404" s="374"/>
      <c r="N404" s="374"/>
      <c r="O404" s="374"/>
      <c r="P404" s="374"/>
      <c r="Q404" s="374"/>
      <c r="R404" s="374"/>
      <c r="S404" s="374"/>
      <c r="T404" s="374"/>
      <c r="U404" s="374"/>
      <c r="V404" s="374"/>
      <c r="W404" s="374"/>
      <c r="X404" s="374"/>
      <c r="Y404" s="374"/>
      <c r="Z404" s="374"/>
    </row>
    <row r="405" ht="15.75" customHeight="1">
      <c r="A405" s="374"/>
      <c r="B405" s="374"/>
      <c r="C405" s="374"/>
      <c r="D405" s="374"/>
      <c r="E405" s="374"/>
      <c r="F405" s="374"/>
      <c r="G405" s="388"/>
      <c r="H405" s="388"/>
      <c r="I405" s="374"/>
      <c r="J405" s="374"/>
      <c r="K405" s="374"/>
      <c r="L405" s="374"/>
      <c r="M405" s="374"/>
      <c r="N405" s="374"/>
      <c r="O405" s="374"/>
      <c r="P405" s="374"/>
      <c r="Q405" s="374"/>
      <c r="R405" s="374"/>
      <c r="S405" s="374"/>
      <c r="T405" s="374"/>
      <c r="U405" s="374"/>
      <c r="V405" s="374"/>
      <c r="W405" s="374"/>
      <c r="X405" s="374"/>
      <c r="Y405" s="374"/>
      <c r="Z405" s="374"/>
    </row>
    <row r="406" ht="15.75" customHeight="1">
      <c r="A406" s="374"/>
      <c r="B406" s="374"/>
      <c r="C406" s="374"/>
      <c r="D406" s="374"/>
      <c r="E406" s="374"/>
      <c r="F406" s="374"/>
      <c r="G406" s="388"/>
      <c r="H406" s="388"/>
      <c r="I406" s="374"/>
      <c r="J406" s="374"/>
      <c r="K406" s="374"/>
      <c r="L406" s="374"/>
      <c r="M406" s="374"/>
      <c r="N406" s="374"/>
      <c r="O406" s="374"/>
      <c r="P406" s="374"/>
      <c r="Q406" s="374"/>
      <c r="R406" s="374"/>
      <c r="S406" s="374"/>
      <c r="T406" s="374"/>
      <c r="U406" s="374"/>
      <c r="V406" s="374"/>
      <c r="W406" s="374"/>
      <c r="X406" s="374"/>
      <c r="Y406" s="374"/>
      <c r="Z406" s="374"/>
    </row>
    <row r="407" ht="15.75" customHeight="1">
      <c r="A407" s="374"/>
      <c r="B407" s="374"/>
      <c r="C407" s="374"/>
      <c r="D407" s="374"/>
      <c r="E407" s="374"/>
      <c r="F407" s="374"/>
      <c r="G407" s="388"/>
      <c r="H407" s="388"/>
      <c r="I407" s="374"/>
      <c r="J407" s="374"/>
      <c r="K407" s="374"/>
      <c r="L407" s="374"/>
      <c r="M407" s="374"/>
      <c r="N407" s="374"/>
      <c r="O407" s="374"/>
      <c r="P407" s="374"/>
      <c r="Q407" s="374"/>
      <c r="R407" s="374"/>
      <c r="S407" s="374"/>
      <c r="T407" s="374"/>
      <c r="U407" s="374"/>
      <c r="V407" s="374"/>
      <c r="W407" s="374"/>
      <c r="X407" s="374"/>
      <c r="Y407" s="374"/>
      <c r="Z407" s="374"/>
    </row>
    <row r="408" ht="15.75" customHeight="1">
      <c r="A408" s="374"/>
      <c r="B408" s="374"/>
      <c r="C408" s="374"/>
      <c r="D408" s="374"/>
      <c r="E408" s="374"/>
      <c r="F408" s="374"/>
      <c r="G408" s="388"/>
      <c r="H408" s="388"/>
      <c r="I408" s="374"/>
      <c r="J408" s="374"/>
      <c r="K408" s="374"/>
      <c r="L408" s="374"/>
      <c r="M408" s="374"/>
      <c r="N408" s="374"/>
      <c r="O408" s="374"/>
      <c r="P408" s="374"/>
      <c r="Q408" s="374"/>
      <c r="R408" s="374"/>
      <c r="S408" s="374"/>
      <c r="T408" s="374"/>
      <c r="U408" s="374"/>
      <c r="V408" s="374"/>
      <c r="W408" s="374"/>
      <c r="X408" s="374"/>
      <c r="Y408" s="374"/>
      <c r="Z408" s="374"/>
    </row>
    <row r="409" ht="15.75" customHeight="1">
      <c r="A409" s="374"/>
      <c r="B409" s="374"/>
      <c r="C409" s="374"/>
      <c r="D409" s="374"/>
      <c r="E409" s="374"/>
      <c r="F409" s="374"/>
      <c r="G409" s="388"/>
      <c r="H409" s="388"/>
      <c r="I409" s="374"/>
      <c r="J409" s="374"/>
      <c r="K409" s="374"/>
      <c r="L409" s="374"/>
      <c r="M409" s="374"/>
      <c r="N409" s="374"/>
      <c r="O409" s="374"/>
      <c r="P409" s="374"/>
      <c r="Q409" s="374"/>
      <c r="R409" s="374"/>
      <c r="S409" s="374"/>
      <c r="T409" s="374"/>
      <c r="U409" s="374"/>
      <c r="V409" s="374"/>
      <c r="W409" s="374"/>
      <c r="X409" s="374"/>
      <c r="Y409" s="374"/>
      <c r="Z409" s="374"/>
    </row>
    <row r="410" ht="15.75" customHeight="1">
      <c r="A410" s="374"/>
      <c r="B410" s="374"/>
      <c r="C410" s="374"/>
      <c r="D410" s="374"/>
      <c r="E410" s="374"/>
      <c r="F410" s="374"/>
      <c r="G410" s="388"/>
      <c r="H410" s="388"/>
      <c r="I410" s="374"/>
      <c r="J410" s="374"/>
      <c r="K410" s="374"/>
      <c r="L410" s="374"/>
      <c r="M410" s="374"/>
      <c r="N410" s="374"/>
      <c r="O410" s="374"/>
      <c r="P410" s="374"/>
      <c r="Q410" s="374"/>
      <c r="R410" s="374"/>
      <c r="S410" s="374"/>
      <c r="T410" s="374"/>
      <c r="U410" s="374"/>
      <c r="V410" s="374"/>
      <c r="W410" s="374"/>
      <c r="X410" s="374"/>
      <c r="Y410" s="374"/>
      <c r="Z410" s="374"/>
    </row>
    <row r="411" ht="15.75" customHeight="1">
      <c r="A411" s="374"/>
      <c r="B411" s="374"/>
      <c r="C411" s="374"/>
      <c r="D411" s="374"/>
      <c r="E411" s="374"/>
      <c r="F411" s="374"/>
      <c r="G411" s="388"/>
      <c r="H411" s="388"/>
      <c r="I411" s="374"/>
      <c r="J411" s="374"/>
      <c r="K411" s="374"/>
      <c r="L411" s="374"/>
      <c r="M411" s="374"/>
      <c r="N411" s="374"/>
      <c r="O411" s="374"/>
      <c r="P411" s="374"/>
      <c r="Q411" s="374"/>
      <c r="R411" s="374"/>
      <c r="S411" s="374"/>
      <c r="T411" s="374"/>
      <c r="U411" s="374"/>
      <c r="V411" s="374"/>
      <c r="W411" s="374"/>
      <c r="X411" s="374"/>
      <c r="Y411" s="374"/>
      <c r="Z411" s="374"/>
    </row>
    <row r="412" ht="15.75" customHeight="1">
      <c r="A412" s="374"/>
      <c r="B412" s="374"/>
      <c r="C412" s="374"/>
      <c r="D412" s="374"/>
      <c r="E412" s="374"/>
      <c r="F412" s="374"/>
      <c r="G412" s="388"/>
      <c r="H412" s="388"/>
      <c r="I412" s="374"/>
      <c r="J412" s="374"/>
      <c r="K412" s="374"/>
      <c r="L412" s="374"/>
      <c r="M412" s="374"/>
      <c r="N412" s="374"/>
      <c r="O412" s="374"/>
      <c r="P412" s="374"/>
      <c r="Q412" s="374"/>
      <c r="R412" s="374"/>
      <c r="S412" s="374"/>
      <c r="T412" s="374"/>
      <c r="U412" s="374"/>
      <c r="V412" s="374"/>
      <c r="W412" s="374"/>
      <c r="X412" s="374"/>
      <c r="Y412" s="374"/>
      <c r="Z412" s="374"/>
    </row>
    <row r="413" ht="15.75" customHeight="1">
      <c r="A413" s="374"/>
      <c r="B413" s="374"/>
      <c r="C413" s="374"/>
      <c r="D413" s="374"/>
      <c r="E413" s="374"/>
      <c r="F413" s="374"/>
      <c r="G413" s="388"/>
      <c r="H413" s="388"/>
      <c r="I413" s="374"/>
      <c r="J413" s="374"/>
      <c r="K413" s="374"/>
      <c r="L413" s="374"/>
      <c r="M413" s="374"/>
      <c r="N413" s="374"/>
      <c r="O413" s="374"/>
      <c r="P413" s="374"/>
      <c r="Q413" s="374"/>
      <c r="R413" s="374"/>
      <c r="S413" s="374"/>
      <c r="T413" s="374"/>
      <c r="U413" s="374"/>
      <c r="V413" s="374"/>
      <c r="W413" s="374"/>
      <c r="X413" s="374"/>
      <c r="Y413" s="374"/>
      <c r="Z413" s="374"/>
    </row>
    <row r="414" ht="15.75" customHeight="1">
      <c r="A414" s="374"/>
      <c r="B414" s="374"/>
      <c r="C414" s="374"/>
      <c r="D414" s="374"/>
      <c r="E414" s="374"/>
      <c r="F414" s="374"/>
      <c r="G414" s="388"/>
      <c r="H414" s="388"/>
      <c r="I414" s="374"/>
      <c r="J414" s="374"/>
      <c r="K414" s="374"/>
      <c r="L414" s="374"/>
      <c r="M414" s="374"/>
      <c r="N414" s="374"/>
      <c r="O414" s="374"/>
      <c r="P414" s="374"/>
      <c r="Q414" s="374"/>
      <c r="R414" s="374"/>
      <c r="S414" s="374"/>
      <c r="T414" s="374"/>
      <c r="U414" s="374"/>
      <c r="V414" s="374"/>
      <c r="W414" s="374"/>
      <c r="X414" s="374"/>
      <c r="Y414" s="374"/>
      <c r="Z414" s="374"/>
    </row>
    <row r="415" ht="15.75" customHeight="1">
      <c r="A415" s="374"/>
      <c r="B415" s="374"/>
      <c r="C415" s="374"/>
      <c r="D415" s="374"/>
      <c r="E415" s="374"/>
      <c r="F415" s="374"/>
      <c r="G415" s="388"/>
      <c r="H415" s="388"/>
      <c r="I415" s="374"/>
      <c r="J415" s="374"/>
      <c r="K415" s="374"/>
      <c r="L415" s="374"/>
      <c r="M415" s="374"/>
      <c r="N415" s="374"/>
      <c r="O415" s="374"/>
      <c r="P415" s="374"/>
      <c r="Q415" s="374"/>
      <c r="R415" s="374"/>
      <c r="S415" s="374"/>
      <c r="T415" s="374"/>
      <c r="U415" s="374"/>
      <c r="V415" s="374"/>
      <c r="W415" s="374"/>
      <c r="X415" s="374"/>
      <c r="Y415" s="374"/>
      <c r="Z415" s="374"/>
    </row>
    <row r="416" ht="15.75" customHeight="1">
      <c r="A416" s="374"/>
      <c r="B416" s="374"/>
      <c r="C416" s="374"/>
      <c r="D416" s="374"/>
      <c r="E416" s="374"/>
      <c r="F416" s="374"/>
      <c r="G416" s="388"/>
      <c r="H416" s="388"/>
      <c r="I416" s="374"/>
      <c r="J416" s="374"/>
      <c r="K416" s="374"/>
      <c r="L416" s="374"/>
      <c r="M416" s="374"/>
      <c r="N416" s="374"/>
      <c r="O416" s="374"/>
      <c r="P416" s="374"/>
      <c r="Q416" s="374"/>
      <c r="R416" s="374"/>
      <c r="S416" s="374"/>
      <c r="T416" s="374"/>
      <c r="U416" s="374"/>
      <c r="V416" s="374"/>
      <c r="W416" s="374"/>
      <c r="X416" s="374"/>
      <c r="Y416" s="374"/>
      <c r="Z416" s="374"/>
    </row>
    <row r="417" ht="15.75" customHeight="1">
      <c r="A417" s="374"/>
      <c r="B417" s="374"/>
      <c r="C417" s="374"/>
      <c r="D417" s="374"/>
      <c r="E417" s="374"/>
      <c r="F417" s="374"/>
      <c r="G417" s="388"/>
      <c r="H417" s="388"/>
      <c r="I417" s="374"/>
      <c r="J417" s="374"/>
      <c r="K417" s="374"/>
      <c r="L417" s="374"/>
      <c r="M417" s="374"/>
      <c r="N417" s="374"/>
      <c r="O417" s="374"/>
      <c r="P417" s="374"/>
      <c r="Q417" s="374"/>
      <c r="R417" s="374"/>
      <c r="S417" s="374"/>
      <c r="T417" s="374"/>
      <c r="U417" s="374"/>
      <c r="V417" s="374"/>
      <c r="W417" s="374"/>
      <c r="X417" s="374"/>
      <c r="Y417" s="374"/>
      <c r="Z417" s="374"/>
    </row>
    <row r="418" ht="15.75" customHeight="1">
      <c r="A418" s="374"/>
      <c r="B418" s="374"/>
      <c r="C418" s="374"/>
      <c r="D418" s="374"/>
      <c r="E418" s="374"/>
      <c r="F418" s="374"/>
      <c r="G418" s="388"/>
      <c r="H418" s="388"/>
      <c r="I418" s="374"/>
      <c r="J418" s="374"/>
      <c r="K418" s="374"/>
      <c r="L418" s="374"/>
      <c r="M418" s="374"/>
      <c r="N418" s="374"/>
      <c r="O418" s="374"/>
      <c r="P418" s="374"/>
      <c r="Q418" s="374"/>
      <c r="R418" s="374"/>
      <c r="S418" s="374"/>
      <c r="T418" s="374"/>
      <c r="U418" s="374"/>
      <c r="V418" s="374"/>
      <c r="W418" s="374"/>
      <c r="X418" s="374"/>
      <c r="Y418" s="374"/>
      <c r="Z418" s="374"/>
    </row>
    <row r="419" ht="15.75" customHeight="1">
      <c r="A419" s="374"/>
      <c r="B419" s="374"/>
      <c r="C419" s="374"/>
      <c r="D419" s="374"/>
      <c r="E419" s="374"/>
      <c r="F419" s="374"/>
      <c r="G419" s="388"/>
      <c r="H419" s="388"/>
      <c r="I419" s="374"/>
      <c r="J419" s="374"/>
      <c r="K419" s="374"/>
      <c r="L419" s="374"/>
      <c r="M419" s="374"/>
      <c r="N419" s="374"/>
      <c r="O419" s="374"/>
      <c r="P419" s="374"/>
      <c r="Q419" s="374"/>
      <c r="R419" s="374"/>
      <c r="S419" s="374"/>
      <c r="T419" s="374"/>
      <c r="U419" s="374"/>
      <c r="V419" s="374"/>
      <c r="W419" s="374"/>
      <c r="X419" s="374"/>
      <c r="Y419" s="374"/>
      <c r="Z419" s="374"/>
    </row>
    <row r="420" ht="15.75" customHeight="1">
      <c r="A420" s="374"/>
      <c r="B420" s="374"/>
      <c r="C420" s="374"/>
      <c r="D420" s="374"/>
      <c r="E420" s="374"/>
      <c r="F420" s="374"/>
      <c r="G420" s="388"/>
      <c r="H420" s="388"/>
      <c r="I420" s="374"/>
      <c r="J420" s="374"/>
      <c r="K420" s="374"/>
      <c r="L420" s="374"/>
      <c r="M420" s="374"/>
      <c r="N420" s="374"/>
      <c r="O420" s="374"/>
      <c r="P420" s="374"/>
      <c r="Q420" s="374"/>
      <c r="R420" s="374"/>
      <c r="S420" s="374"/>
      <c r="T420" s="374"/>
      <c r="U420" s="374"/>
      <c r="V420" s="374"/>
      <c r="W420" s="374"/>
      <c r="X420" s="374"/>
      <c r="Y420" s="374"/>
      <c r="Z420" s="374"/>
    </row>
    <row r="421" ht="15.75" customHeight="1">
      <c r="A421" s="374"/>
      <c r="B421" s="374"/>
      <c r="C421" s="374"/>
      <c r="D421" s="374"/>
      <c r="E421" s="374"/>
      <c r="F421" s="374"/>
      <c r="G421" s="388"/>
      <c r="H421" s="388"/>
      <c r="I421" s="374"/>
      <c r="J421" s="374"/>
      <c r="K421" s="374"/>
      <c r="L421" s="374"/>
      <c r="M421" s="374"/>
      <c r="N421" s="374"/>
      <c r="O421" s="374"/>
      <c r="P421" s="374"/>
      <c r="Q421" s="374"/>
      <c r="R421" s="374"/>
      <c r="S421" s="374"/>
      <c r="T421" s="374"/>
      <c r="U421" s="374"/>
      <c r="V421" s="374"/>
      <c r="W421" s="374"/>
      <c r="X421" s="374"/>
      <c r="Y421" s="374"/>
      <c r="Z421" s="374"/>
    </row>
    <row r="422" ht="15.75" customHeight="1">
      <c r="A422" s="374"/>
      <c r="B422" s="374"/>
      <c r="C422" s="374"/>
      <c r="D422" s="374"/>
      <c r="E422" s="374"/>
      <c r="F422" s="374"/>
      <c r="G422" s="388"/>
      <c r="H422" s="388"/>
      <c r="I422" s="374"/>
      <c r="J422" s="374"/>
      <c r="K422" s="374"/>
      <c r="L422" s="374"/>
      <c r="M422" s="374"/>
      <c r="N422" s="374"/>
      <c r="O422" s="374"/>
      <c r="P422" s="374"/>
      <c r="Q422" s="374"/>
      <c r="R422" s="374"/>
      <c r="S422" s="374"/>
      <c r="T422" s="374"/>
      <c r="U422" s="374"/>
      <c r="V422" s="374"/>
      <c r="W422" s="374"/>
      <c r="X422" s="374"/>
      <c r="Y422" s="374"/>
      <c r="Z422" s="374"/>
    </row>
    <row r="423" ht="15.75" customHeight="1">
      <c r="A423" s="374"/>
      <c r="B423" s="374"/>
      <c r="C423" s="374"/>
      <c r="D423" s="374"/>
      <c r="E423" s="374"/>
      <c r="F423" s="374"/>
      <c r="G423" s="388"/>
      <c r="H423" s="388"/>
      <c r="I423" s="374"/>
      <c r="J423" s="374"/>
      <c r="K423" s="374"/>
      <c r="L423" s="374"/>
      <c r="M423" s="374"/>
      <c r="N423" s="374"/>
      <c r="O423" s="374"/>
      <c r="P423" s="374"/>
      <c r="Q423" s="374"/>
      <c r="R423" s="374"/>
      <c r="S423" s="374"/>
      <c r="T423" s="374"/>
      <c r="U423" s="374"/>
      <c r="V423" s="374"/>
      <c r="W423" s="374"/>
      <c r="X423" s="374"/>
      <c r="Y423" s="374"/>
      <c r="Z423" s="374"/>
    </row>
    <row r="424" ht="15.75" customHeight="1">
      <c r="A424" s="374"/>
      <c r="B424" s="374"/>
      <c r="C424" s="374"/>
      <c r="D424" s="374"/>
      <c r="E424" s="374"/>
      <c r="F424" s="374"/>
      <c r="G424" s="388"/>
      <c r="H424" s="388"/>
      <c r="I424" s="374"/>
      <c r="J424" s="374"/>
      <c r="K424" s="374"/>
      <c r="L424" s="374"/>
      <c r="M424" s="374"/>
      <c r="N424" s="374"/>
      <c r="O424" s="374"/>
      <c r="P424" s="374"/>
      <c r="Q424" s="374"/>
      <c r="R424" s="374"/>
      <c r="S424" s="374"/>
      <c r="T424" s="374"/>
      <c r="U424" s="374"/>
      <c r="V424" s="374"/>
      <c r="W424" s="374"/>
      <c r="X424" s="374"/>
      <c r="Y424" s="374"/>
      <c r="Z424" s="374"/>
    </row>
    <row r="425" ht="15.75" customHeight="1">
      <c r="A425" s="374"/>
      <c r="B425" s="374"/>
      <c r="C425" s="374"/>
      <c r="D425" s="374"/>
      <c r="E425" s="374"/>
      <c r="F425" s="374"/>
      <c r="G425" s="388"/>
      <c r="H425" s="388"/>
      <c r="I425" s="374"/>
      <c r="J425" s="374"/>
      <c r="K425" s="374"/>
      <c r="L425" s="374"/>
      <c r="M425" s="374"/>
      <c r="N425" s="374"/>
      <c r="O425" s="374"/>
      <c r="P425" s="374"/>
      <c r="Q425" s="374"/>
      <c r="R425" s="374"/>
      <c r="S425" s="374"/>
      <c r="T425" s="374"/>
      <c r="U425" s="374"/>
      <c r="V425" s="374"/>
      <c r="W425" s="374"/>
      <c r="X425" s="374"/>
      <c r="Y425" s="374"/>
      <c r="Z425" s="374"/>
    </row>
    <row r="426" ht="15.75" customHeight="1">
      <c r="A426" s="374"/>
      <c r="B426" s="374"/>
      <c r="C426" s="374"/>
      <c r="D426" s="374"/>
      <c r="E426" s="374"/>
      <c r="F426" s="374"/>
      <c r="G426" s="388"/>
      <c r="H426" s="388"/>
      <c r="I426" s="374"/>
      <c r="J426" s="374"/>
      <c r="K426" s="374"/>
      <c r="L426" s="374"/>
      <c r="M426" s="374"/>
      <c r="N426" s="374"/>
      <c r="O426" s="374"/>
      <c r="P426" s="374"/>
      <c r="Q426" s="374"/>
      <c r="R426" s="374"/>
      <c r="S426" s="374"/>
      <c r="T426" s="374"/>
      <c r="U426" s="374"/>
      <c r="V426" s="374"/>
      <c r="W426" s="374"/>
      <c r="X426" s="374"/>
      <c r="Y426" s="374"/>
      <c r="Z426" s="374"/>
    </row>
    <row r="427" ht="15.75" customHeight="1">
      <c r="A427" s="374"/>
      <c r="B427" s="374"/>
      <c r="C427" s="374"/>
      <c r="D427" s="374"/>
      <c r="E427" s="374"/>
      <c r="F427" s="374"/>
      <c r="G427" s="388"/>
      <c r="H427" s="388"/>
      <c r="I427" s="374"/>
      <c r="J427" s="374"/>
      <c r="K427" s="374"/>
      <c r="L427" s="374"/>
      <c r="M427" s="374"/>
      <c r="N427" s="374"/>
      <c r="O427" s="374"/>
      <c r="P427" s="374"/>
      <c r="Q427" s="374"/>
      <c r="R427" s="374"/>
      <c r="S427" s="374"/>
      <c r="T427" s="374"/>
      <c r="U427" s="374"/>
      <c r="V427" s="374"/>
      <c r="W427" s="374"/>
      <c r="X427" s="374"/>
      <c r="Y427" s="374"/>
      <c r="Z427" s="374"/>
    </row>
    <row r="428" ht="15.75" customHeight="1">
      <c r="A428" s="374"/>
      <c r="B428" s="374"/>
      <c r="C428" s="374"/>
      <c r="D428" s="374"/>
      <c r="E428" s="374"/>
      <c r="F428" s="374"/>
      <c r="G428" s="388"/>
      <c r="H428" s="388"/>
      <c r="I428" s="374"/>
      <c r="J428" s="374"/>
      <c r="K428" s="374"/>
      <c r="L428" s="374"/>
      <c r="M428" s="374"/>
      <c r="N428" s="374"/>
      <c r="O428" s="374"/>
      <c r="P428" s="374"/>
      <c r="Q428" s="374"/>
      <c r="R428" s="374"/>
      <c r="S428" s="374"/>
      <c r="T428" s="374"/>
      <c r="U428" s="374"/>
      <c r="V428" s="374"/>
      <c r="W428" s="374"/>
      <c r="X428" s="374"/>
      <c r="Y428" s="374"/>
      <c r="Z428" s="374"/>
    </row>
    <row r="429" ht="15.75" customHeight="1">
      <c r="A429" s="374"/>
      <c r="B429" s="374"/>
      <c r="C429" s="374"/>
      <c r="D429" s="374"/>
      <c r="E429" s="374"/>
      <c r="F429" s="374"/>
      <c r="G429" s="388"/>
      <c r="H429" s="388"/>
      <c r="I429" s="374"/>
      <c r="J429" s="374"/>
      <c r="K429" s="374"/>
      <c r="L429" s="374"/>
      <c r="M429" s="374"/>
      <c r="N429" s="374"/>
      <c r="O429" s="374"/>
      <c r="P429" s="374"/>
      <c r="Q429" s="374"/>
      <c r="R429" s="374"/>
      <c r="S429" s="374"/>
      <c r="T429" s="374"/>
      <c r="U429" s="374"/>
      <c r="V429" s="374"/>
      <c r="W429" s="374"/>
      <c r="X429" s="374"/>
      <c r="Y429" s="374"/>
      <c r="Z429" s="374"/>
    </row>
    <row r="430" ht="15.75" customHeight="1">
      <c r="A430" s="374"/>
      <c r="B430" s="374"/>
      <c r="C430" s="374"/>
      <c r="D430" s="374"/>
      <c r="E430" s="374"/>
      <c r="F430" s="374"/>
      <c r="G430" s="388"/>
      <c r="H430" s="388"/>
      <c r="I430" s="374"/>
      <c r="J430" s="374"/>
      <c r="K430" s="374"/>
      <c r="L430" s="374"/>
      <c r="M430" s="374"/>
      <c r="N430" s="374"/>
      <c r="O430" s="374"/>
      <c r="P430" s="374"/>
      <c r="Q430" s="374"/>
      <c r="R430" s="374"/>
      <c r="S430" s="374"/>
      <c r="T430" s="374"/>
      <c r="U430" s="374"/>
      <c r="V430" s="374"/>
      <c r="W430" s="374"/>
      <c r="X430" s="374"/>
      <c r="Y430" s="374"/>
      <c r="Z430" s="374"/>
    </row>
    <row r="431" ht="15.75" customHeight="1">
      <c r="A431" s="374"/>
      <c r="B431" s="374"/>
      <c r="C431" s="374"/>
      <c r="D431" s="374"/>
      <c r="E431" s="374"/>
      <c r="F431" s="374"/>
      <c r="G431" s="388"/>
      <c r="H431" s="388"/>
      <c r="I431" s="374"/>
      <c r="J431" s="374"/>
      <c r="K431" s="374"/>
      <c r="L431" s="374"/>
      <c r="M431" s="374"/>
      <c r="N431" s="374"/>
      <c r="O431" s="374"/>
      <c r="P431" s="374"/>
      <c r="Q431" s="374"/>
      <c r="R431" s="374"/>
      <c r="S431" s="374"/>
      <c r="T431" s="374"/>
      <c r="U431" s="374"/>
      <c r="V431" s="374"/>
      <c r="W431" s="374"/>
      <c r="X431" s="374"/>
      <c r="Y431" s="374"/>
      <c r="Z431" s="374"/>
    </row>
    <row r="432" ht="15.75" customHeight="1">
      <c r="A432" s="374"/>
      <c r="B432" s="374"/>
      <c r="C432" s="374"/>
      <c r="D432" s="374"/>
      <c r="E432" s="374"/>
      <c r="F432" s="374"/>
      <c r="G432" s="388"/>
      <c r="H432" s="388"/>
      <c r="I432" s="374"/>
      <c r="J432" s="374"/>
      <c r="K432" s="374"/>
      <c r="L432" s="374"/>
      <c r="M432" s="374"/>
      <c r="N432" s="374"/>
      <c r="O432" s="374"/>
      <c r="P432" s="374"/>
      <c r="Q432" s="374"/>
      <c r="R432" s="374"/>
      <c r="S432" s="374"/>
      <c r="T432" s="374"/>
      <c r="U432" s="374"/>
      <c r="V432" s="374"/>
      <c r="W432" s="374"/>
      <c r="X432" s="374"/>
      <c r="Y432" s="374"/>
      <c r="Z432" s="374"/>
    </row>
    <row r="433" ht="15.75" customHeight="1">
      <c r="A433" s="374"/>
      <c r="B433" s="374"/>
      <c r="C433" s="374"/>
      <c r="D433" s="374"/>
      <c r="E433" s="374"/>
      <c r="F433" s="374"/>
      <c r="G433" s="388"/>
      <c r="H433" s="388"/>
      <c r="I433" s="374"/>
      <c r="J433" s="374"/>
      <c r="K433" s="374"/>
      <c r="L433" s="374"/>
      <c r="M433" s="374"/>
      <c r="N433" s="374"/>
      <c r="O433" s="374"/>
      <c r="P433" s="374"/>
      <c r="Q433" s="374"/>
      <c r="R433" s="374"/>
      <c r="S433" s="374"/>
      <c r="T433" s="374"/>
      <c r="U433" s="374"/>
      <c r="V433" s="374"/>
      <c r="W433" s="374"/>
      <c r="X433" s="374"/>
      <c r="Y433" s="374"/>
      <c r="Z433" s="374"/>
    </row>
    <row r="434" ht="15.75" customHeight="1">
      <c r="A434" s="374"/>
      <c r="B434" s="374"/>
      <c r="C434" s="374"/>
      <c r="D434" s="374"/>
      <c r="E434" s="374"/>
      <c r="F434" s="374"/>
      <c r="G434" s="388"/>
      <c r="H434" s="388"/>
      <c r="I434" s="374"/>
      <c r="J434" s="374"/>
      <c r="K434" s="374"/>
      <c r="L434" s="374"/>
      <c r="M434" s="374"/>
      <c r="N434" s="374"/>
      <c r="O434" s="374"/>
      <c r="P434" s="374"/>
      <c r="Q434" s="374"/>
      <c r="R434" s="374"/>
      <c r="S434" s="374"/>
      <c r="T434" s="374"/>
      <c r="U434" s="374"/>
      <c r="V434" s="374"/>
      <c r="W434" s="374"/>
      <c r="X434" s="374"/>
      <c r="Y434" s="374"/>
      <c r="Z434" s="374"/>
    </row>
    <row r="435" ht="15.75" customHeight="1">
      <c r="A435" s="374"/>
      <c r="B435" s="374"/>
      <c r="C435" s="374"/>
      <c r="D435" s="374"/>
      <c r="E435" s="374"/>
      <c r="F435" s="374"/>
      <c r="G435" s="388"/>
      <c r="H435" s="388"/>
      <c r="I435" s="374"/>
      <c r="J435" s="374"/>
      <c r="K435" s="374"/>
      <c r="L435" s="374"/>
      <c r="M435" s="374"/>
      <c r="N435" s="374"/>
      <c r="O435" s="374"/>
      <c r="P435" s="374"/>
      <c r="Q435" s="374"/>
      <c r="R435" s="374"/>
      <c r="S435" s="374"/>
      <c r="T435" s="374"/>
      <c r="U435" s="374"/>
      <c r="V435" s="374"/>
      <c r="W435" s="374"/>
      <c r="X435" s="374"/>
      <c r="Y435" s="374"/>
      <c r="Z435" s="374"/>
    </row>
    <row r="436" ht="15.75" customHeight="1">
      <c r="A436" s="374"/>
      <c r="B436" s="374"/>
      <c r="C436" s="374"/>
      <c r="D436" s="374"/>
      <c r="E436" s="374"/>
      <c r="F436" s="374"/>
      <c r="G436" s="388"/>
      <c r="H436" s="388"/>
      <c r="I436" s="374"/>
      <c r="J436" s="374"/>
      <c r="K436" s="374"/>
      <c r="L436" s="374"/>
      <c r="M436" s="374"/>
      <c r="N436" s="374"/>
      <c r="O436" s="374"/>
      <c r="P436" s="374"/>
      <c r="Q436" s="374"/>
      <c r="R436" s="374"/>
      <c r="S436" s="374"/>
      <c r="T436" s="374"/>
      <c r="U436" s="374"/>
      <c r="V436" s="374"/>
      <c r="W436" s="374"/>
      <c r="X436" s="374"/>
      <c r="Y436" s="374"/>
      <c r="Z436" s="374"/>
    </row>
    <row r="437" ht="15.75" customHeight="1">
      <c r="A437" s="374"/>
      <c r="B437" s="374"/>
      <c r="C437" s="374"/>
      <c r="D437" s="374"/>
      <c r="E437" s="374"/>
      <c r="F437" s="374"/>
      <c r="G437" s="388"/>
      <c r="H437" s="388"/>
      <c r="I437" s="374"/>
      <c r="J437" s="374"/>
      <c r="K437" s="374"/>
      <c r="L437" s="374"/>
      <c r="M437" s="374"/>
      <c r="N437" s="374"/>
      <c r="O437" s="374"/>
      <c r="P437" s="374"/>
      <c r="Q437" s="374"/>
      <c r="R437" s="374"/>
      <c r="S437" s="374"/>
      <c r="T437" s="374"/>
      <c r="U437" s="374"/>
      <c r="V437" s="374"/>
      <c r="W437" s="374"/>
      <c r="X437" s="374"/>
      <c r="Y437" s="374"/>
      <c r="Z437" s="374"/>
    </row>
    <row r="438" ht="15.75" customHeight="1">
      <c r="A438" s="374"/>
      <c r="B438" s="374"/>
      <c r="C438" s="374"/>
      <c r="D438" s="374"/>
      <c r="E438" s="374"/>
      <c r="F438" s="374"/>
      <c r="G438" s="388"/>
      <c r="H438" s="388"/>
      <c r="I438" s="374"/>
      <c r="J438" s="374"/>
      <c r="K438" s="374"/>
      <c r="L438" s="374"/>
      <c r="M438" s="374"/>
      <c r="N438" s="374"/>
      <c r="O438" s="374"/>
      <c r="P438" s="374"/>
      <c r="Q438" s="374"/>
      <c r="R438" s="374"/>
      <c r="S438" s="374"/>
      <c r="T438" s="374"/>
      <c r="U438" s="374"/>
      <c r="V438" s="374"/>
      <c r="W438" s="374"/>
      <c r="X438" s="374"/>
      <c r="Y438" s="374"/>
      <c r="Z438" s="374"/>
    </row>
    <row r="439" ht="15.75" customHeight="1">
      <c r="A439" s="374"/>
      <c r="B439" s="374"/>
      <c r="C439" s="374"/>
      <c r="D439" s="374"/>
      <c r="E439" s="374"/>
      <c r="F439" s="374"/>
      <c r="G439" s="388"/>
      <c r="H439" s="388"/>
      <c r="I439" s="374"/>
      <c r="J439" s="374"/>
      <c r="K439" s="374"/>
      <c r="L439" s="374"/>
      <c r="M439" s="374"/>
      <c r="N439" s="374"/>
      <c r="O439" s="374"/>
      <c r="P439" s="374"/>
      <c r="Q439" s="374"/>
      <c r="R439" s="374"/>
      <c r="S439" s="374"/>
      <c r="T439" s="374"/>
      <c r="U439" s="374"/>
      <c r="V439" s="374"/>
      <c r="W439" s="374"/>
      <c r="X439" s="374"/>
      <c r="Y439" s="374"/>
      <c r="Z439" s="374"/>
    </row>
    <row r="440" ht="15.75" customHeight="1">
      <c r="A440" s="374"/>
      <c r="B440" s="374"/>
      <c r="C440" s="374"/>
      <c r="D440" s="374"/>
      <c r="E440" s="374"/>
      <c r="F440" s="374"/>
      <c r="G440" s="388"/>
      <c r="H440" s="388"/>
      <c r="I440" s="374"/>
      <c r="J440" s="374"/>
      <c r="K440" s="374"/>
      <c r="L440" s="374"/>
      <c r="M440" s="374"/>
      <c r="N440" s="374"/>
      <c r="O440" s="374"/>
      <c r="P440" s="374"/>
      <c r="Q440" s="374"/>
      <c r="R440" s="374"/>
      <c r="S440" s="374"/>
      <c r="T440" s="374"/>
      <c r="U440" s="374"/>
      <c r="V440" s="374"/>
      <c r="W440" s="374"/>
      <c r="X440" s="374"/>
      <c r="Y440" s="374"/>
      <c r="Z440" s="374"/>
    </row>
    <row r="441" ht="15.75" customHeight="1">
      <c r="A441" s="374"/>
      <c r="B441" s="374"/>
      <c r="C441" s="374"/>
      <c r="D441" s="374"/>
      <c r="E441" s="374"/>
      <c r="F441" s="374"/>
      <c r="G441" s="388"/>
      <c r="H441" s="388"/>
      <c r="I441" s="374"/>
      <c r="J441" s="374"/>
      <c r="K441" s="374"/>
      <c r="L441" s="374"/>
      <c r="M441" s="374"/>
      <c r="N441" s="374"/>
      <c r="O441" s="374"/>
      <c r="P441" s="374"/>
      <c r="Q441" s="374"/>
      <c r="R441" s="374"/>
      <c r="S441" s="374"/>
      <c r="T441" s="374"/>
      <c r="U441" s="374"/>
      <c r="V441" s="374"/>
      <c r="W441" s="374"/>
      <c r="X441" s="374"/>
      <c r="Y441" s="374"/>
      <c r="Z441" s="374"/>
    </row>
    <row r="442" ht="15.75" customHeight="1">
      <c r="A442" s="374"/>
      <c r="B442" s="374"/>
      <c r="C442" s="374"/>
      <c r="D442" s="374"/>
      <c r="E442" s="374"/>
      <c r="F442" s="374"/>
      <c r="G442" s="388"/>
      <c r="H442" s="388"/>
      <c r="I442" s="374"/>
      <c r="J442" s="374"/>
      <c r="K442" s="374"/>
      <c r="L442" s="374"/>
      <c r="M442" s="374"/>
      <c r="N442" s="374"/>
      <c r="O442" s="374"/>
      <c r="P442" s="374"/>
      <c r="Q442" s="374"/>
      <c r="R442" s="374"/>
      <c r="S442" s="374"/>
      <c r="T442" s="374"/>
      <c r="U442" s="374"/>
      <c r="V442" s="374"/>
      <c r="W442" s="374"/>
      <c r="X442" s="374"/>
      <c r="Y442" s="374"/>
      <c r="Z442" s="374"/>
    </row>
    <row r="443" ht="15.75" customHeight="1">
      <c r="A443" s="374"/>
      <c r="B443" s="374"/>
      <c r="C443" s="374"/>
      <c r="D443" s="374"/>
      <c r="E443" s="374"/>
      <c r="F443" s="374"/>
      <c r="G443" s="388"/>
      <c r="H443" s="388"/>
      <c r="I443" s="374"/>
      <c r="J443" s="374"/>
      <c r="K443" s="374"/>
      <c r="L443" s="374"/>
      <c r="M443" s="374"/>
      <c r="N443" s="374"/>
      <c r="O443" s="374"/>
      <c r="P443" s="374"/>
      <c r="Q443" s="374"/>
      <c r="R443" s="374"/>
      <c r="S443" s="374"/>
      <c r="T443" s="374"/>
      <c r="U443" s="374"/>
      <c r="V443" s="374"/>
      <c r="W443" s="374"/>
      <c r="X443" s="374"/>
      <c r="Y443" s="374"/>
      <c r="Z443" s="374"/>
    </row>
    <row r="444" ht="15.75" customHeight="1">
      <c r="A444" s="374"/>
      <c r="B444" s="374"/>
      <c r="C444" s="374"/>
      <c r="D444" s="374"/>
      <c r="E444" s="374"/>
      <c r="F444" s="374"/>
      <c r="G444" s="388"/>
      <c r="H444" s="388"/>
      <c r="I444" s="374"/>
      <c r="J444" s="374"/>
      <c r="K444" s="374"/>
      <c r="L444" s="374"/>
      <c r="M444" s="374"/>
      <c r="N444" s="374"/>
      <c r="O444" s="374"/>
      <c r="P444" s="374"/>
      <c r="Q444" s="374"/>
      <c r="R444" s="374"/>
      <c r="S444" s="374"/>
      <c r="T444" s="374"/>
      <c r="U444" s="374"/>
      <c r="V444" s="374"/>
      <c r="W444" s="374"/>
      <c r="X444" s="374"/>
      <c r="Y444" s="374"/>
      <c r="Z444" s="374"/>
    </row>
    <row r="445" ht="15.75" customHeight="1">
      <c r="A445" s="374"/>
      <c r="B445" s="374"/>
      <c r="C445" s="374"/>
      <c r="D445" s="374"/>
      <c r="E445" s="374"/>
      <c r="F445" s="374"/>
      <c r="G445" s="388"/>
      <c r="H445" s="388"/>
      <c r="I445" s="374"/>
      <c r="J445" s="374"/>
      <c r="K445" s="374"/>
      <c r="L445" s="374"/>
      <c r="M445" s="374"/>
      <c r="N445" s="374"/>
      <c r="O445" s="374"/>
      <c r="P445" s="374"/>
      <c r="Q445" s="374"/>
      <c r="R445" s="374"/>
      <c r="S445" s="374"/>
      <c r="T445" s="374"/>
      <c r="U445" s="374"/>
      <c r="V445" s="374"/>
      <c r="W445" s="374"/>
      <c r="X445" s="374"/>
      <c r="Y445" s="374"/>
      <c r="Z445" s="374"/>
    </row>
    <row r="446" ht="15.75" customHeight="1">
      <c r="A446" s="374"/>
      <c r="B446" s="374"/>
      <c r="C446" s="374"/>
      <c r="D446" s="374"/>
      <c r="E446" s="374"/>
      <c r="F446" s="374"/>
      <c r="G446" s="388"/>
      <c r="H446" s="388"/>
      <c r="I446" s="374"/>
      <c r="J446" s="374"/>
      <c r="K446" s="374"/>
      <c r="L446" s="374"/>
      <c r="M446" s="374"/>
      <c r="N446" s="374"/>
      <c r="O446" s="374"/>
      <c r="P446" s="374"/>
      <c r="Q446" s="374"/>
      <c r="R446" s="374"/>
      <c r="S446" s="374"/>
      <c r="T446" s="374"/>
      <c r="U446" s="374"/>
      <c r="V446" s="374"/>
      <c r="W446" s="374"/>
      <c r="X446" s="374"/>
      <c r="Y446" s="374"/>
      <c r="Z446" s="374"/>
    </row>
    <row r="447" ht="15.75" customHeight="1">
      <c r="A447" s="374"/>
      <c r="B447" s="374"/>
      <c r="C447" s="374"/>
      <c r="D447" s="374"/>
      <c r="E447" s="374"/>
      <c r="F447" s="374"/>
      <c r="G447" s="388"/>
      <c r="H447" s="388"/>
      <c r="I447" s="374"/>
      <c r="J447" s="374"/>
      <c r="K447" s="374"/>
      <c r="L447" s="374"/>
      <c r="M447" s="374"/>
      <c r="N447" s="374"/>
      <c r="O447" s="374"/>
      <c r="P447" s="374"/>
      <c r="Q447" s="374"/>
      <c r="R447" s="374"/>
      <c r="S447" s="374"/>
      <c r="T447" s="374"/>
      <c r="U447" s="374"/>
      <c r="V447" s="374"/>
      <c r="W447" s="374"/>
      <c r="X447" s="374"/>
      <c r="Y447" s="374"/>
      <c r="Z447" s="374"/>
    </row>
    <row r="448" ht="15.75" customHeight="1">
      <c r="A448" s="374"/>
      <c r="B448" s="374"/>
      <c r="C448" s="374"/>
      <c r="D448" s="374"/>
      <c r="E448" s="374"/>
      <c r="F448" s="374"/>
      <c r="G448" s="388"/>
      <c r="H448" s="388"/>
      <c r="I448" s="374"/>
      <c r="J448" s="374"/>
      <c r="K448" s="374"/>
      <c r="L448" s="374"/>
      <c r="M448" s="374"/>
      <c r="N448" s="374"/>
      <c r="O448" s="374"/>
      <c r="P448" s="374"/>
      <c r="Q448" s="374"/>
      <c r="R448" s="374"/>
      <c r="S448" s="374"/>
      <c r="T448" s="374"/>
      <c r="U448" s="374"/>
      <c r="V448" s="374"/>
      <c r="W448" s="374"/>
      <c r="X448" s="374"/>
      <c r="Y448" s="374"/>
      <c r="Z448" s="374"/>
    </row>
    <row r="449" ht="15.75" customHeight="1">
      <c r="A449" s="374"/>
      <c r="B449" s="374"/>
      <c r="C449" s="374"/>
      <c r="D449" s="374"/>
      <c r="E449" s="374"/>
      <c r="F449" s="374"/>
      <c r="G449" s="388"/>
      <c r="H449" s="388"/>
      <c r="I449" s="374"/>
      <c r="J449" s="374"/>
      <c r="K449" s="374"/>
      <c r="L449" s="374"/>
      <c r="M449" s="374"/>
      <c r="N449" s="374"/>
      <c r="O449" s="374"/>
      <c r="P449" s="374"/>
      <c r="Q449" s="374"/>
      <c r="R449" s="374"/>
      <c r="S449" s="374"/>
      <c r="T449" s="374"/>
      <c r="U449" s="374"/>
      <c r="V449" s="374"/>
      <c r="W449" s="374"/>
      <c r="X449" s="374"/>
      <c r="Y449" s="374"/>
      <c r="Z449" s="374"/>
    </row>
    <row r="450" ht="15.75" customHeight="1">
      <c r="A450" s="374"/>
      <c r="B450" s="374"/>
      <c r="C450" s="374"/>
      <c r="D450" s="374"/>
      <c r="E450" s="374"/>
      <c r="F450" s="374"/>
      <c r="G450" s="388"/>
      <c r="H450" s="388"/>
      <c r="I450" s="374"/>
      <c r="J450" s="374"/>
      <c r="K450" s="374"/>
      <c r="L450" s="374"/>
      <c r="M450" s="374"/>
      <c r="N450" s="374"/>
      <c r="O450" s="374"/>
      <c r="P450" s="374"/>
      <c r="Q450" s="374"/>
      <c r="R450" s="374"/>
      <c r="S450" s="374"/>
      <c r="T450" s="374"/>
      <c r="U450" s="374"/>
      <c r="V450" s="374"/>
      <c r="W450" s="374"/>
      <c r="X450" s="374"/>
      <c r="Y450" s="374"/>
      <c r="Z450" s="374"/>
    </row>
    <row r="451" ht="15.75" customHeight="1">
      <c r="A451" s="374"/>
      <c r="B451" s="374"/>
      <c r="C451" s="374"/>
      <c r="D451" s="374"/>
      <c r="E451" s="374"/>
      <c r="F451" s="374"/>
      <c r="G451" s="388"/>
      <c r="H451" s="388"/>
      <c r="I451" s="374"/>
      <c r="J451" s="374"/>
      <c r="K451" s="374"/>
      <c r="L451" s="374"/>
      <c r="M451" s="374"/>
      <c r="N451" s="374"/>
      <c r="O451" s="374"/>
      <c r="P451" s="374"/>
      <c r="Q451" s="374"/>
      <c r="R451" s="374"/>
      <c r="S451" s="374"/>
      <c r="T451" s="374"/>
      <c r="U451" s="374"/>
      <c r="V451" s="374"/>
      <c r="W451" s="374"/>
      <c r="X451" s="374"/>
      <c r="Y451" s="374"/>
      <c r="Z451" s="374"/>
    </row>
    <row r="452" ht="15.75" customHeight="1">
      <c r="A452" s="374"/>
      <c r="B452" s="374"/>
      <c r="C452" s="374"/>
      <c r="D452" s="374"/>
      <c r="E452" s="374"/>
      <c r="F452" s="374"/>
      <c r="G452" s="388"/>
      <c r="H452" s="388"/>
      <c r="I452" s="374"/>
      <c r="J452" s="374"/>
      <c r="K452" s="374"/>
      <c r="L452" s="374"/>
      <c r="M452" s="374"/>
      <c r="N452" s="374"/>
      <c r="O452" s="374"/>
      <c r="P452" s="374"/>
      <c r="Q452" s="374"/>
      <c r="R452" s="374"/>
      <c r="S452" s="374"/>
      <c r="T452" s="374"/>
      <c r="U452" s="374"/>
      <c r="V452" s="374"/>
      <c r="W452" s="374"/>
      <c r="X452" s="374"/>
      <c r="Y452" s="374"/>
      <c r="Z452" s="374"/>
    </row>
    <row r="453" ht="15.75" customHeight="1">
      <c r="A453" s="374"/>
      <c r="B453" s="374"/>
      <c r="C453" s="374"/>
      <c r="D453" s="374"/>
      <c r="E453" s="374"/>
      <c r="F453" s="374"/>
      <c r="G453" s="388"/>
      <c r="H453" s="388"/>
      <c r="I453" s="374"/>
      <c r="J453" s="374"/>
      <c r="K453" s="374"/>
      <c r="L453" s="374"/>
      <c r="M453" s="374"/>
      <c r="N453" s="374"/>
      <c r="O453" s="374"/>
      <c r="P453" s="374"/>
      <c r="Q453" s="374"/>
      <c r="R453" s="374"/>
      <c r="S453" s="374"/>
      <c r="T453" s="374"/>
      <c r="U453" s="374"/>
      <c r="V453" s="374"/>
      <c r="W453" s="374"/>
      <c r="X453" s="374"/>
      <c r="Y453" s="374"/>
      <c r="Z453" s="374"/>
    </row>
    <row r="454" ht="15.75" customHeight="1">
      <c r="A454" s="374"/>
      <c r="B454" s="374"/>
      <c r="C454" s="374"/>
      <c r="D454" s="374"/>
      <c r="E454" s="374"/>
      <c r="F454" s="374"/>
      <c r="G454" s="388"/>
      <c r="H454" s="388"/>
      <c r="I454" s="374"/>
      <c r="J454" s="374"/>
      <c r="K454" s="374"/>
      <c r="L454" s="374"/>
      <c r="M454" s="374"/>
      <c r="N454" s="374"/>
      <c r="O454" s="374"/>
      <c r="P454" s="374"/>
      <c r="Q454" s="374"/>
      <c r="R454" s="374"/>
      <c r="S454" s="374"/>
      <c r="T454" s="374"/>
      <c r="U454" s="374"/>
      <c r="V454" s="374"/>
      <c r="W454" s="374"/>
      <c r="X454" s="374"/>
      <c r="Y454" s="374"/>
      <c r="Z454" s="374"/>
    </row>
    <row r="455" ht="15.75" customHeight="1">
      <c r="A455" s="374"/>
      <c r="B455" s="374"/>
      <c r="C455" s="374"/>
      <c r="D455" s="374"/>
      <c r="E455" s="374"/>
      <c r="F455" s="374"/>
      <c r="G455" s="388"/>
      <c r="H455" s="388"/>
      <c r="I455" s="374"/>
      <c r="J455" s="374"/>
      <c r="K455" s="374"/>
      <c r="L455" s="374"/>
      <c r="M455" s="374"/>
      <c r="N455" s="374"/>
      <c r="O455" s="374"/>
      <c r="P455" s="374"/>
      <c r="Q455" s="374"/>
      <c r="R455" s="374"/>
      <c r="S455" s="374"/>
      <c r="T455" s="374"/>
      <c r="U455" s="374"/>
      <c r="V455" s="374"/>
      <c r="W455" s="374"/>
      <c r="X455" s="374"/>
      <c r="Y455" s="374"/>
      <c r="Z455" s="374"/>
    </row>
    <row r="456" ht="15.75" customHeight="1">
      <c r="A456" s="374"/>
      <c r="B456" s="374"/>
      <c r="C456" s="374"/>
      <c r="D456" s="374"/>
      <c r="E456" s="374"/>
      <c r="F456" s="374"/>
      <c r="G456" s="388"/>
      <c r="H456" s="388"/>
      <c r="I456" s="374"/>
      <c r="J456" s="374"/>
      <c r="K456" s="374"/>
      <c r="L456" s="374"/>
      <c r="M456" s="374"/>
      <c r="N456" s="374"/>
      <c r="O456" s="374"/>
      <c r="P456" s="374"/>
      <c r="Q456" s="374"/>
      <c r="R456" s="374"/>
      <c r="S456" s="374"/>
      <c r="T456" s="374"/>
      <c r="U456" s="374"/>
      <c r="V456" s="374"/>
      <c r="W456" s="374"/>
      <c r="X456" s="374"/>
      <c r="Y456" s="374"/>
      <c r="Z456" s="374"/>
    </row>
    <row r="457" ht="15.75" customHeight="1">
      <c r="A457" s="374"/>
      <c r="B457" s="374"/>
      <c r="C457" s="374"/>
      <c r="D457" s="374"/>
      <c r="E457" s="374"/>
      <c r="F457" s="374"/>
      <c r="G457" s="388"/>
      <c r="H457" s="388"/>
      <c r="I457" s="374"/>
      <c r="J457" s="374"/>
      <c r="K457" s="374"/>
      <c r="L457" s="374"/>
      <c r="M457" s="374"/>
      <c r="N457" s="374"/>
      <c r="O457" s="374"/>
      <c r="P457" s="374"/>
      <c r="Q457" s="374"/>
      <c r="R457" s="374"/>
      <c r="S457" s="374"/>
      <c r="T457" s="374"/>
      <c r="U457" s="374"/>
      <c r="V457" s="374"/>
      <c r="W457" s="374"/>
      <c r="X457" s="374"/>
      <c r="Y457" s="374"/>
      <c r="Z457" s="374"/>
    </row>
    <row r="458" ht="15.75" customHeight="1">
      <c r="A458" s="374"/>
      <c r="B458" s="374"/>
      <c r="C458" s="374"/>
      <c r="D458" s="374"/>
      <c r="E458" s="374"/>
      <c r="F458" s="374"/>
      <c r="G458" s="388"/>
      <c r="H458" s="388"/>
      <c r="I458" s="374"/>
      <c r="J458" s="374"/>
      <c r="K458" s="374"/>
      <c r="L458" s="374"/>
      <c r="M458" s="374"/>
      <c r="N458" s="374"/>
      <c r="O458" s="374"/>
      <c r="P458" s="374"/>
      <c r="Q458" s="374"/>
      <c r="R458" s="374"/>
      <c r="S458" s="374"/>
      <c r="T458" s="374"/>
      <c r="U458" s="374"/>
      <c r="V458" s="374"/>
      <c r="W458" s="374"/>
      <c r="X458" s="374"/>
      <c r="Y458" s="374"/>
      <c r="Z458" s="374"/>
    </row>
    <row r="459" ht="15.75" customHeight="1">
      <c r="A459" s="374"/>
      <c r="B459" s="374"/>
      <c r="C459" s="374"/>
      <c r="D459" s="374"/>
      <c r="E459" s="374"/>
      <c r="F459" s="374"/>
      <c r="G459" s="388"/>
      <c r="H459" s="388"/>
      <c r="I459" s="374"/>
      <c r="J459" s="374"/>
      <c r="K459" s="374"/>
      <c r="L459" s="374"/>
      <c r="M459" s="374"/>
      <c r="N459" s="374"/>
      <c r="O459" s="374"/>
      <c r="P459" s="374"/>
      <c r="Q459" s="374"/>
      <c r="R459" s="374"/>
      <c r="S459" s="374"/>
      <c r="T459" s="374"/>
      <c r="U459" s="374"/>
      <c r="V459" s="374"/>
      <c r="W459" s="374"/>
      <c r="X459" s="374"/>
      <c r="Y459" s="374"/>
      <c r="Z459" s="374"/>
    </row>
    <row r="460" ht="15.75" customHeight="1">
      <c r="A460" s="374"/>
      <c r="B460" s="374"/>
      <c r="C460" s="374"/>
      <c r="D460" s="374"/>
      <c r="E460" s="374"/>
      <c r="F460" s="374"/>
      <c r="G460" s="388"/>
      <c r="H460" s="388"/>
      <c r="I460" s="374"/>
      <c r="J460" s="374"/>
      <c r="K460" s="374"/>
      <c r="L460" s="374"/>
      <c r="M460" s="374"/>
      <c r="N460" s="374"/>
      <c r="O460" s="374"/>
      <c r="P460" s="374"/>
      <c r="Q460" s="374"/>
      <c r="R460" s="374"/>
      <c r="S460" s="374"/>
      <c r="T460" s="374"/>
      <c r="U460" s="374"/>
      <c r="V460" s="374"/>
      <c r="W460" s="374"/>
      <c r="X460" s="374"/>
      <c r="Y460" s="374"/>
      <c r="Z460" s="374"/>
    </row>
    <row r="461" ht="15.75" customHeight="1">
      <c r="A461" s="374"/>
      <c r="B461" s="374"/>
      <c r="C461" s="374"/>
      <c r="D461" s="374"/>
      <c r="E461" s="374"/>
      <c r="F461" s="374"/>
      <c r="G461" s="388"/>
      <c r="H461" s="388"/>
      <c r="I461" s="374"/>
      <c r="J461" s="374"/>
      <c r="K461" s="374"/>
      <c r="L461" s="374"/>
      <c r="M461" s="374"/>
      <c r="N461" s="374"/>
      <c r="O461" s="374"/>
      <c r="P461" s="374"/>
      <c r="Q461" s="374"/>
      <c r="R461" s="374"/>
      <c r="S461" s="374"/>
      <c r="T461" s="374"/>
      <c r="U461" s="374"/>
      <c r="V461" s="374"/>
      <c r="W461" s="374"/>
      <c r="X461" s="374"/>
      <c r="Y461" s="374"/>
      <c r="Z461" s="374"/>
    </row>
    <row r="462" ht="15.75" customHeight="1">
      <c r="A462" s="374"/>
      <c r="B462" s="374"/>
      <c r="C462" s="374"/>
      <c r="D462" s="374"/>
      <c r="E462" s="374"/>
      <c r="F462" s="374"/>
      <c r="G462" s="388"/>
      <c r="H462" s="388"/>
      <c r="I462" s="374"/>
      <c r="J462" s="374"/>
      <c r="K462" s="374"/>
      <c r="L462" s="374"/>
      <c r="M462" s="374"/>
      <c r="N462" s="374"/>
      <c r="O462" s="374"/>
      <c r="P462" s="374"/>
      <c r="Q462" s="374"/>
      <c r="R462" s="374"/>
      <c r="S462" s="374"/>
      <c r="T462" s="374"/>
      <c r="U462" s="374"/>
      <c r="V462" s="374"/>
      <c r="W462" s="374"/>
      <c r="X462" s="374"/>
      <c r="Y462" s="374"/>
      <c r="Z462" s="374"/>
    </row>
    <row r="463" ht="15.75" customHeight="1">
      <c r="A463" s="374"/>
      <c r="B463" s="374"/>
      <c r="C463" s="374"/>
      <c r="D463" s="374"/>
      <c r="E463" s="374"/>
      <c r="F463" s="374"/>
      <c r="G463" s="388"/>
      <c r="H463" s="388"/>
      <c r="I463" s="374"/>
      <c r="J463" s="374"/>
      <c r="K463" s="374"/>
      <c r="L463" s="374"/>
      <c r="M463" s="374"/>
      <c r="N463" s="374"/>
      <c r="O463" s="374"/>
      <c r="P463" s="374"/>
      <c r="Q463" s="374"/>
      <c r="R463" s="374"/>
      <c r="S463" s="374"/>
      <c r="T463" s="374"/>
      <c r="U463" s="374"/>
      <c r="V463" s="374"/>
      <c r="W463" s="374"/>
      <c r="X463" s="374"/>
      <c r="Y463" s="374"/>
      <c r="Z463" s="374"/>
    </row>
    <row r="464" ht="15.75" customHeight="1">
      <c r="A464" s="374"/>
      <c r="B464" s="374"/>
      <c r="C464" s="374"/>
      <c r="D464" s="374"/>
      <c r="E464" s="374"/>
      <c r="F464" s="374"/>
      <c r="G464" s="388"/>
      <c r="H464" s="388"/>
      <c r="I464" s="374"/>
      <c r="J464" s="374"/>
      <c r="K464" s="374"/>
      <c r="L464" s="374"/>
      <c r="M464" s="374"/>
      <c r="N464" s="374"/>
      <c r="O464" s="374"/>
      <c r="P464" s="374"/>
      <c r="Q464" s="374"/>
      <c r="R464" s="374"/>
      <c r="S464" s="374"/>
      <c r="T464" s="374"/>
      <c r="U464" s="374"/>
      <c r="V464" s="374"/>
      <c r="W464" s="374"/>
      <c r="X464" s="374"/>
      <c r="Y464" s="374"/>
      <c r="Z464" s="374"/>
    </row>
    <row r="465" ht="15.75" customHeight="1">
      <c r="A465" s="374"/>
      <c r="B465" s="374"/>
      <c r="C465" s="374"/>
      <c r="D465" s="374"/>
      <c r="E465" s="374"/>
      <c r="F465" s="374"/>
      <c r="G465" s="388"/>
      <c r="H465" s="388"/>
      <c r="I465" s="374"/>
      <c r="J465" s="374"/>
      <c r="K465" s="374"/>
      <c r="L465" s="374"/>
      <c r="M465" s="374"/>
      <c r="N465" s="374"/>
      <c r="O465" s="374"/>
      <c r="P465" s="374"/>
      <c r="Q465" s="374"/>
      <c r="R465" s="374"/>
      <c r="S465" s="374"/>
      <c r="T465" s="374"/>
      <c r="U465" s="374"/>
      <c r="V465" s="374"/>
      <c r="W465" s="374"/>
      <c r="X465" s="374"/>
      <c r="Y465" s="374"/>
      <c r="Z465" s="374"/>
    </row>
    <row r="466" ht="15.75" customHeight="1">
      <c r="A466" s="374"/>
      <c r="B466" s="374"/>
      <c r="C466" s="374"/>
      <c r="D466" s="374"/>
      <c r="E466" s="374"/>
      <c r="F466" s="374"/>
      <c r="G466" s="388"/>
      <c r="H466" s="388"/>
      <c r="I466" s="374"/>
      <c r="J466" s="374"/>
      <c r="K466" s="374"/>
      <c r="L466" s="374"/>
      <c r="M466" s="374"/>
      <c r="N466" s="374"/>
      <c r="O466" s="374"/>
      <c r="P466" s="374"/>
      <c r="Q466" s="374"/>
      <c r="R466" s="374"/>
      <c r="S466" s="374"/>
      <c r="T466" s="374"/>
      <c r="U466" s="374"/>
      <c r="V466" s="374"/>
      <c r="W466" s="374"/>
      <c r="X466" s="374"/>
      <c r="Y466" s="374"/>
      <c r="Z466" s="374"/>
    </row>
    <row r="467" ht="15.75" customHeight="1">
      <c r="A467" s="374"/>
      <c r="B467" s="374"/>
      <c r="C467" s="374"/>
      <c r="D467" s="374"/>
      <c r="E467" s="374"/>
      <c r="F467" s="374"/>
      <c r="G467" s="388"/>
      <c r="H467" s="388"/>
      <c r="I467" s="374"/>
      <c r="J467" s="374"/>
      <c r="K467" s="374"/>
      <c r="L467" s="374"/>
      <c r="M467" s="374"/>
      <c r="N467" s="374"/>
      <c r="O467" s="374"/>
      <c r="P467" s="374"/>
      <c r="Q467" s="374"/>
      <c r="R467" s="374"/>
      <c r="S467" s="374"/>
      <c r="T467" s="374"/>
      <c r="U467" s="374"/>
      <c r="V467" s="374"/>
      <c r="W467" s="374"/>
      <c r="X467" s="374"/>
      <c r="Y467" s="374"/>
      <c r="Z467" s="374"/>
    </row>
    <row r="468" ht="15.75" customHeight="1">
      <c r="A468" s="374"/>
      <c r="B468" s="374"/>
      <c r="C468" s="374"/>
      <c r="D468" s="374"/>
      <c r="E468" s="374"/>
      <c r="F468" s="374"/>
      <c r="G468" s="388"/>
      <c r="H468" s="388"/>
      <c r="I468" s="374"/>
      <c r="J468" s="374"/>
      <c r="K468" s="374"/>
      <c r="L468" s="374"/>
      <c r="M468" s="374"/>
      <c r="N468" s="374"/>
      <c r="O468" s="374"/>
      <c r="P468" s="374"/>
      <c r="Q468" s="374"/>
      <c r="R468" s="374"/>
      <c r="S468" s="374"/>
      <c r="T468" s="374"/>
      <c r="U468" s="374"/>
      <c r="V468" s="374"/>
      <c r="W468" s="374"/>
      <c r="X468" s="374"/>
      <c r="Y468" s="374"/>
      <c r="Z468" s="374"/>
    </row>
    <row r="469" ht="15.75" customHeight="1">
      <c r="A469" s="374"/>
      <c r="B469" s="374"/>
      <c r="C469" s="374"/>
      <c r="D469" s="374"/>
      <c r="E469" s="374"/>
      <c r="F469" s="374"/>
      <c r="G469" s="388"/>
      <c r="H469" s="388"/>
      <c r="I469" s="374"/>
      <c r="J469" s="374"/>
      <c r="K469" s="374"/>
      <c r="L469" s="374"/>
      <c r="M469" s="374"/>
      <c r="N469" s="374"/>
      <c r="O469" s="374"/>
      <c r="P469" s="374"/>
      <c r="Q469" s="374"/>
      <c r="R469" s="374"/>
      <c r="S469" s="374"/>
      <c r="T469" s="374"/>
      <c r="U469" s="374"/>
      <c r="V469" s="374"/>
      <c r="W469" s="374"/>
      <c r="X469" s="374"/>
      <c r="Y469" s="374"/>
      <c r="Z469" s="374"/>
    </row>
    <row r="470" ht="15.75" customHeight="1">
      <c r="A470" s="374"/>
      <c r="B470" s="374"/>
      <c r="C470" s="374"/>
      <c r="D470" s="374"/>
      <c r="E470" s="374"/>
      <c r="F470" s="374"/>
      <c r="G470" s="388"/>
      <c r="H470" s="388"/>
      <c r="I470" s="374"/>
      <c r="J470" s="374"/>
      <c r="K470" s="374"/>
      <c r="L470" s="374"/>
      <c r="M470" s="374"/>
      <c r="N470" s="374"/>
      <c r="O470" s="374"/>
      <c r="P470" s="374"/>
      <c r="Q470" s="374"/>
      <c r="R470" s="374"/>
      <c r="S470" s="374"/>
      <c r="T470" s="374"/>
      <c r="U470" s="374"/>
      <c r="V470" s="374"/>
      <c r="W470" s="374"/>
      <c r="X470" s="374"/>
      <c r="Y470" s="374"/>
      <c r="Z470" s="374"/>
    </row>
    <row r="471" ht="15.75" customHeight="1">
      <c r="A471" s="374"/>
      <c r="B471" s="374"/>
      <c r="C471" s="374"/>
      <c r="D471" s="374"/>
      <c r="E471" s="374"/>
      <c r="F471" s="374"/>
      <c r="G471" s="388"/>
      <c r="H471" s="388"/>
      <c r="I471" s="374"/>
      <c r="J471" s="374"/>
      <c r="K471" s="374"/>
      <c r="L471" s="374"/>
      <c r="M471" s="374"/>
      <c r="N471" s="374"/>
      <c r="O471" s="374"/>
      <c r="P471" s="374"/>
      <c r="Q471" s="374"/>
      <c r="R471" s="374"/>
      <c r="S471" s="374"/>
      <c r="T471" s="374"/>
      <c r="U471" s="374"/>
      <c r="V471" s="374"/>
      <c r="W471" s="374"/>
      <c r="X471" s="374"/>
      <c r="Y471" s="374"/>
      <c r="Z471" s="374"/>
    </row>
    <row r="472" ht="15.75" customHeight="1">
      <c r="A472" s="374"/>
      <c r="B472" s="374"/>
      <c r="C472" s="374"/>
      <c r="D472" s="374"/>
      <c r="E472" s="374"/>
      <c r="F472" s="374"/>
      <c r="G472" s="388"/>
      <c r="H472" s="388"/>
      <c r="I472" s="374"/>
      <c r="J472" s="374"/>
      <c r="K472" s="374"/>
      <c r="L472" s="374"/>
      <c r="M472" s="374"/>
      <c r="N472" s="374"/>
      <c r="O472" s="374"/>
      <c r="P472" s="374"/>
      <c r="Q472" s="374"/>
      <c r="R472" s="374"/>
      <c r="S472" s="374"/>
      <c r="T472" s="374"/>
      <c r="U472" s="374"/>
      <c r="V472" s="374"/>
      <c r="W472" s="374"/>
      <c r="X472" s="374"/>
      <c r="Y472" s="374"/>
      <c r="Z472" s="374"/>
    </row>
    <row r="473" ht="15.75" customHeight="1">
      <c r="A473" s="374"/>
      <c r="B473" s="374"/>
      <c r="C473" s="374"/>
      <c r="D473" s="374"/>
      <c r="E473" s="374"/>
      <c r="F473" s="374"/>
      <c r="G473" s="388"/>
      <c r="H473" s="388"/>
      <c r="I473" s="374"/>
      <c r="J473" s="374"/>
      <c r="K473" s="374"/>
      <c r="L473" s="374"/>
      <c r="M473" s="374"/>
      <c r="N473" s="374"/>
      <c r="O473" s="374"/>
      <c r="P473" s="374"/>
      <c r="Q473" s="374"/>
      <c r="R473" s="374"/>
      <c r="S473" s="374"/>
      <c r="T473" s="374"/>
      <c r="U473" s="374"/>
      <c r="V473" s="374"/>
      <c r="W473" s="374"/>
      <c r="X473" s="374"/>
      <c r="Y473" s="374"/>
      <c r="Z473" s="374"/>
    </row>
    <row r="474" ht="15.75" customHeight="1">
      <c r="A474" s="374"/>
      <c r="B474" s="374"/>
      <c r="C474" s="374"/>
      <c r="D474" s="374"/>
      <c r="E474" s="374"/>
      <c r="F474" s="374"/>
      <c r="G474" s="388"/>
      <c r="H474" s="388"/>
      <c r="I474" s="374"/>
      <c r="J474" s="374"/>
      <c r="K474" s="374"/>
      <c r="L474" s="374"/>
      <c r="M474" s="374"/>
      <c r="N474" s="374"/>
      <c r="O474" s="374"/>
      <c r="P474" s="374"/>
      <c r="Q474" s="374"/>
      <c r="R474" s="374"/>
      <c r="S474" s="374"/>
      <c r="T474" s="374"/>
      <c r="U474" s="374"/>
      <c r="V474" s="374"/>
      <c r="W474" s="374"/>
      <c r="X474" s="374"/>
      <c r="Y474" s="374"/>
      <c r="Z474" s="374"/>
    </row>
    <row r="475" ht="15.75" customHeight="1">
      <c r="A475" s="374"/>
      <c r="B475" s="374"/>
      <c r="C475" s="374"/>
      <c r="D475" s="374"/>
      <c r="E475" s="374"/>
      <c r="F475" s="374"/>
      <c r="G475" s="388"/>
      <c r="H475" s="388"/>
      <c r="I475" s="374"/>
      <c r="J475" s="374"/>
      <c r="K475" s="374"/>
      <c r="L475" s="374"/>
      <c r="M475" s="374"/>
      <c r="N475" s="374"/>
      <c r="O475" s="374"/>
      <c r="P475" s="374"/>
      <c r="Q475" s="374"/>
      <c r="R475" s="374"/>
      <c r="S475" s="374"/>
      <c r="T475" s="374"/>
      <c r="U475" s="374"/>
      <c r="V475" s="374"/>
      <c r="W475" s="374"/>
      <c r="X475" s="374"/>
      <c r="Y475" s="374"/>
      <c r="Z475" s="374"/>
    </row>
    <row r="476" ht="15.75" customHeight="1">
      <c r="A476" s="374"/>
      <c r="B476" s="374"/>
      <c r="C476" s="374"/>
      <c r="D476" s="374"/>
      <c r="E476" s="374"/>
      <c r="F476" s="374"/>
      <c r="G476" s="388"/>
      <c r="H476" s="388"/>
      <c r="I476" s="374"/>
      <c r="J476" s="374"/>
      <c r="K476" s="374"/>
      <c r="L476" s="374"/>
      <c r="M476" s="374"/>
      <c r="N476" s="374"/>
      <c r="O476" s="374"/>
      <c r="P476" s="374"/>
      <c r="Q476" s="374"/>
      <c r="R476" s="374"/>
      <c r="S476" s="374"/>
      <c r="T476" s="374"/>
      <c r="U476" s="374"/>
      <c r="V476" s="374"/>
      <c r="W476" s="374"/>
      <c r="X476" s="374"/>
      <c r="Y476" s="374"/>
      <c r="Z476" s="374"/>
    </row>
    <row r="477" ht="15.75" customHeight="1">
      <c r="A477" s="374"/>
      <c r="B477" s="374"/>
      <c r="C477" s="374"/>
      <c r="D477" s="374"/>
      <c r="E477" s="374"/>
      <c r="F477" s="374"/>
      <c r="G477" s="388"/>
      <c r="H477" s="388"/>
      <c r="I477" s="374"/>
      <c r="J477" s="374"/>
      <c r="K477" s="374"/>
      <c r="L477" s="374"/>
      <c r="M477" s="374"/>
      <c r="N477" s="374"/>
      <c r="O477" s="374"/>
      <c r="P477" s="374"/>
      <c r="Q477" s="374"/>
      <c r="R477" s="374"/>
      <c r="S477" s="374"/>
      <c r="T477" s="374"/>
      <c r="U477" s="374"/>
      <c r="V477" s="374"/>
      <c r="W477" s="374"/>
      <c r="X477" s="374"/>
      <c r="Y477" s="374"/>
      <c r="Z477" s="374"/>
    </row>
    <row r="478" ht="15.75" customHeight="1">
      <c r="A478" s="374"/>
      <c r="B478" s="374"/>
      <c r="C478" s="374"/>
      <c r="D478" s="374"/>
      <c r="E478" s="374"/>
      <c r="F478" s="374"/>
      <c r="G478" s="388"/>
      <c r="H478" s="388"/>
      <c r="I478" s="374"/>
      <c r="J478" s="374"/>
      <c r="K478" s="374"/>
      <c r="L478" s="374"/>
      <c r="M478" s="374"/>
      <c r="N478" s="374"/>
      <c r="O478" s="374"/>
      <c r="P478" s="374"/>
      <c r="Q478" s="374"/>
      <c r="R478" s="374"/>
      <c r="S478" s="374"/>
      <c r="T478" s="374"/>
      <c r="U478" s="374"/>
      <c r="V478" s="374"/>
      <c r="W478" s="374"/>
      <c r="X478" s="374"/>
      <c r="Y478" s="374"/>
      <c r="Z478" s="374"/>
    </row>
    <row r="479" ht="15.75" customHeight="1">
      <c r="A479" s="374"/>
      <c r="B479" s="374"/>
      <c r="C479" s="374"/>
      <c r="D479" s="374"/>
      <c r="E479" s="374"/>
      <c r="F479" s="374"/>
      <c r="G479" s="388"/>
      <c r="H479" s="388"/>
      <c r="I479" s="374"/>
      <c r="J479" s="374"/>
      <c r="K479" s="374"/>
      <c r="L479" s="374"/>
      <c r="M479" s="374"/>
      <c r="N479" s="374"/>
      <c r="O479" s="374"/>
      <c r="P479" s="374"/>
      <c r="Q479" s="374"/>
      <c r="R479" s="374"/>
      <c r="S479" s="374"/>
      <c r="T479" s="374"/>
      <c r="U479" s="374"/>
      <c r="V479" s="374"/>
      <c r="W479" s="374"/>
      <c r="X479" s="374"/>
      <c r="Y479" s="374"/>
      <c r="Z479" s="374"/>
    </row>
    <row r="480" ht="15.75" customHeight="1">
      <c r="A480" s="374"/>
      <c r="B480" s="374"/>
      <c r="C480" s="374"/>
      <c r="D480" s="374"/>
      <c r="E480" s="374"/>
      <c r="F480" s="374"/>
      <c r="G480" s="388"/>
      <c r="H480" s="388"/>
      <c r="I480" s="374"/>
      <c r="J480" s="374"/>
      <c r="K480" s="374"/>
      <c r="L480" s="374"/>
      <c r="M480" s="374"/>
      <c r="N480" s="374"/>
      <c r="O480" s="374"/>
      <c r="P480" s="374"/>
      <c r="Q480" s="374"/>
      <c r="R480" s="374"/>
      <c r="S480" s="374"/>
      <c r="T480" s="374"/>
      <c r="U480" s="374"/>
      <c r="V480" s="374"/>
      <c r="W480" s="374"/>
      <c r="X480" s="374"/>
      <c r="Y480" s="374"/>
      <c r="Z480" s="374"/>
    </row>
    <row r="481" ht="15.75" customHeight="1">
      <c r="A481" s="374"/>
      <c r="B481" s="374"/>
      <c r="C481" s="374"/>
      <c r="D481" s="374"/>
      <c r="E481" s="374"/>
      <c r="F481" s="374"/>
      <c r="G481" s="388"/>
      <c r="H481" s="388"/>
      <c r="I481" s="374"/>
      <c r="J481" s="374"/>
      <c r="K481" s="374"/>
      <c r="L481" s="374"/>
      <c r="M481" s="374"/>
      <c r="N481" s="374"/>
      <c r="O481" s="374"/>
      <c r="P481" s="374"/>
      <c r="Q481" s="374"/>
      <c r="R481" s="374"/>
      <c r="S481" s="374"/>
      <c r="T481" s="374"/>
      <c r="U481" s="374"/>
      <c r="V481" s="374"/>
      <c r="W481" s="374"/>
      <c r="X481" s="374"/>
      <c r="Y481" s="374"/>
      <c r="Z481" s="374"/>
    </row>
    <row r="482" ht="15.75" customHeight="1">
      <c r="A482" s="374"/>
      <c r="B482" s="374"/>
      <c r="C482" s="374"/>
      <c r="D482" s="374"/>
      <c r="E482" s="374"/>
      <c r="F482" s="374"/>
      <c r="G482" s="388"/>
      <c r="H482" s="388"/>
      <c r="I482" s="374"/>
      <c r="J482" s="374"/>
      <c r="K482" s="374"/>
      <c r="L482" s="374"/>
      <c r="M482" s="374"/>
      <c r="N482" s="374"/>
      <c r="O482" s="374"/>
      <c r="P482" s="374"/>
      <c r="Q482" s="374"/>
      <c r="R482" s="374"/>
      <c r="S482" s="374"/>
      <c r="T482" s="374"/>
      <c r="U482" s="374"/>
      <c r="V482" s="374"/>
      <c r="W482" s="374"/>
      <c r="X482" s="374"/>
      <c r="Y482" s="374"/>
      <c r="Z482" s="374"/>
    </row>
    <row r="483" ht="15.75" customHeight="1">
      <c r="A483" s="374"/>
      <c r="B483" s="374"/>
      <c r="C483" s="374"/>
      <c r="D483" s="374"/>
      <c r="E483" s="374"/>
      <c r="F483" s="374"/>
      <c r="G483" s="388"/>
      <c r="H483" s="388"/>
      <c r="I483" s="374"/>
      <c r="J483" s="374"/>
      <c r="K483" s="374"/>
      <c r="L483" s="374"/>
      <c r="M483" s="374"/>
      <c r="N483" s="374"/>
      <c r="O483" s="374"/>
      <c r="P483" s="374"/>
      <c r="Q483" s="374"/>
      <c r="R483" s="374"/>
      <c r="S483" s="374"/>
      <c r="T483" s="374"/>
      <c r="U483" s="374"/>
      <c r="V483" s="374"/>
      <c r="W483" s="374"/>
      <c r="X483" s="374"/>
      <c r="Y483" s="374"/>
      <c r="Z483" s="374"/>
    </row>
    <row r="484" ht="15.75" customHeight="1">
      <c r="A484" s="374"/>
      <c r="B484" s="374"/>
      <c r="C484" s="374"/>
      <c r="D484" s="374"/>
      <c r="E484" s="374"/>
      <c r="F484" s="374"/>
      <c r="G484" s="388"/>
      <c r="H484" s="388"/>
      <c r="I484" s="374"/>
      <c r="J484" s="374"/>
      <c r="K484" s="374"/>
      <c r="L484" s="374"/>
      <c r="M484" s="374"/>
      <c r="N484" s="374"/>
      <c r="O484" s="374"/>
      <c r="P484" s="374"/>
      <c r="Q484" s="374"/>
      <c r="R484" s="374"/>
      <c r="S484" s="374"/>
      <c r="T484" s="374"/>
      <c r="U484" s="374"/>
      <c r="V484" s="374"/>
      <c r="W484" s="374"/>
      <c r="X484" s="374"/>
      <c r="Y484" s="374"/>
      <c r="Z484" s="374"/>
    </row>
    <row r="485" ht="15.75" customHeight="1">
      <c r="A485" s="374"/>
      <c r="B485" s="374"/>
      <c r="C485" s="374"/>
      <c r="D485" s="374"/>
      <c r="E485" s="374"/>
      <c r="F485" s="374"/>
      <c r="G485" s="388"/>
      <c r="H485" s="388"/>
      <c r="I485" s="374"/>
      <c r="J485" s="374"/>
      <c r="K485" s="374"/>
      <c r="L485" s="374"/>
      <c r="M485" s="374"/>
      <c r="N485" s="374"/>
      <c r="O485" s="374"/>
      <c r="P485" s="374"/>
      <c r="Q485" s="374"/>
      <c r="R485" s="374"/>
      <c r="S485" s="374"/>
      <c r="T485" s="374"/>
      <c r="U485" s="374"/>
      <c r="V485" s="374"/>
      <c r="W485" s="374"/>
      <c r="X485" s="374"/>
      <c r="Y485" s="374"/>
      <c r="Z485" s="374"/>
    </row>
    <row r="486" ht="15.75" customHeight="1">
      <c r="A486" s="374"/>
      <c r="B486" s="374"/>
      <c r="C486" s="374"/>
      <c r="D486" s="374"/>
      <c r="E486" s="374"/>
      <c r="F486" s="374"/>
      <c r="G486" s="388"/>
      <c r="H486" s="388"/>
      <c r="I486" s="374"/>
      <c r="J486" s="374"/>
      <c r="K486" s="374"/>
      <c r="L486" s="374"/>
      <c r="M486" s="374"/>
      <c r="N486" s="374"/>
      <c r="O486" s="374"/>
      <c r="P486" s="374"/>
      <c r="Q486" s="374"/>
      <c r="R486" s="374"/>
      <c r="S486" s="374"/>
      <c r="T486" s="374"/>
      <c r="U486" s="374"/>
      <c r="V486" s="374"/>
      <c r="W486" s="374"/>
      <c r="X486" s="374"/>
      <c r="Y486" s="374"/>
      <c r="Z486" s="374"/>
    </row>
    <row r="487" ht="15.75" customHeight="1">
      <c r="A487" s="374"/>
      <c r="B487" s="374"/>
      <c r="C487" s="374"/>
      <c r="D487" s="374"/>
      <c r="E487" s="374"/>
      <c r="F487" s="374"/>
      <c r="G487" s="388"/>
      <c r="H487" s="388"/>
      <c r="I487" s="374"/>
      <c r="J487" s="374"/>
      <c r="K487" s="374"/>
      <c r="L487" s="374"/>
      <c r="M487" s="374"/>
      <c r="N487" s="374"/>
      <c r="O487" s="374"/>
      <c r="P487" s="374"/>
      <c r="Q487" s="374"/>
      <c r="R487" s="374"/>
      <c r="S487" s="374"/>
      <c r="T487" s="374"/>
      <c r="U487" s="374"/>
      <c r="V487" s="374"/>
      <c r="W487" s="374"/>
      <c r="X487" s="374"/>
      <c r="Y487" s="374"/>
      <c r="Z487" s="374"/>
    </row>
    <row r="488" ht="15.75" customHeight="1">
      <c r="A488" s="374"/>
      <c r="B488" s="374"/>
      <c r="C488" s="374"/>
      <c r="D488" s="374"/>
      <c r="E488" s="374"/>
      <c r="F488" s="374"/>
      <c r="G488" s="388"/>
      <c r="H488" s="388"/>
      <c r="I488" s="374"/>
      <c r="J488" s="374"/>
      <c r="K488" s="374"/>
      <c r="L488" s="374"/>
      <c r="M488" s="374"/>
      <c r="N488" s="374"/>
      <c r="O488" s="374"/>
      <c r="P488" s="374"/>
      <c r="Q488" s="374"/>
      <c r="R488" s="374"/>
      <c r="S488" s="374"/>
      <c r="T488" s="374"/>
      <c r="U488" s="374"/>
      <c r="V488" s="374"/>
      <c r="W488" s="374"/>
      <c r="X488" s="374"/>
      <c r="Y488" s="374"/>
      <c r="Z488" s="374"/>
    </row>
    <row r="489" ht="15.75" customHeight="1">
      <c r="A489" s="374"/>
      <c r="B489" s="374"/>
      <c r="C489" s="374"/>
      <c r="D489" s="374"/>
      <c r="E489" s="374"/>
      <c r="F489" s="374"/>
      <c r="G489" s="388"/>
      <c r="H489" s="388"/>
      <c r="I489" s="374"/>
      <c r="J489" s="374"/>
      <c r="K489" s="374"/>
      <c r="L489" s="374"/>
      <c r="M489" s="374"/>
      <c r="N489" s="374"/>
      <c r="O489" s="374"/>
      <c r="P489" s="374"/>
      <c r="Q489" s="374"/>
      <c r="R489" s="374"/>
      <c r="S489" s="374"/>
      <c r="T489" s="374"/>
      <c r="U489" s="374"/>
      <c r="V489" s="374"/>
      <c r="W489" s="374"/>
      <c r="X489" s="374"/>
      <c r="Y489" s="374"/>
      <c r="Z489" s="374"/>
    </row>
    <row r="490" ht="15.75" customHeight="1">
      <c r="A490" s="374"/>
      <c r="B490" s="374"/>
      <c r="C490" s="374"/>
      <c r="D490" s="374"/>
      <c r="E490" s="374"/>
      <c r="F490" s="374"/>
      <c r="G490" s="388"/>
      <c r="H490" s="388"/>
      <c r="I490" s="374"/>
      <c r="J490" s="374"/>
      <c r="K490" s="374"/>
      <c r="L490" s="374"/>
      <c r="M490" s="374"/>
      <c r="N490" s="374"/>
      <c r="O490" s="374"/>
      <c r="P490" s="374"/>
      <c r="Q490" s="374"/>
      <c r="R490" s="374"/>
      <c r="S490" s="374"/>
      <c r="T490" s="374"/>
      <c r="U490" s="374"/>
      <c r="V490" s="374"/>
      <c r="W490" s="374"/>
      <c r="X490" s="374"/>
      <c r="Y490" s="374"/>
      <c r="Z490" s="374"/>
    </row>
    <row r="491" ht="15.75" customHeight="1">
      <c r="A491" s="374"/>
      <c r="B491" s="374"/>
      <c r="C491" s="374"/>
      <c r="D491" s="374"/>
      <c r="E491" s="374"/>
      <c r="F491" s="374"/>
      <c r="G491" s="388"/>
      <c r="H491" s="388"/>
      <c r="I491" s="374"/>
      <c r="J491" s="374"/>
      <c r="K491" s="374"/>
      <c r="L491" s="374"/>
      <c r="M491" s="374"/>
      <c r="N491" s="374"/>
      <c r="O491" s="374"/>
      <c r="P491" s="374"/>
      <c r="Q491" s="374"/>
      <c r="R491" s="374"/>
      <c r="S491" s="374"/>
      <c r="T491" s="374"/>
      <c r="U491" s="374"/>
      <c r="V491" s="374"/>
      <c r="W491" s="374"/>
      <c r="X491" s="374"/>
      <c r="Y491" s="374"/>
      <c r="Z491" s="374"/>
    </row>
    <row r="492" ht="15.75" customHeight="1">
      <c r="A492" s="374"/>
      <c r="B492" s="374"/>
      <c r="C492" s="374"/>
      <c r="D492" s="374"/>
      <c r="E492" s="374"/>
      <c r="F492" s="374"/>
      <c r="G492" s="388"/>
      <c r="H492" s="388"/>
      <c r="I492" s="374"/>
      <c r="J492" s="374"/>
      <c r="K492" s="374"/>
      <c r="L492" s="374"/>
      <c r="M492" s="374"/>
      <c r="N492" s="374"/>
      <c r="O492" s="374"/>
      <c r="P492" s="374"/>
      <c r="Q492" s="374"/>
      <c r="R492" s="374"/>
      <c r="S492" s="374"/>
      <c r="T492" s="374"/>
      <c r="U492" s="374"/>
      <c r="V492" s="374"/>
      <c r="W492" s="374"/>
      <c r="X492" s="374"/>
      <c r="Y492" s="374"/>
      <c r="Z492" s="374"/>
    </row>
    <row r="493" ht="15.75" customHeight="1">
      <c r="A493" s="374"/>
      <c r="B493" s="374"/>
      <c r="C493" s="374"/>
      <c r="D493" s="374"/>
      <c r="E493" s="374"/>
      <c r="F493" s="374"/>
      <c r="G493" s="388"/>
      <c r="H493" s="388"/>
      <c r="I493" s="374"/>
      <c r="J493" s="374"/>
      <c r="K493" s="374"/>
      <c r="L493" s="374"/>
      <c r="M493" s="374"/>
      <c r="N493" s="374"/>
      <c r="O493" s="374"/>
      <c r="P493" s="374"/>
      <c r="Q493" s="374"/>
      <c r="R493" s="374"/>
      <c r="S493" s="374"/>
      <c r="T493" s="374"/>
      <c r="U493" s="374"/>
      <c r="V493" s="374"/>
      <c r="W493" s="374"/>
      <c r="X493" s="374"/>
      <c r="Y493" s="374"/>
      <c r="Z493" s="374"/>
    </row>
    <row r="494" ht="15.75" customHeight="1">
      <c r="A494" s="374"/>
      <c r="B494" s="374"/>
      <c r="C494" s="374"/>
      <c r="D494" s="374"/>
      <c r="E494" s="374"/>
      <c r="F494" s="374"/>
      <c r="G494" s="388"/>
      <c r="H494" s="388"/>
      <c r="I494" s="374"/>
      <c r="J494" s="374"/>
      <c r="K494" s="374"/>
      <c r="L494" s="374"/>
      <c r="M494" s="374"/>
      <c r="N494" s="374"/>
      <c r="O494" s="374"/>
      <c r="P494" s="374"/>
      <c r="Q494" s="374"/>
      <c r="R494" s="374"/>
      <c r="S494" s="374"/>
      <c r="T494" s="374"/>
      <c r="U494" s="374"/>
      <c r="V494" s="374"/>
      <c r="W494" s="374"/>
      <c r="X494" s="374"/>
      <c r="Y494" s="374"/>
      <c r="Z494" s="374"/>
    </row>
    <row r="495" ht="15.75" customHeight="1">
      <c r="A495" s="374"/>
      <c r="B495" s="374"/>
      <c r="C495" s="374"/>
      <c r="D495" s="374"/>
      <c r="E495" s="374"/>
      <c r="F495" s="374"/>
      <c r="G495" s="388"/>
      <c r="H495" s="388"/>
      <c r="I495" s="374"/>
      <c r="J495" s="374"/>
      <c r="K495" s="374"/>
      <c r="L495" s="374"/>
      <c r="M495" s="374"/>
      <c r="N495" s="374"/>
      <c r="O495" s="374"/>
      <c r="P495" s="374"/>
      <c r="Q495" s="374"/>
      <c r="R495" s="374"/>
      <c r="S495" s="374"/>
      <c r="T495" s="374"/>
      <c r="U495" s="374"/>
      <c r="V495" s="374"/>
      <c r="W495" s="374"/>
      <c r="X495" s="374"/>
      <c r="Y495" s="374"/>
      <c r="Z495" s="374"/>
    </row>
    <row r="496" ht="15.75" customHeight="1">
      <c r="A496" s="374"/>
      <c r="B496" s="374"/>
      <c r="C496" s="374"/>
      <c r="D496" s="374"/>
      <c r="E496" s="374"/>
      <c r="F496" s="374"/>
      <c r="G496" s="388"/>
      <c r="H496" s="388"/>
      <c r="I496" s="374"/>
      <c r="J496" s="374"/>
      <c r="K496" s="374"/>
      <c r="L496" s="374"/>
      <c r="M496" s="374"/>
      <c r="N496" s="374"/>
      <c r="O496" s="374"/>
      <c r="P496" s="374"/>
      <c r="Q496" s="374"/>
      <c r="R496" s="374"/>
      <c r="S496" s="374"/>
      <c r="T496" s="374"/>
      <c r="U496" s="374"/>
      <c r="V496" s="374"/>
      <c r="W496" s="374"/>
      <c r="X496" s="374"/>
      <c r="Y496" s="374"/>
      <c r="Z496" s="374"/>
    </row>
    <row r="497" ht="15.75" customHeight="1">
      <c r="A497" s="374"/>
      <c r="B497" s="374"/>
      <c r="C497" s="374"/>
      <c r="D497" s="374"/>
      <c r="E497" s="374"/>
      <c r="F497" s="374"/>
      <c r="G497" s="388"/>
      <c r="H497" s="388"/>
      <c r="I497" s="374"/>
      <c r="J497" s="374"/>
      <c r="K497" s="374"/>
      <c r="L497" s="374"/>
      <c r="M497" s="374"/>
      <c r="N497" s="374"/>
      <c r="O497" s="374"/>
      <c r="P497" s="374"/>
      <c r="Q497" s="374"/>
      <c r="R497" s="374"/>
      <c r="S497" s="374"/>
      <c r="T497" s="374"/>
      <c r="U497" s="374"/>
      <c r="V497" s="374"/>
      <c r="W497" s="374"/>
      <c r="X497" s="374"/>
      <c r="Y497" s="374"/>
      <c r="Z497" s="374"/>
    </row>
    <row r="498" ht="15.75" customHeight="1">
      <c r="A498" s="374"/>
      <c r="B498" s="374"/>
      <c r="C498" s="374"/>
      <c r="D498" s="374"/>
      <c r="E498" s="374"/>
      <c r="F498" s="374"/>
      <c r="G498" s="388"/>
      <c r="H498" s="388"/>
      <c r="I498" s="374"/>
      <c r="J498" s="374"/>
      <c r="K498" s="374"/>
      <c r="L498" s="374"/>
      <c r="M498" s="374"/>
      <c r="N498" s="374"/>
      <c r="O498" s="374"/>
      <c r="P498" s="374"/>
      <c r="Q498" s="374"/>
      <c r="R498" s="374"/>
      <c r="S498" s="374"/>
      <c r="T498" s="374"/>
      <c r="U498" s="374"/>
      <c r="V498" s="374"/>
      <c r="W498" s="374"/>
      <c r="X498" s="374"/>
      <c r="Y498" s="374"/>
      <c r="Z498" s="374"/>
    </row>
    <row r="499" ht="15.75" customHeight="1">
      <c r="A499" s="374"/>
      <c r="B499" s="374"/>
      <c r="C499" s="374"/>
      <c r="D499" s="374"/>
      <c r="E499" s="374"/>
      <c r="F499" s="374"/>
      <c r="G499" s="388"/>
      <c r="H499" s="388"/>
      <c r="I499" s="374"/>
      <c r="J499" s="374"/>
      <c r="K499" s="374"/>
      <c r="L499" s="374"/>
      <c r="M499" s="374"/>
      <c r="N499" s="374"/>
      <c r="O499" s="374"/>
      <c r="P499" s="374"/>
      <c r="Q499" s="374"/>
      <c r="R499" s="374"/>
      <c r="S499" s="374"/>
      <c r="T499" s="374"/>
      <c r="U499" s="374"/>
      <c r="V499" s="374"/>
      <c r="W499" s="374"/>
      <c r="X499" s="374"/>
      <c r="Y499" s="374"/>
      <c r="Z499" s="374"/>
    </row>
    <row r="500" ht="15.75" customHeight="1">
      <c r="A500" s="374"/>
      <c r="B500" s="374"/>
      <c r="C500" s="374"/>
      <c r="D500" s="374"/>
      <c r="E500" s="374"/>
      <c r="F500" s="374"/>
      <c r="G500" s="388"/>
      <c r="H500" s="388"/>
      <c r="I500" s="374"/>
      <c r="J500" s="374"/>
      <c r="K500" s="374"/>
      <c r="L500" s="374"/>
      <c r="M500" s="374"/>
      <c r="N500" s="374"/>
      <c r="O500" s="374"/>
      <c r="P500" s="374"/>
      <c r="Q500" s="374"/>
      <c r="R500" s="374"/>
      <c r="S500" s="374"/>
      <c r="T500" s="374"/>
      <c r="U500" s="374"/>
      <c r="V500" s="374"/>
      <c r="W500" s="374"/>
      <c r="X500" s="374"/>
      <c r="Y500" s="374"/>
      <c r="Z500" s="374"/>
    </row>
    <row r="501" ht="15.75" customHeight="1">
      <c r="A501" s="374"/>
      <c r="B501" s="374"/>
      <c r="C501" s="374"/>
      <c r="D501" s="374"/>
      <c r="E501" s="374"/>
      <c r="F501" s="374"/>
      <c r="G501" s="388"/>
      <c r="H501" s="388"/>
      <c r="I501" s="374"/>
      <c r="J501" s="374"/>
      <c r="K501" s="374"/>
      <c r="L501" s="374"/>
      <c r="M501" s="374"/>
      <c r="N501" s="374"/>
      <c r="O501" s="374"/>
      <c r="P501" s="374"/>
      <c r="Q501" s="374"/>
      <c r="R501" s="374"/>
      <c r="S501" s="374"/>
      <c r="T501" s="374"/>
      <c r="U501" s="374"/>
      <c r="V501" s="374"/>
      <c r="W501" s="374"/>
      <c r="X501" s="374"/>
      <c r="Y501" s="374"/>
      <c r="Z501" s="374"/>
    </row>
    <row r="502" ht="15.75" customHeight="1">
      <c r="A502" s="374"/>
      <c r="B502" s="374"/>
      <c r="C502" s="374"/>
      <c r="D502" s="374"/>
      <c r="E502" s="374"/>
      <c r="F502" s="374"/>
      <c r="G502" s="388"/>
      <c r="H502" s="388"/>
      <c r="I502" s="374"/>
      <c r="J502" s="374"/>
      <c r="K502" s="374"/>
      <c r="L502" s="374"/>
      <c r="M502" s="374"/>
      <c r="N502" s="374"/>
      <c r="O502" s="374"/>
      <c r="P502" s="374"/>
      <c r="Q502" s="374"/>
      <c r="R502" s="374"/>
      <c r="S502" s="374"/>
      <c r="T502" s="374"/>
      <c r="U502" s="374"/>
      <c r="V502" s="374"/>
      <c r="W502" s="374"/>
      <c r="X502" s="374"/>
      <c r="Y502" s="374"/>
      <c r="Z502" s="374"/>
    </row>
    <row r="503" ht="15.75" customHeight="1">
      <c r="A503" s="374"/>
      <c r="B503" s="374"/>
      <c r="C503" s="374"/>
      <c r="D503" s="374"/>
      <c r="E503" s="374"/>
      <c r="F503" s="374"/>
      <c r="G503" s="388"/>
      <c r="H503" s="388"/>
      <c r="I503" s="374"/>
      <c r="J503" s="374"/>
      <c r="K503" s="374"/>
      <c r="L503" s="374"/>
      <c r="M503" s="374"/>
      <c r="N503" s="374"/>
      <c r="O503" s="374"/>
      <c r="P503" s="374"/>
      <c r="Q503" s="374"/>
      <c r="R503" s="374"/>
      <c r="S503" s="374"/>
      <c r="T503" s="374"/>
      <c r="U503" s="374"/>
      <c r="V503" s="374"/>
      <c r="W503" s="374"/>
      <c r="X503" s="374"/>
      <c r="Y503" s="374"/>
      <c r="Z503" s="374"/>
    </row>
    <row r="504" ht="15.75" customHeight="1">
      <c r="A504" s="374"/>
      <c r="B504" s="374"/>
      <c r="C504" s="374"/>
      <c r="D504" s="374"/>
      <c r="E504" s="374"/>
      <c r="F504" s="374"/>
      <c r="G504" s="388"/>
      <c r="H504" s="388"/>
      <c r="I504" s="374"/>
      <c r="J504" s="374"/>
      <c r="K504" s="374"/>
      <c r="L504" s="374"/>
      <c r="M504" s="374"/>
      <c r="N504" s="374"/>
      <c r="O504" s="374"/>
      <c r="P504" s="374"/>
      <c r="Q504" s="374"/>
      <c r="R504" s="374"/>
      <c r="S504" s="374"/>
      <c r="T504" s="374"/>
      <c r="U504" s="374"/>
      <c r="V504" s="374"/>
      <c r="W504" s="374"/>
      <c r="X504" s="374"/>
      <c r="Y504" s="374"/>
      <c r="Z504" s="374"/>
    </row>
    <row r="505" ht="15.75" customHeight="1">
      <c r="A505" s="374"/>
      <c r="B505" s="374"/>
      <c r="C505" s="374"/>
      <c r="D505" s="374"/>
      <c r="E505" s="374"/>
      <c r="F505" s="374"/>
      <c r="G505" s="388"/>
      <c r="H505" s="388"/>
      <c r="I505" s="374"/>
      <c r="J505" s="374"/>
      <c r="K505" s="374"/>
      <c r="L505" s="374"/>
      <c r="M505" s="374"/>
      <c r="N505" s="374"/>
      <c r="O505" s="374"/>
      <c r="P505" s="374"/>
      <c r="Q505" s="374"/>
      <c r="R505" s="374"/>
      <c r="S505" s="374"/>
      <c r="T505" s="374"/>
      <c r="U505" s="374"/>
      <c r="V505" s="374"/>
      <c r="W505" s="374"/>
      <c r="X505" s="374"/>
      <c r="Y505" s="374"/>
      <c r="Z505" s="374"/>
    </row>
    <row r="506" ht="15.75" customHeight="1">
      <c r="A506" s="374"/>
      <c r="B506" s="374"/>
      <c r="C506" s="374"/>
      <c r="D506" s="374"/>
      <c r="E506" s="374"/>
      <c r="F506" s="374"/>
      <c r="G506" s="388"/>
      <c r="H506" s="388"/>
      <c r="I506" s="374"/>
      <c r="J506" s="374"/>
      <c r="K506" s="374"/>
      <c r="L506" s="374"/>
      <c r="M506" s="374"/>
      <c r="N506" s="374"/>
      <c r="O506" s="374"/>
      <c r="P506" s="374"/>
      <c r="Q506" s="374"/>
      <c r="R506" s="374"/>
      <c r="S506" s="374"/>
      <c r="T506" s="374"/>
      <c r="U506" s="374"/>
      <c r="V506" s="374"/>
      <c r="W506" s="374"/>
      <c r="X506" s="374"/>
      <c r="Y506" s="374"/>
      <c r="Z506" s="374"/>
    </row>
    <row r="507" ht="15.75" customHeight="1">
      <c r="A507" s="374"/>
      <c r="B507" s="374"/>
      <c r="C507" s="374"/>
      <c r="D507" s="374"/>
      <c r="E507" s="374"/>
      <c r="F507" s="374"/>
      <c r="G507" s="388"/>
      <c r="H507" s="388"/>
      <c r="I507" s="374"/>
      <c r="J507" s="374"/>
      <c r="K507" s="374"/>
      <c r="L507" s="374"/>
      <c r="M507" s="374"/>
      <c r="N507" s="374"/>
      <c r="O507" s="374"/>
      <c r="P507" s="374"/>
      <c r="Q507" s="374"/>
      <c r="R507" s="374"/>
      <c r="S507" s="374"/>
      <c r="T507" s="374"/>
      <c r="U507" s="374"/>
      <c r="V507" s="374"/>
      <c r="W507" s="374"/>
      <c r="X507" s="374"/>
      <c r="Y507" s="374"/>
      <c r="Z507" s="374"/>
    </row>
    <row r="508" ht="15.75" customHeight="1">
      <c r="A508" s="374"/>
      <c r="B508" s="374"/>
      <c r="C508" s="374"/>
      <c r="D508" s="374"/>
      <c r="E508" s="374"/>
      <c r="F508" s="374"/>
      <c r="G508" s="388"/>
      <c r="H508" s="388"/>
      <c r="I508" s="374"/>
      <c r="J508" s="374"/>
      <c r="K508" s="374"/>
      <c r="L508" s="374"/>
      <c r="M508" s="374"/>
      <c r="N508" s="374"/>
      <c r="O508" s="374"/>
      <c r="P508" s="374"/>
      <c r="Q508" s="374"/>
      <c r="R508" s="374"/>
      <c r="S508" s="374"/>
      <c r="T508" s="374"/>
      <c r="U508" s="374"/>
      <c r="V508" s="374"/>
      <c r="W508" s="374"/>
      <c r="X508" s="374"/>
      <c r="Y508" s="374"/>
      <c r="Z508" s="374"/>
    </row>
    <row r="509" ht="15.75" customHeight="1">
      <c r="A509" s="374"/>
      <c r="B509" s="374"/>
      <c r="C509" s="374"/>
      <c r="D509" s="374"/>
      <c r="E509" s="374"/>
      <c r="F509" s="374"/>
      <c r="G509" s="388"/>
      <c r="H509" s="388"/>
      <c r="I509" s="374"/>
      <c r="J509" s="374"/>
      <c r="K509" s="374"/>
      <c r="L509" s="374"/>
      <c r="M509" s="374"/>
      <c r="N509" s="374"/>
      <c r="O509" s="374"/>
      <c r="P509" s="374"/>
      <c r="Q509" s="374"/>
      <c r="R509" s="374"/>
      <c r="S509" s="374"/>
      <c r="T509" s="374"/>
      <c r="U509" s="374"/>
      <c r="V509" s="374"/>
      <c r="W509" s="374"/>
      <c r="X509" s="374"/>
      <c r="Y509" s="374"/>
      <c r="Z509" s="374"/>
    </row>
    <row r="510" ht="15.75" customHeight="1">
      <c r="A510" s="374"/>
      <c r="B510" s="374"/>
      <c r="C510" s="374"/>
      <c r="D510" s="374"/>
      <c r="E510" s="374"/>
      <c r="F510" s="374"/>
      <c r="G510" s="388"/>
      <c r="H510" s="388"/>
      <c r="I510" s="374"/>
      <c r="J510" s="374"/>
      <c r="K510" s="374"/>
      <c r="L510" s="374"/>
      <c r="M510" s="374"/>
      <c r="N510" s="374"/>
      <c r="O510" s="374"/>
      <c r="P510" s="374"/>
      <c r="Q510" s="374"/>
      <c r="R510" s="374"/>
      <c r="S510" s="374"/>
      <c r="T510" s="374"/>
      <c r="U510" s="374"/>
      <c r="V510" s="374"/>
      <c r="W510" s="374"/>
      <c r="X510" s="374"/>
      <c r="Y510" s="374"/>
      <c r="Z510" s="374"/>
    </row>
    <row r="511" ht="15.75" customHeight="1">
      <c r="A511" s="374"/>
      <c r="B511" s="374"/>
      <c r="C511" s="374"/>
      <c r="D511" s="374"/>
      <c r="E511" s="374"/>
      <c r="F511" s="374"/>
      <c r="G511" s="388"/>
      <c r="H511" s="388"/>
      <c r="I511" s="374"/>
      <c r="J511" s="374"/>
      <c r="K511" s="374"/>
      <c r="L511" s="374"/>
      <c r="M511" s="374"/>
      <c r="N511" s="374"/>
      <c r="O511" s="374"/>
      <c r="P511" s="374"/>
      <c r="Q511" s="374"/>
      <c r="R511" s="374"/>
      <c r="S511" s="374"/>
      <c r="T511" s="374"/>
      <c r="U511" s="374"/>
      <c r="V511" s="374"/>
      <c r="W511" s="374"/>
      <c r="X511" s="374"/>
      <c r="Y511" s="374"/>
      <c r="Z511" s="374"/>
    </row>
    <row r="512" ht="15.75" customHeight="1">
      <c r="A512" s="374"/>
      <c r="B512" s="374"/>
      <c r="C512" s="374"/>
      <c r="D512" s="374"/>
      <c r="E512" s="374"/>
      <c r="F512" s="374"/>
      <c r="G512" s="388"/>
      <c r="H512" s="388"/>
      <c r="I512" s="374"/>
      <c r="J512" s="374"/>
      <c r="K512" s="374"/>
      <c r="L512" s="374"/>
      <c r="M512" s="374"/>
      <c r="N512" s="374"/>
      <c r="O512" s="374"/>
      <c r="P512" s="374"/>
      <c r="Q512" s="374"/>
      <c r="R512" s="374"/>
      <c r="S512" s="374"/>
      <c r="T512" s="374"/>
      <c r="U512" s="374"/>
      <c r="V512" s="374"/>
      <c r="W512" s="374"/>
      <c r="X512" s="374"/>
      <c r="Y512" s="374"/>
      <c r="Z512" s="374"/>
    </row>
    <row r="513" ht="15.75" customHeight="1">
      <c r="A513" s="374"/>
      <c r="B513" s="374"/>
      <c r="C513" s="374"/>
      <c r="D513" s="374"/>
      <c r="E513" s="374"/>
      <c r="F513" s="374"/>
      <c r="G513" s="388"/>
      <c r="H513" s="388"/>
      <c r="I513" s="374"/>
      <c r="J513" s="374"/>
      <c r="K513" s="374"/>
      <c r="L513" s="374"/>
      <c r="M513" s="374"/>
      <c r="N513" s="374"/>
      <c r="O513" s="374"/>
      <c r="P513" s="374"/>
      <c r="Q513" s="374"/>
      <c r="R513" s="374"/>
      <c r="S513" s="374"/>
      <c r="T513" s="374"/>
      <c r="U513" s="374"/>
      <c r="V513" s="374"/>
      <c r="W513" s="374"/>
      <c r="X513" s="374"/>
      <c r="Y513" s="374"/>
      <c r="Z513" s="374"/>
    </row>
    <row r="514" ht="15.75" customHeight="1">
      <c r="A514" s="374"/>
      <c r="B514" s="374"/>
      <c r="C514" s="374"/>
      <c r="D514" s="374"/>
      <c r="E514" s="374"/>
      <c r="F514" s="374"/>
      <c r="G514" s="388"/>
      <c r="H514" s="388"/>
      <c r="I514" s="374"/>
      <c r="J514" s="374"/>
      <c r="K514" s="374"/>
      <c r="L514" s="374"/>
      <c r="M514" s="374"/>
      <c r="N514" s="374"/>
      <c r="O514" s="374"/>
      <c r="P514" s="374"/>
      <c r="Q514" s="374"/>
      <c r="R514" s="374"/>
      <c r="S514" s="374"/>
      <c r="T514" s="374"/>
      <c r="U514" s="374"/>
      <c r="V514" s="374"/>
      <c r="W514" s="374"/>
      <c r="X514" s="374"/>
      <c r="Y514" s="374"/>
      <c r="Z514" s="374"/>
    </row>
    <row r="515" ht="15.75" customHeight="1">
      <c r="A515" s="374"/>
      <c r="B515" s="374"/>
      <c r="C515" s="374"/>
      <c r="D515" s="374"/>
      <c r="E515" s="374"/>
      <c r="F515" s="374"/>
      <c r="G515" s="388"/>
      <c r="H515" s="388"/>
      <c r="I515" s="374"/>
      <c r="J515" s="374"/>
      <c r="K515" s="374"/>
      <c r="L515" s="374"/>
      <c r="M515" s="374"/>
      <c r="N515" s="374"/>
      <c r="O515" s="374"/>
      <c r="P515" s="374"/>
      <c r="Q515" s="374"/>
      <c r="R515" s="374"/>
      <c r="S515" s="374"/>
      <c r="T515" s="374"/>
      <c r="U515" s="374"/>
      <c r="V515" s="374"/>
      <c r="W515" s="374"/>
      <c r="X515" s="374"/>
      <c r="Y515" s="374"/>
      <c r="Z515" s="374"/>
    </row>
    <row r="516" ht="15.75" customHeight="1">
      <c r="A516" s="374"/>
      <c r="B516" s="374"/>
      <c r="C516" s="374"/>
      <c r="D516" s="374"/>
      <c r="E516" s="374"/>
      <c r="F516" s="374"/>
      <c r="G516" s="388"/>
      <c r="H516" s="388"/>
      <c r="I516" s="374"/>
      <c r="J516" s="374"/>
      <c r="K516" s="374"/>
      <c r="L516" s="374"/>
      <c r="M516" s="374"/>
      <c r="N516" s="374"/>
      <c r="O516" s="374"/>
      <c r="P516" s="374"/>
      <c r="Q516" s="374"/>
      <c r="R516" s="374"/>
      <c r="S516" s="374"/>
      <c r="T516" s="374"/>
      <c r="U516" s="374"/>
      <c r="V516" s="374"/>
      <c r="W516" s="374"/>
      <c r="X516" s="374"/>
      <c r="Y516" s="374"/>
      <c r="Z516" s="374"/>
    </row>
    <row r="517" ht="15.75" customHeight="1">
      <c r="A517" s="374"/>
      <c r="B517" s="374"/>
      <c r="C517" s="374"/>
      <c r="D517" s="374"/>
      <c r="E517" s="374"/>
      <c r="F517" s="374"/>
      <c r="G517" s="388"/>
      <c r="H517" s="388"/>
      <c r="I517" s="374"/>
      <c r="J517" s="374"/>
      <c r="K517" s="374"/>
      <c r="L517" s="374"/>
      <c r="M517" s="374"/>
      <c r="N517" s="374"/>
      <c r="O517" s="374"/>
      <c r="P517" s="374"/>
      <c r="Q517" s="374"/>
      <c r="R517" s="374"/>
      <c r="S517" s="374"/>
      <c r="T517" s="374"/>
      <c r="U517" s="374"/>
      <c r="V517" s="374"/>
      <c r="W517" s="374"/>
      <c r="X517" s="374"/>
      <c r="Y517" s="374"/>
      <c r="Z517" s="374"/>
    </row>
    <row r="518" ht="15.75" customHeight="1">
      <c r="A518" s="374"/>
      <c r="B518" s="374"/>
      <c r="C518" s="374"/>
      <c r="D518" s="374"/>
      <c r="E518" s="374"/>
      <c r="F518" s="374"/>
      <c r="G518" s="388"/>
      <c r="H518" s="388"/>
      <c r="I518" s="374"/>
      <c r="J518" s="374"/>
      <c r="K518" s="374"/>
      <c r="L518" s="374"/>
      <c r="M518" s="374"/>
      <c r="N518" s="374"/>
      <c r="O518" s="374"/>
      <c r="P518" s="374"/>
      <c r="Q518" s="374"/>
      <c r="R518" s="374"/>
      <c r="S518" s="374"/>
      <c r="T518" s="374"/>
      <c r="U518" s="374"/>
      <c r="V518" s="374"/>
      <c r="W518" s="374"/>
      <c r="X518" s="374"/>
      <c r="Y518" s="374"/>
      <c r="Z518" s="374"/>
    </row>
    <row r="519" ht="15.75" customHeight="1">
      <c r="A519" s="374"/>
      <c r="B519" s="374"/>
      <c r="C519" s="374"/>
      <c r="D519" s="374"/>
      <c r="E519" s="374"/>
      <c r="F519" s="374"/>
      <c r="G519" s="388"/>
      <c r="H519" s="388"/>
      <c r="I519" s="374"/>
      <c r="J519" s="374"/>
      <c r="K519" s="374"/>
      <c r="L519" s="374"/>
      <c r="M519" s="374"/>
      <c r="N519" s="374"/>
      <c r="O519" s="374"/>
      <c r="P519" s="374"/>
      <c r="Q519" s="374"/>
      <c r="R519" s="374"/>
      <c r="S519" s="374"/>
      <c r="T519" s="374"/>
      <c r="U519" s="374"/>
      <c r="V519" s="374"/>
      <c r="W519" s="374"/>
      <c r="X519" s="374"/>
      <c r="Y519" s="374"/>
      <c r="Z519" s="374"/>
    </row>
    <row r="520" ht="15.75" customHeight="1">
      <c r="A520" s="374"/>
      <c r="B520" s="374"/>
      <c r="C520" s="374"/>
      <c r="D520" s="374"/>
      <c r="E520" s="374"/>
      <c r="F520" s="374"/>
      <c r="G520" s="388"/>
      <c r="H520" s="388"/>
      <c r="I520" s="374"/>
      <c r="J520" s="374"/>
      <c r="K520" s="374"/>
      <c r="L520" s="374"/>
      <c r="M520" s="374"/>
      <c r="N520" s="374"/>
      <c r="O520" s="374"/>
      <c r="P520" s="374"/>
      <c r="Q520" s="374"/>
      <c r="R520" s="374"/>
      <c r="S520" s="374"/>
      <c r="T520" s="374"/>
      <c r="U520" s="374"/>
      <c r="V520" s="374"/>
      <c r="W520" s="374"/>
      <c r="X520" s="374"/>
      <c r="Y520" s="374"/>
      <c r="Z520" s="374"/>
    </row>
    <row r="521" ht="15.75" customHeight="1">
      <c r="A521" s="374"/>
      <c r="B521" s="374"/>
      <c r="C521" s="374"/>
      <c r="D521" s="374"/>
      <c r="E521" s="374"/>
      <c r="F521" s="374"/>
      <c r="G521" s="388"/>
      <c r="H521" s="388"/>
      <c r="I521" s="374"/>
      <c r="J521" s="374"/>
      <c r="K521" s="374"/>
      <c r="L521" s="374"/>
      <c r="M521" s="374"/>
      <c r="N521" s="374"/>
      <c r="O521" s="374"/>
      <c r="P521" s="374"/>
      <c r="Q521" s="374"/>
      <c r="R521" s="374"/>
      <c r="S521" s="374"/>
      <c r="T521" s="374"/>
      <c r="U521" s="374"/>
      <c r="V521" s="374"/>
      <c r="W521" s="374"/>
      <c r="X521" s="374"/>
      <c r="Y521" s="374"/>
      <c r="Z521" s="374"/>
    </row>
    <row r="522" ht="15.75" customHeight="1">
      <c r="A522" s="374"/>
      <c r="B522" s="374"/>
      <c r="C522" s="374"/>
      <c r="D522" s="374"/>
      <c r="E522" s="374"/>
      <c r="F522" s="374"/>
      <c r="G522" s="388"/>
      <c r="H522" s="388"/>
      <c r="I522" s="374"/>
      <c r="J522" s="374"/>
      <c r="K522" s="374"/>
      <c r="L522" s="374"/>
      <c r="M522" s="374"/>
      <c r="N522" s="374"/>
      <c r="O522" s="374"/>
      <c r="P522" s="374"/>
      <c r="Q522" s="374"/>
      <c r="R522" s="374"/>
      <c r="S522" s="374"/>
      <c r="T522" s="374"/>
      <c r="U522" s="374"/>
      <c r="V522" s="374"/>
      <c r="W522" s="374"/>
      <c r="X522" s="374"/>
      <c r="Y522" s="374"/>
      <c r="Z522" s="374"/>
    </row>
    <row r="523" ht="15.75" customHeight="1">
      <c r="A523" s="374"/>
      <c r="B523" s="374"/>
      <c r="C523" s="374"/>
      <c r="D523" s="374"/>
      <c r="E523" s="374"/>
      <c r="F523" s="374"/>
      <c r="G523" s="388"/>
      <c r="H523" s="388"/>
      <c r="I523" s="374"/>
      <c r="J523" s="374"/>
      <c r="K523" s="374"/>
      <c r="L523" s="374"/>
      <c r="M523" s="374"/>
      <c r="N523" s="374"/>
      <c r="O523" s="374"/>
      <c r="P523" s="374"/>
      <c r="Q523" s="374"/>
      <c r="R523" s="374"/>
      <c r="S523" s="374"/>
      <c r="T523" s="374"/>
      <c r="U523" s="374"/>
      <c r="V523" s="374"/>
      <c r="W523" s="374"/>
      <c r="X523" s="374"/>
      <c r="Y523" s="374"/>
      <c r="Z523" s="374"/>
    </row>
    <row r="524" ht="15.75" customHeight="1">
      <c r="A524" s="374"/>
      <c r="B524" s="374"/>
      <c r="C524" s="374"/>
      <c r="D524" s="374"/>
      <c r="E524" s="374"/>
      <c r="F524" s="374"/>
      <c r="G524" s="388"/>
      <c r="H524" s="388"/>
      <c r="I524" s="374"/>
      <c r="J524" s="374"/>
      <c r="K524" s="374"/>
      <c r="L524" s="374"/>
      <c r="M524" s="374"/>
      <c r="N524" s="374"/>
      <c r="O524" s="374"/>
      <c r="P524" s="374"/>
      <c r="Q524" s="374"/>
      <c r="R524" s="374"/>
      <c r="S524" s="374"/>
      <c r="T524" s="374"/>
      <c r="U524" s="374"/>
      <c r="V524" s="374"/>
      <c r="W524" s="374"/>
      <c r="X524" s="374"/>
      <c r="Y524" s="374"/>
      <c r="Z524" s="374"/>
    </row>
    <row r="525" ht="15.75" customHeight="1">
      <c r="A525" s="374"/>
      <c r="B525" s="374"/>
      <c r="C525" s="374"/>
      <c r="D525" s="374"/>
      <c r="E525" s="374"/>
      <c r="F525" s="374"/>
      <c r="G525" s="388"/>
      <c r="H525" s="388"/>
      <c r="I525" s="374"/>
      <c r="J525" s="374"/>
      <c r="K525" s="374"/>
      <c r="L525" s="374"/>
      <c r="M525" s="374"/>
      <c r="N525" s="374"/>
      <c r="O525" s="374"/>
      <c r="P525" s="374"/>
      <c r="Q525" s="374"/>
      <c r="R525" s="374"/>
      <c r="S525" s="374"/>
      <c r="T525" s="374"/>
      <c r="U525" s="374"/>
      <c r="V525" s="374"/>
      <c r="W525" s="374"/>
      <c r="X525" s="374"/>
      <c r="Y525" s="374"/>
      <c r="Z525" s="374"/>
    </row>
    <row r="526" ht="15.75" customHeight="1">
      <c r="A526" s="374"/>
      <c r="B526" s="374"/>
      <c r="C526" s="374"/>
      <c r="D526" s="374"/>
      <c r="E526" s="374"/>
      <c r="F526" s="374"/>
      <c r="G526" s="388"/>
      <c r="H526" s="388"/>
      <c r="I526" s="374"/>
      <c r="J526" s="374"/>
      <c r="K526" s="374"/>
      <c r="L526" s="374"/>
      <c r="M526" s="374"/>
      <c r="N526" s="374"/>
      <c r="O526" s="374"/>
      <c r="P526" s="374"/>
      <c r="Q526" s="374"/>
      <c r="R526" s="374"/>
      <c r="S526" s="374"/>
      <c r="T526" s="374"/>
      <c r="U526" s="374"/>
      <c r="V526" s="374"/>
      <c r="W526" s="374"/>
      <c r="X526" s="374"/>
      <c r="Y526" s="374"/>
      <c r="Z526" s="374"/>
    </row>
    <row r="527" ht="15.75" customHeight="1">
      <c r="A527" s="374"/>
      <c r="B527" s="374"/>
      <c r="C527" s="374"/>
      <c r="D527" s="374"/>
      <c r="E527" s="374"/>
      <c r="F527" s="374"/>
      <c r="G527" s="388"/>
      <c r="H527" s="388"/>
      <c r="I527" s="374"/>
      <c r="J527" s="374"/>
      <c r="K527" s="374"/>
      <c r="L527" s="374"/>
      <c r="M527" s="374"/>
      <c r="N527" s="374"/>
      <c r="O527" s="374"/>
      <c r="P527" s="374"/>
      <c r="Q527" s="374"/>
      <c r="R527" s="374"/>
      <c r="S527" s="374"/>
      <c r="T527" s="374"/>
      <c r="U527" s="374"/>
      <c r="V527" s="374"/>
      <c r="W527" s="374"/>
      <c r="X527" s="374"/>
      <c r="Y527" s="374"/>
      <c r="Z527" s="374"/>
    </row>
    <row r="528" ht="15.75" customHeight="1">
      <c r="A528" s="374"/>
      <c r="B528" s="374"/>
      <c r="C528" s="374"/>
      <c r="D528" s="374"/>
      <c r="E528" s="374"/>
      <c r="F528" s="374"/>
      <c r="G528" s="388"/>
      <c r="H528" s="388"/>
      <c r="I528" s="374"/>
      <c r="J528" s="374"/>
      <c r="K528" s="374"/>
      <c r="L528" s="374"/>
      <c r="M528" s="374"/>
      <c r="N528" s="374"/>
      <c r="O528" s="374"/>
      <c r="P528" s="374"/>
      <c r="Q528" s="374"/>
      <c r="R528" s="374"/>
      <c r="S528" s="374"/>
      <c r="T528" s="374"/>
      <c r="U528" s="374"/>
      <c r="V528" s="374"/>
      <c r="W528" s="374"/>
      <c r="X528" s="374"/>
      <c r="Y528" s="374"/>
      <c r="Z528" s="374"/>
    </row>
    <row r="529" ht="15.75" customHeight="1">
      <c r="A529" s="374"/>
      <c r="B529" s="374"/>
      <c r="C529" s="374"/>
      <c r="D529" s="374"/>
      <c r="E529" s="374"/>
      <c r="F529" s="374"/>
      <c r="G529" s="388"/>
      <c r="H529" s="388"/>
      <c r="I529" s="374"/>
      <c r="J529" s="374"/>
      <c r="K529" s="374"/>
      <c r="L529" s="374"/>
      <c r="M529" s="374"/>
      <c r="N529" s="374"/>
      <c r="O529" s="374"/>
      <c r="P529" s="374"/>
      <c r="Q529" s="374"/>
      <c r="R529" s="374"/>
      <c r="S529" s="374"/>
      <c r="T529" s="374"/>
      <c r="U529" s="374"/>
      <c r="V529" s="374"/>
      <c r="W529" s="374"/>
      <c r="X529" s="374"/>
      <c r="Y529" s="374"/>
      <c r="Z529" s="374"/>
    </row>
    <row r="530" ht="15.75" customHeight="1">
      <c r="A530" s="374"/>
      <c r="B530" s="374"/>
      <c r="C530" s="374"/>
      <c r="D530" s="374"/>
      <c r="E530" s="374"/>
      <c r="F530" s="374"/>
      <c r="G530" s="388"/>
      <c r="H530" s="388"/>
      <c r="I530" s="374"/>
      <c r="J530" s="374"/>
      <c r="K530" s="374"/>
      <c r="L530" s="374"/>
      <c r="M530" s="374"/>
      <c r="N530" s="374"/>
      <c r="O530" s="374"/>
      <c r="P530" s="374"/>
      <c r="Q530" s="374"/>
      <c r="R530" s="374"/>
      <c r="S530" s="374"/>
      <c r="T530" s="374"/>
      <c r="U530" s="374"/>
      <c r="V530" s="374"/>
      <c r="W530" s="374"/>
      <c r="X530" s="374"/>
      <c r="Y530" s="374"/>
      <c r="Z530" s="374"/>
    </row>
    <row r="531" ht="15.75" customHeight="1">
      <c r="A531" s="374"/>
      <c r="B531" s="374"/>
      <c r="C531" s="374"/>
      <c r="D531" s="374"/>
      <c r="E531" s="374"/>
      <c r="F531" s="374"/>
      <c r="G531" s="388"/>
      <c r="H531" s="388"/>
      <c r="I531" s="374"/>
      <c r="J531" s="374"/>
      <c r="K531" s="374"/>
      <c r="L531" s="374"/>
      <c r="M531" s="374"/>
      <c r="N531" s="374"/>
      <c r="O531" s="374"/>
      <c r="P531" s="374"/>
      <c r="Q531" s="374"/>
      <c r="R531" s="374"/>
      <c r="S531" s="374"/>
      <c r="T531" s="374"/>
      <c r="U531" s="374"/>
      <c r="V531" s="374"/>
      <c r="W531" s="374"/>
      <c r="X531" s="374"/>
      <c r="Y531" s="374"/>
      <c r="Z531" s="374"/>
    </row>
    <row r="532" ht="15.75" customHeight="1">
      <c r="A532" s="374"/>
      <c r="B532" s="374"/>
      <c r="C532" s="374"/>
      <c r="D532" s="374"/>
      <c r="E532" s="374"/>
      <c r="F532" s="374"/>
      <c r="G532" s="388"/>
      <c r="H532" s="388"/>
      <c r="I532" s="374"/>
      <c r="J532" s="374"/>
      <c r="K532" s="374"/>
      <c r="L532" s="374"/>
      <c r="M532" s="374"/>
      <c r="N532" s="374"/>
      <c r="O532" s="374"/>
      <c r="P532" s="374"/>
      <c r="Q532" s="374"/>
      <c r="R532" s="374"/>
      <c r="S532" s="374"/>
      <c r="T532" s="374"/>
      <c r="U532" s="374"/>
      <c r="V532" s="374"/>
      <c r="W532" s="374"/>
      <c r="X532" s="374"/>
      <c r="Y532" s="374"/>
      <c r="Z532" s="374"/>
    </row>
    <row r="533" ht="15.75" customHeight="1">
      <c r="A533" s="374"/>
      <c r="B533" s="374"/>
      <c r="C533" s="374"/>
      <c r="D533" s="374"/>
      <c r="E533" s="374"/>
      <c r="F533" s="374"/>
      <c r="G533" s="388"/>
      <c r="H533" s="388"/>
      <c r="I533" s="374"/>
      <c r="J533" s="374"/>
      <c r="K533" s="374"/>
      <c r="L533" s="374"/>
      <c r="M533" s="374"/>
      <c r="N533" s="374"/>
      <c r="O533" s="374"/>
      <c r="P533" s="374"/>
      <c r="Q533" s="374"/>
      <c r="R533" s="374"/>
      <c r="S533" s="374"/>
      <c r="T533" s="374"/>
      <c r="U533" s="374"/>
      <c r="V533" s="374"/>
      <c r="W533" s="374"/>
      <c r="X533" s="374"/>
      <c r="Y533" s="374"/>
      <c r="Z533" s="374"/>
    </row>
    <row r="534" ht="15.75" customHeight="1">
      <c r="A534" s="374"/>
      <c r="B534" s="374"/>
      <c r="C534" s="374"/>
      <c r="D534" s="374"/>
      <c r="E534" s="374"/>
      <c r="F534" s="374"/>
      <c r="G534" s="388"/>
      <c r="H534" s="388"/>
      <c r="I534" s="374"/>
      <c r="J534" s="374"/>
      <c r="K534" s="374"/>
      <c r="L534" s="374"/>
      <c r="M534" s="374"/>
      <c r="N534" s="374"/>
      <c r="O534" s="374"/>
      <c r="P534" s="374"/>
      <c r="Q534" s="374"/>
      <c r="R534" s="374"/>
      <c r="S534" s="374"/>
      <c r="T534" s="374"/>
      <c r="U534" s="374"/>
      <c r="V534" s="374"/>
      <c r="W534" s="374"/>
      <c r="X534" s="374"/>
      <c r="Y534" s="374"/>
      <c r="Z534" s="374"/>
    </row>
    <row r="535" ht="15.75" customHeight="1">
      <c r="A535" s="374"/>
      <c r="B535" s="374"/>
      <c r="C535" s="374"/>
      <c r="D535" s="374"/>
      <c r="E535" s="374"/>
      <c r="F535" s="374"/>
      <c r="G535" s="388"/>
      <c r="H535" s="388"/>
      <c r="I535" s="374"/>
      <c r="J535" s="374"/>
      <c r="K535" s="374"/>
      <c r="L535" s="374"/>
      <c r="M535" s="374"/>
      <c r="N535" s="374"/>
      <c r="O535" s="374"/>
      <c r="P535" s="374"/>
      <c r="Q535" s="374"/>
      <c r="R535" s="374"/>
      <c r="S535" s="374"/>
      <c r="T535" s="374"/>
      <c r="U535" s="374"/>
      <c r="V535" s="374"/>
      <c r="W535" s="374"/>
      <c r="X535" s="374"/>
      <c r="Y535" s="374"/>
      <c r="Z535" s="374"/>
    </row>
    <row r="536" ht="15.75" customHeight="1">
      <c r="A536" s="374"/>
      <c r="B536" s="374"/>
      <c r="C536" s="374"/>
      <c r="D536" s="374"/>
      <c r="E536" s="374"/>
      <c r="F536" s="374"/>
      <c r="G536" s="388"/>
      <c r="H536" s="388"/>
      <c r="I536" s="374"/>
      <c r="J536" s="374"/>
      <c r="K536" s="374"/>
      <c r="L536" s="374"/>
      <c r="M536" s="374"/>
      <c r="N536" s="374"/>
      <c r="O536" s="374"/>
      <c r="P536" s="374"/>
      <c r="Q536" s="374"/>
      <c r="R536" s="374"/>
      <c r="S536" s="374"/>
      <c r="T536" s="374"/>
      <c r="U536" s="374"/>
      <c r="V536" s="374"/>
      <c r="W536" s="374"/>
      <c r="X536" s="374"/>
      <c r="Y536" s="374"/>
      <c r="Z536" s="374"/>
    </row>
    <row r="537" ht="15.75" customHeight="1">
      <c r="A537" s="374"/>
      <c r="B537" s="374"/>
      <c r="C537" s="374"/>
      <c r="D537" s="374"/>
      <c r="E537" s="374"/>
      <c r="F537" s="374"/>
      <c r="G537" s="388"/>
      <c r="H537" s="388"/>
      <c r="I537" s="374"/>
      <c r="J537" s="374"/>
      <c r="K537" s="374"/>
      <c r="L537" s="374"/>
      <c r="M537" s="374"/>
      <c r="N537" s="374"/>
      <c r="O537" s="374"/>
      <c r="P537" s="374"/>
      <c r="Q537" s="374"/>
      <c r="R537" s="374"/>
      <c r="S537" s="374"/>
      <c r="T537" s="374"/>
      <c r="U537" s="374"/>
      <c r="V537" s="374"/>
      <c r="W537" s="374"/>
      <c r="X537" s="374"/>
      <c r="Y537" s="374"/>
      <c r="Z537" s="374"/>
    </row>
    <row r="538" ht="15.75" customHeight="1">
      <c r="A538" s="374"/>
      <c r="B538" s="374"/>
      <c r="C538" s="374"/>
      <c r="D538" s="374"/>
      <c r="E538" s="374"/>
      <c r="F538" s="374"/>
      <c r="G538" s="388"/>
      <c r="H538" s="388"/>
      <c r="I538" s="374"/>
      <c r="J538" s="374"/>
      <c r="K538" s="374"/>
      <c r="L538" s="374"/>
      <c r="M538" s="374"/>
      <c r="N538" s="374"/>
      <c r="O538" s="374"/>
      <c r="P538" s="374"/>
      <c r="Q538" s="374"/>
      <c r="R538" s="374"/>
      <c r="S538" s="374"/>
      <c r="T538" s="374"/>
      <c r="U538" s="374"/>
      <c r="V538" s="374"/>
      <c r="W538" s="374"/>
      <c r="X538" s="374"/>
      <c r="Y538" s="374"/>
      <c r="Z538" s="374"/>
    </row>
    <row r="539" ht="15.75" customHeight="1">
      <c r="A539" s="374"/>
      <c r="B539" s="374"/>
      <c r="C539" s="374"/>
      <c r="D539" s="374"/>
      <c r="E539" s="374"/>
      <c r="F539" s="374"/>
      <c r="G539" s="388"/>
      <c r="H539" s="388"/>
      <c r="I539" s="374"/>
      <c r="J539" s="374"/>
      <c r="K539" s="374"/>
      <c r="L539" s="374"/>
      <c r="M539" s="374"/>
      <c r="N539" s="374"/>
      <c r="O539" s="374"/>
      <c r="P539" s="374"/>
      <c r="Q539" s="374"/>
      <c r="R539" s="374"/>
      <c r="S539" s="374"/>
      <c r="T539" s="374"/>
      <c r="U539" s="374"/>
      <c r="V539" s="374"/>
      <c r="W539" s="374"/>
      <c r="X539" s="374"/>
      <c r="Y539" s="374"/>
      <c r="Z539" s="374"/>
    </row>
    <row r="540" ht="15.75" customHeight="1">
      <c r="A540" s="374"/>
      <c r="B540" s="374"/>
      <c r="C540" s="374"/>
      <c r="D540" s="374"/>
      <c r="E540" s="374"/>
      <c r="F540" s="374"/>
      <c r="G540" s="388"/>
      <c r="H540" s="388"/>
      <c r="I540" s="374"/>
      <c r="J540" s="374"/>
      <c r="K540" s="374"/>
      <c r="L540" s="374"/>
      <c r="M540" s="374"/>
      <c r="N540" s="374"/>
      <c r="O540" s="374"/>
      <c r="P540" s="374"/>
      <c r="Q540" s="374"/>
      <c r="R540" s="374"/>
      <c r="S540" s="374"/>
      <c r="T540" s="374"/>
      <c r="U540" s="374"/>
      <c r="V540" s="374"/>
      <c r="W540" s="374"/>
      <c r="X540" s="374"/>
      <c r="Y540" s="374"/>
      <c r="Z540" s="374"/>
    </row>
    <row r="541" ht="15.75" customHeight="1">
      <c r="A541" s="374"/>
      <c r="B541" s="374"/>
      <c r="C541" s="374"/>
      <c r="D541" s="374"/>
      <c r="E541" s="374"/>
      <c r="F541" s="374"/>
      <c r="G541" s="388"/>
      <c r="H541" s="388"/>
      <c r="I541" s="374"/>
      <c r="J541" s="374"/>
      <c r="K541" s="374"/>
      <c r="L541" s="374"/>
      <c r="M541" s="374"/>
      <c r="N541" s="374"/>
      <c r="O541" s="374"/>
      <c r="P541" s="374"/>
      <c r="Q541" s="374"/>
      <c r="R541" s="374"/>
      <c r="S541" s="374"/>
      <c r="T541" s="374"/>
      <c r="U541" s="374"/>
      <c r="V541" s="374"/>
      <c r="W541" s="374"/>
      <c r="X541" s="374"/>
      <c r="Y541" s="374"/>
      <c r="Z541" s="374"/>
    </row>
    <row r="542" ht="15.75" customHeight="1">
      <c r="A542" s="374"/>
      <c r="B542" s="374"/>
      <c r="C542" s="374"/>
      <c r="D542" s="374"/>
      <c r="E542" s="374"/>
      <c r="F542" s="374"/>
      <c r="G542" s="388"/>
      <c r="H542" s="388"/>
      <c r="I542" s="374"/>
      <c r="J542" s="374"/>
      <c r="K542" s="374"/>
      <c r="L542" s="374"/>
      <c r="M542" s="374"/>
      <c r="N542" s="374"/>
      <c r="O542" s="374"/>
      <c r="P542" s="374"/>
      <c r="Q542" s="374"/>
      <c r="R542" s="374"/>
      <c r="S542" s="374"/>
      <c r="T542" s="374"/>
      <c r="U542" s="374"/>
      <c r="V542" s="374"/>
      <c r="W542" s="374"/>
      <c r="X542" s="374"/>
      <c r="Y542" s="374"/>
      <c r="Z542" s="374"/>
    </row>
    <row r="543" ht="15.75" customHeight="1">
      <c r="A543" s="374"/>
      <c r="B543" s="374"/>
      <c r="C543" s="374"/>
      <c r="D543" s="374"/>
      <c r="E543" s="374"/>
      <c r="F543" s="374"/>
      <c r="G543" s="388"/>
      <c r="H543" s="388"/>
      <c r="I543" s="374"/>
      <c r="J543" s="374"/>
      <c r="K543" s="374"/>
      <c r="L543" s="374"/>
      <c r="M543" s="374"/>
      <c r="N543" s="374"/>
      <c r="O543" s="374"/>
      <c r="P543" s="374"/>
      <c r="Q543" s="374"/>
      <c r="R543" s="374"/>
      <c r="S543" s="374"/>
      <c r="T543" s="374"/>
      <c r="U543" s="374"/>
      <c r="V543" s="374"/>
      <c r="W543" s="374"/>
      <c r="X543" s="374"/>
      <c r="Y543" s="374"/>
      <c r="Z543" s="374"/>
    </row>
    <row r="544" ht="15.75" customHeight="1">
      <c r="A544" s="374"/>
      <c r="B544" s="374"/>
      <c r="C544" s="374"/>
      <c r="D544" s="374"/>
      <c r="E544" s="374"/>
      <c r="F544" s="374"/>
      <c r="G544" s="388"/>
      <c r="H544" s="388"/>
      <c r="I544" s="374"/>
      <c r="J544" s="374"/>
      <c r="K544" s="374"/>
      <c r="L544" s="374"/>
      <c r="M544" s="374"/>
      <c r="N544" s="374"/>
      <c r="O544" s="374"/>
      <c r="P544" s="374"/>
      <c r="Q544" s="374"/>
      <c r="R544" s="374"/>
      <c r="S544" s="374"/>
      <c r="T544" s="374"/>
      <c r="U544" s="374"/>
      <c r="V544" s="374"/>
      <c r="W544" s="374"/>
      <c r="X544" s="374"/>
      <c r="Y544" s="374"/>
      <c r="Z544" s="374"/>
    </row>
    <row r="545" ht="15.75" customHeight="1">
      <c r="A545" s="374"/>
      <c r="B545" s="374"/>
      <c r="C545" s="374"/>
      <c r="D545" s="374"/>
      <c r="E545" s="374"/>
      <c r="F545" s="374"/>
      <c r="G545" s="388"/>
      <c r="H545" s="388"/>
      <c r="I545" s="374"/>
      <c r="J545" s="374"/>
      <c r="K545" s="374"/>
      <c r="L545" s="374"/>
      <c r="M545" s="374"/>
      <c r="N545" s="374"/>
      <c r="O545" s="374"/>
      <c r="P545" s="374"/>
      <c r="Q545" s="374"/>
      <c r="R545" s="374"/>
      <c r="S545" s="374"/>
      <c r="T545" s="374"/>
      <c r="U545" s="374"/>
      <c r="V545" s="374"/>
      <c r="W545" s="374"/>
      <c r="X545" s="374"/>
      <c r="Y545" s="374"/>
      <c r="Z545" s="374"/>
    </row>
    <row r="546" ht="15.75" customHeight="1">
      <c r="A546" s="374"/>
      <c r="B546" s="374"/>
      <c r="C546" s="374"/>
      <c r="D546" s="374"/>
      <c r="E546" s="374"/>
      <c r="F546" s="374"/>
      <c r="G546" s="388"/>
      <c r="H546" s="388"/>
      <c r="I546" s="374"/>
      <c r="J546" s="374"/>
      <c r="K546" s="374"/>
      <c r="L546" s="374"/>
      <c r="M546" s="374"/>
      <c r="N546" s="374"/>
      <c r="O546" s="374"/>
      <c r="P546" s="374"/>
      <c r="Q546" s="374"/>
      <c r="R546" s="374"/>
      <c r="S546" s="374"/>
      <c r="T546" s="374"/>
      <c r="U546" s="374"/>
      <c r="V546" s="374"/>
      <c r="W546" s="374"/>
      <c r="X546" s="374"/>
      <c r="Y546" s="374"/>
      <c r="Z546" s="374"/>
    </row>
    <row r="547" ht="15.75" customHeight="1">
      <c r="A547" s="374"/>
      <c r="B547" s="374"/>
      <c r="C547" s="374"/>
      <c r="D547" s="374"/>
      <c r="E547" s="374"/>
      <c r="F547" s="374"/>
      <c r="G547" s="388"/>
      <c r="H547" s="388"/>
      <c r="I547" s="374"/>
      <c r="J547" s="374"/>
      <c r="K547" s="374"/>
      <c r="L547" s="374"/>
      <c r="M547" s="374"/>
      <c r="N547" s="374"/>
      <c r="O547" s="374"/>
      <c r="P547" s="374"/>
      <c r="Q547" s="374"/>
      <c r="R547" s="374"/>
      <c r="S547" s="374"/>
      <c r="T547" s="374"/>
      <c r="U547" s="374"/>
      <c r="V547" s="374"/>
      <c r="W547" s="374"/>
      <c r="X547" s="374"/>
      <c r="Y547" s="374"/>
      <c r="Z547" s="374"/>
    </row>
    <row r="548" ht="15.75" customHeight="1">
      <c r="A548" s="374"/>
      <c r="B548" s="374"/>
      <c r="C548" s="374"/>
      <c r="D548" s="374"/>
      <c r="E548" s="374"/>
      <c r="F548" s="374"/>
      <c r="G548" s="388"/>
      <c r="H548" s="388"/>
      <c r="I548" s="374"/>
      <c r="J548" s="374"/>
      <c r="K548" s="374"/>
      <c r="L548" s="374"/>
      <c r="M548" s="374"/>
      <c r="N548" s="374"/>
      <c r="O548" s="374"/>
      <c r="P548" s="374"/>
      <c r="Q548" s="374"/>
      <c r="R548" s="374"/>
      <c r="S548" s="374"/>
      <c r="T548" s="374"/>
      <c r="U548" s="374"/>
      <c r="V548" s="374"/>
      <c r="W548" s="374"/>
      <c r="X548" s="374"/>
      <c r="Y548" s="374"/>
      <c r="Z548" s="374"/>
    </row>
    <row r="549" ht="15.75" customHeight="1">
      <c r="A549" s="374"/>
      <c r="B549" s="374"/>
      <c r="C549" s="374"/>
      <c r="D549" s="374"/>
      <c r="E549" s="374"/>
      <c r="F549" s="374"/>
      <c r="G549" s="388"/>
      <c r="H549" s="388"/>
      <c r="I549" s="374"/>
      <c r="J549" s="374"/>
      <c r="K549" s="374"/>
      <c r="L549" s="374"/>
      <c r="M549" s="374"/>
      <c r="N549" s="374"/>
      <c r="O549" s="374"/>
      <c r="P549" s="374"/>
      <c r="Q549" s="374"/>
      <c r="R549" s="374"/>
      <c r="S549" s="374"/>
      <c r="T549" s="374"/>
      <c r="U549" s="374"/>
      <c r="V549" s="374"/>
      <c r="W549" s="374"/>
      <c r="X549" s="374"/>
      <c r="Y549" s="374"/>
      <c r="Z549" s="374"/>
    </row>
    <row r="550" ht="15.75" customHeight="1">
      <c r="A550" s="374"/>
      <c r="B550" s="374"/>
      <c r="C550" s="374"/>
      <c r="D550" s="374"/>
      <c r="E550" s="374"/>
      <c r="F550" s="374"/>
      <c r="G550" s="388"/>
      <c r="H550" s="388"/>
      <c r="I550" s="374"/>
      <c r="J550" s="374"/>
      <c r="K550" s="374"/>
      <c r="L550" s="374"/>
      <c r="M550" s="374"/>
      <c r="N550" s="374"/>
      <c r="O550" s="374"/>
      <c r="P550" s="374"/>
      <c r="Q550" s="374"/>
      <c r="R550" s="374"/>
      <c r="S550" s="374"/>
      <c r="T550" s="374"/>
      <c r="U550" s="374"/>
      <c r="V550" s="374"/>
      <c r="W550" s="374"/>
      <c r="X550" s="374"/>
      <c r="Y550" s="374"/>
      <c r="Z550" s="374"/>
    </row>
    <row r="551" ht="15.75" customHeight="1">
      <c r="A551" s="374"/>
      <c r="B551" s="374"/>
      <c r="C551" s="374"/>
      <c r="D551" s="374"/>
      <c r="E551" s="374"/>
      <c r="F551" s="374"/>
      <c r="G551" s="388"/>
      <c r="H551" s="388"/>
      <c r="I551" s="374"/>
      <c r="J551" s="374"/>
      <c r="K551" s="374"/>
      <c r="L551" s="374"/>
      <c r="M551" s="374"/>
      <c r="N551" s="374"/>
      <c r="O551" s="374"/>
      <c r="P551" s="374"/>
      <c r="Q551" s="374"/>
      <c r="R551" s="374"/>
      <c r="S551" s="374"/>
      <c r="T551" s="374"/>
      <c r="U551" s="374"/>
      <c r="V551" s="374"/>
      <c r="W551" s="374"/>
      <c r="X551" s="374"/>
      <c r="Y551" s="374"/>
      <c r="Z551" s="374"/>
    </row>
    <row r="552" ht="15.75" customHeight="1">
      <c r="A552" s="374"/>
      <c r="B552" s="374"/>
      <c r="C552" s="374"/>
      <c r="D552" s="374"/>
      <c r="E552" s="374"/>
      <c r="F552" s="374"/>
      <c r="G552" s="388"/>
      <c r="H552" s="388"/>
      <c r="I552" s="374"/>
      <c r="J552" s="374"/>
      <c r="K552" s="374"/>
      <c r="L552" s="374"/>
      <c r="M552" s="374"/>
      <c r="N552" s="374"/>
      <c r="O552" s="374"/>
      <c r="P552" s="374"/>
      <c r="Q552" s="374"/>
      <c r="R552" s="374"/>
      <c r="S552" s="374"/>
      <c r="T552" s="374"/>
      <c r="U552" s="374"/>
      <c r="V552" s="374"/>
      <c r="W552" s="374"/>
      <c r="X552" s="374"/>
      <c r="Y552" s="374"/>
      <c r="Z552" s="374"/>
    </row>
    <row r="553" ht="15.75" customHeight="1">
      <c r="A553" s="374"/>
      <c r="B553" s="374"/>
      <c r="C553" s="374"/>
      <c r="D553" s="374"/>
      <c r="E553" s="374"/>
      <c r="F553" s="374"/>
      <c r="G553" s="388"/>
      <c r="H553" s="388"/>
      <c r="I553" s="374"/>
      <c r="J553" s="374"/>
      <c r="K553" s="374"/>
      <c r="L553" s="374"/>
      <c r="M553" s="374"/>
      <c r="N553" s="374"/>
      <c r="O553" s="374"/>
      <c r="P553" s="374"/>
      <c r="Q553" s="374"/>
      <c r="R553" s="374"/>
      <c r="S553" s="374"/>
      <c r="T553" s="374"/>
      <c r="U553" s="374"/>
      <c r="V553" s="374"/>
      <c r="W553" s="374"/>
      <c r="X553" s="374"/>
      <c r="Y553" s="374"/>
      <c r="Z553" s="374"/>
    </row>
    <row r="554" ht="15.75" customHeight="1">
      <c r="A554" s="374"/>
      <c r="B554" s="374"/>
      <c r="C554" s="374"/>
      <c r="D554" s="374"/>
      <c r="E554" s="374"/>
      <c r="F554" s="374"/>
      <c r="G554" s="388"/>
      <c r="H554" s="388"/>
      <c r="I554" s="374"/>
      <c r="J554" s="374"/>
      <c r="K554" s="374"/>
      <c r="L554" s="374"/>
      <c r="M554" s="374"/>
      <c r="N554" s="374"/>
      <c r="O554" s="374"/>
      <c r="P554" s="374"/>
      <c r="Q554" s="374"/>
      <c r="R554" s="374"/>
      <c r="S554" s="374"/>
      <c r="T554" s="374"/>
      <c r="U554" s="374"/>
      <c r="V554" s="374"/>
      <c r="W554" s="374"/>
      <c r="X554" s="374"/>
      <c r="Y554" s="374"/>
      <c r="Z554" s="374"/>
    </row>
    <row r="555" ht="15.75" customHeight="1">
      <c r="A555" s="374"/>
      <c r="B555" s="374"/>
      <c r="C555" s="374"/>
      <c r="D555" s="374"/>
      <c r="E555" s="374"/>
      <c r="F555" s="374"/>
      <c r="G555" s="388"/>
      <c r="H555" s="388"/>
      <c r="I555" s="374"/>
      <c r="J555" s="374"/>
      <c r="K555" s="374"/>
      <c r="L555" s="374"/>
      <c r="M555" s="374"/>
      <c r="N555" s="374"/>
      <c r="O555" s="374"/>
      <c r="P555" s="374"/>
      <c r="Q555" s="374"/>
      <c r="R555" s="374"/>
      <c r="S555" s="374"/>
      <c r="T555" s="374"/>
      <c r="U555" s="374"/>
      <c r="V555" s="374"/>
      <c r="W555" s="374"/>
      <c r="X555" s="374"/>
      <c r="Y555" s="374"/>
      <c r="Z555" s="374"/>
    </row>
    <row r="556" ht="15.75" customHeight="1">
      <c r="A556" s="374"/>
      <c r="B556" s="374"/>
      <c r="C556" s="374"/>
      <c r="D556" s="374"/>
      <c r="E556" s="374"/>
      <c r="F556" s="374"/>
      <c r="G556" s="388"/>
      <c r="H556" s="388"/>
      <c r="I556" s="374"/>
      <c r="J556" s="374"/>
      <c r="K556" s="374"/>
      <c r="L556" s="374"/>
      <c r="M556" s="374"/>
      <c r="N556" s="374"/>
      <c r="O556" s="374"/>
      <c r="P556" s="374"/>
      <c r="Q556" s="374"/>
      <c r="R556" s="374"/>
      <c r="S556" s="374"/>
      <c r="T556" s="374"/>
      <c r="U556" s="374"/>
      <c r="V556" s="374"/>
      <c r="W556" s="374"/>
      <c r="X556" s="374"/>
      <c r="Y556" s="374"/>
      <c r="Z556" s="374"/>
    </row>
    <row r="557" ht="15.75" customHeight="1">
      <c r="A557" s="374"/>
      <c r="B557" s="374"/>
      <c r="C557" s="374"/>
      <c r="D557" s="374"/>
      <c r="E557" s="374"/>
      <c r="F557" s="374"/>
      <c r="G557" s="388"/>
      <c r="H557" s="388"/>
      <c r="I557" s="374"/>
      <c r="J557" s="374"/>
      <c r="K557" s="374"/>
      <c r="L557" s="374"/>
      <c r="M557" s="374"/>
      <c r="N557" s="374"/>
      <c r="O557" s="374"/>
      <c r="P557" s="374"/>
      <c r="Q557" s="374"/>
      <c r="R557" s="374"/>
      <c r="S557" s="374"/>
      <c r="T557" s="374"/>
      <c r="U557" s="374"/>
      <c r="V557" s="374"/>
      <c r="W557" s="374"/>
      <c r="X557" s="374"/>
      <c r="Y557" s="374"/>
      <c r="Z557" s="374"/>
    </row>
    <row r="558" ht="15.75" customHeight="1">
      <c r="A558" s="374"/>
      <c r="B558" s="374"/>
      <c r="C558" s="374"/>
      <c r="D558" s="374"/>
      <c r="E558" s="374"/>
      <c r="F558" s="374"/>
      <c r="G558" s="388"/>
      <c r="H558" s="388"/>
      <c r="I558" s="374"/>
      <c r="J558" s="374"/>
      <c r="K558" s="374"/>
      <c r="L558" s="374"/>
      <c r="M558" s="374"/>
      <c r="N558" s="374"/>
      <c r="O558" s="374"/>
      <c r="P558" s="374"/>
      <c r="Q558" s="374"/>
      <c r="R558" s="374"/>
      <c r="S558" s="374"/>
      <c r="T558" s="374"/>
      <c r="U558" s="374"/>
      <c r="V558" s="374"/>
      <c r="W558" s="374"/>
      <c r="X558" s="374"/>
      <c r="Y558" s="374"/>
      <c r="Z558" s="374"/>
    </row>
    <row r="559" ht="15.75" customHeight="1">
      <c r="A559" s="374"/>
      <c r="B559" s="374"/>
      <c r="C559" s="374"/>
      <c r="D559" s="374"/>
      <c r="E559" s="374"/>
      <c r="F559" s="374"/>
      <c r="G559" s="388"/>
      <c r="H559" s="388"/>
      <c r="I559" s="374"/>
      <c r="J559" s="374"/>
      <c r="K559" s="374"/>
      <c r="L559" s="374"/>
      <c r="M559" s="374"/>
      <c r="N559" s="374"/>
      <c r="O559" s="374"/>
      <c r="P559" s="374"/>
      <c r="Q559" s="374"/>
      <c r="R559" s="374"/>
      <c r="S559" s="374"/>
      <c r="T559" s="374"/>
      <c r="U559" s="374"/>
      <c r="V559" s="374"/>
      <c r="W559" s="374"/>
      <c r="X559" s="374"/>
      <c r="Y559" s="374"/>
      <c r="Z559" s="374"/>
    </row>
    <row r="560" ht="15.75" customHeight="1">
      <c r="A560" s="374"/>
      <c r="B560" s="374"/>
      <c r="C560" s="374"/>
      <c r="D560" s="374"/>
      <c r="E560" s="374"/>
      <c r="F560" s="374"/>
      <c r="G560" s="388"/>
      <c r="H560" s="388"/>
      <c r="I560" s="374"/>
      <c r="J560" s="374"/>
      <c r="K560" s="374"/>
      <c r="L560" s="374"/>
      <c r="M560" s="374"/>
      <c r="N560" s="374"/>
      <c r="O560" s="374"/>
      <c r="P560" s="374"/>
      <c r="Q560" s="374"/>
      <c r="R560" s="374"/>
      <c r="S560" s="374"/>
      <c r="T560" s="374"/>
      <c r="U560" s="374"/>
      <c r="V560" s="374"/>
      <c r="W560" s="374"/>
      <c r="X560" s="374"/>
      <c r="Y560" s="374"/>
      <c r="Z560" s="374"/>
    </row>
    <row r="561" ht="15.75" customHeight="1">
      <c r="A561" s="374"/>
      <c r="B561" s="374"/>
      <c r="C561" s="374"/>
      <c r="D561" s="374"/>
      <c r="E561" s="374"/>
      <c r="F561" s="374"/>
      <c r="G561" s="388"/>
      <c r="H561" s="388"/>
      <c r="I561" s="374"/>
      <c r="J561" s="374"/>
      <c r="K561" s="374"/>
      <c r="L561" s="374"/>
      <c r="M561" s="374"/>
      <c r="N561" s="374"/>
      <c r="O561" s="374"/>
      <c r="P561" s="374"/>
      <c r="Q561" s="374"/>
      <c r="R561" s="374"/>
      <c r="S561" s="374"/>
      <c r="T561" s="374"/>
      <c r="U561" s="374"/>
      <c r="V561" s="374"/>
      <c r="W561" s="374"/>
      <c r="X561" s="374"/>
      <c r="Y561" s="374"/>
      <c r="Z561" s="374"/>
    </row>
    <row r="562" ht="15.75" customHeight="1">
      <c r="A562" s="374"/>
      <c r="B562" s="374"/>
      <c r="C562" s="374"/>
      <c r="D562" s="374"/>
      <c r="E562" s="374"/>
      <c r="F562" s="374"/>
      <c r="G562" s="388"/>
      <c r="H562" s="388"/>
      <c r="I562" s="374"/>
      <c r="J562" s="374"/>
      <c r="K562" s="374"/>
      <c r="L562" s="374"/>
      <c r="M562" s="374"/>
      <c r="N562" s="374"/>
      <c r="O562" s="374"/>
      <c r="P562" s="374"/>
      <c r="Q562" s="374"/>
      <c r="R562" s="374"/>
      <c r="S562" s="374"/>
      <c r="T562" s="374"/>
      <c r="U562" s="374"/>
      <c r="V562" s="374"/>
      <c r="W562" s="374"/>
      <c r="X562" s="374"/>
      <c r="Y562" s="374"/>
      <c r="Z562" s="374"/>
    </row>
    <row r="563" ht="15.75" customHeight="1">
      <c r="A563" s="374"/>
      <c r="B563" s="374"/>
      <c r="C563" s="374"/>
      <c r="D563" s="374"/>
      <c r="E563" s="374"/>
      <c r="F563" s="374"/>
      <c r="G563" s="388"/>
      <c r="H563" s="388"/>
      <c r="I563" s="374"/>
      <c r="J563" s="374"/>
      <c r="K563" s="374"/>
      <c r="L563" s="374"/>
      <c r="M563" s="374"/>
      <c r="N563" s="374"/>
      <c r="O563" s="374"/>
      <c r="P563" s="374"/>
      <c r="Q563" s="374"/>
      <c r="R563" s="374"/>
      <c r="S563" s="374"/>
      <c r="T563" s="374"/>
      <c r="U563" s="374"/>
      <c r="V563" s="374"/>
      <c r="W563" s="374"/>
      <c r="X563" s="374"/>
      <c r="Y563" s="374"/>
      <c r="Z563" s="374"/>
    </row>
    <row r="564" ht="15.75" customHeight="1">
      <c r="A564" s="374"/>
      <c r="B564" s="374"/>
      <c r="C564" s="374"/>
      <c r="D564" s="374"/>
      <c r="E564" s="374"/>
      <c r="F564" s="374"/>
      <c r="G564" s="388"/>
      <c r="H564" s="388"/>
      <c r="I564" s="374"/>
      <c r="J564" s="374"/>
      <c r="K564" s="374"/>
      <c r="L564" s="374"/>
      <c r="M564" s="374"/>
      <c r="N564" s="374"/>
      <c r="O564" s="374"/>
      <c r="P564" s="374"/>
      <c r="Q564" s="374"/>
      <c r="R564" s="374"/>
      <c r="S564" s="374"/>
      <c r="T564" s="374"/>
      <c r="U564" s="374"/>
      <c r="V564" s="374"/>
      <c r="W564" s="374"/>
      <c r="X564" s="374"/>
      <c r="Y564" s="374"/>
      <c r="Z564" s="374"/>
    </row>
    <row r="565" ht="15.75" customHeight="1">
      <c r="A565" s="374"/>
      <c r="B565" s="374"/>
      <c r="C565" s="374"/>
      <c r="D565" s="374"/>
      <c r="E565" s="374"/>
      <c r="F565" s="374"/>
      <c r="G565" s="388"/>
      <c r="H565" s="388"/>
      <c r="I565" s="374"/>
      <c r="J565" s="374"/>
      <c r="K565" s="374"/>
      <c r="L565" s="374"/>
      <c r="M565" s="374"/>
      <c r="N565" s="374"/>
      <c r="O565" s="374"/>
      <c r="P565" s="374"/>
      <c r="Q565" s="374"/>
      <c r="R565" s="374"/>
      <c r="S565" s="374"/>
      <c r="T565" s="374"/>
      <c r="U565" s="374"/>
      <c r="V565" s="374"/>
      <c r="W565" s="374"/>
      <c r="X565" s="374"/>
      <c r="Y565" s="374"/>
      <c r="Z565" s="374"/>
    </row>
    <row r="566" ht="15.75" customHeight="1">
      <c r="A566" s="374"/>
      <c r="B566" s="374"/>
      <c r="C566" s="374"/>
      <c r="D566" s="374"/>
      <c r="E566" s="374"/>
      <c r="F566" s="374"/>
      <c r="G566" s="388"/>
      <c r="H566" s="388"/>
      <c r="I566" s="374"/>
      <c r="J566" s="374"/>
      <c r="K566" s="374"/>
      <c r="L566" s="374"/>
      <c r="M566" s="374"/>
      <c r="N566" s="374"/>
      <c r="O566" s="374"/>
      <c r="P566" s="374"/>
      <c r="Q566" s="374"/>
      <c r="R566" s="374"/>
      <c r="S566" s="374"/>
      <c r="T566" s="374"/>
      <c r="U566" s="374"/>
      <c r="V566" s="374"/>
      <c r="W566" s="374"/>
      <c r="X566" s="374"/>
      <c r="Y566" s="374"/>
      <c r="Z566" s="374"/>
    </row>
    <row r="567" ht="15.75" customHeight="1">
      <c r="A567" s="374"/>
      <c r="B567" s="374"/>
      <c r="C567" s="374"/>
      <c r="D567" s="374"/>
      <c r="E567" s="374"/>
      <c r="F567" s="374"/>
      <c r="G567" s="388"/>
      <c r="H567" s="388"/>
      <c r="I567" s="374"/>
      <c r="J567" s="374"/>
      <c r="K567" s="374"/>
      <c r="L567" s="374"/>
      <c r="M567" s="374"/>
      <c r="N567" s="374"/>
      <c r="O567" s="374"/>
      <c r="P567" s="374"/>
      <c r="Q567" s="374"/>
      <c r="R567" s="374"/>
      <c r="S567" s="374"/>
      <c r="T567" s="374"/>
      <c r="U567" s="374"/>
      <c r="V567" s="374"/>
      <c r="W567" s="374"/>
      <c r="X567" s="374"/>
      <c r="Y567" s="374"/>
      <c r="Z567" s="374"/>
    </row>
    <row r="568" ht="15.75" customHeight="1">
      <c r="A568" s="374"/>
      <c r="B568" s="374"/>
      <c r="C568" s="374"/>
      <c r="D568" s="374"/>
      <c r="E568" s="374"/>
      <c r="F568" s="374"/>
      <c r="G568" s="388"/>
      <c r="H568" s="388"/>
      <c r="I568" s="374"/>
      <c r="J568" s="374"/>
      <c r="K568" s="374"/>
      <c r="L568" s="374"/>
      <c r="M568" s="374"/>
      <c r="N568" s="374"/>
      <c r="O568" s="374"/>
      <c r="P568" s="374"/>
      <c r="Q568" s="374"/>
      <c r="R568" s="374"/>
      <c r="S568" s="374"/>
      <c r="T568" s="374"/>
      <c r="U568" s="374"/>
      <c r="V568" s="374"/>
      <c r="W568" s="374"/>
      <c r="X568" s="374"/>
      <c r="Y568" s="374"/>
      <c r="Z568" s="374"/>
    </row>
    <row r="569" ht="15.75" customHeight="1">
      <c r="A569" s="374"/>
      <c r="B569" s="374"/>
      <c r="C569" s="374"/>
      <c r="D569" s="374"/>
      <c r="E569" s="374"/>
      <c r="F569" s="374"/>
      <c r="G569" s="388"/>
      <c r="H569" s="388"/>
      <c r="I569" s="374"/>
      <c r="J569" s="374"/>
      <c r="K569" s="374"/>
      <c r="L569" s="374"/>
      <c r="M569" s="374"/>
      <c r="N569" s="374"/>
      <c r="O569" s="374"/>
      <c r="P569" s="374"/>
      <c r="Q569" s="374"/>
      <c r="R569" s="374"/>
      <c r="S569" s="374"/>
      <c r="T569" s="374"/>
      <c r="U569" s="374"/>
      <c r="V569" s="374"/>
      <c r="W569" s="374"/>
      <c r="X569" s="374"/>
      <c r="Y569" s="374"/>
      <c r="Z569" s="374"/>
    </row>
    <row r="570" ht="15.75" customHeight="1">
      <c r="A570" s="374"/>
      <c r="B570" s="374"/>
      <c r="C570" s="374"/>
      <c r="D570" s="374"/>
      <c r="E570" s="374"/>
      <c r="F570" s="374"/>
      <c r="G570" s="388"/>
      <c r="H570" s="388"/>
      <c r="I570" s="374"/>
      <c r="J570" s="374"/>
      <c r="K570" s="374"/>
      <c r="L570" s="374"/>
      <c r="M570" s="374"/>
      <c r="N570" s="374"/>
      <c r="O570" s="374"/>
      <c r="P570" s="374"/>
      <c r="Q570" s="374"/>
      <c r="R570" s="374"/>
      <c r="S570" s="374"/>
      <c r="T570" s="374"/>
      <c r="U570" s="374"/>
      <c r="V570" s="374"/>
      <c r="W570" s="374"/>
      <c r="X570" s="374"/>
      <c r="Y570" s="374"/>
      <c r="Z570" s="374"/>
    </row>
    <row r="571" ht="15.75" customHeight="1">
      <c r="A571" s="374"/>
      <c r="B571" s="374"/>
      <c r="C571" s="374"/>
      <c r="D571" s="374"/>
      <c r="E571" s="374"/>
      <c r="F571" s="374"/>
      <c r="G571" s="388"/>
      <c r="H571" s="388"/>
      <c r="I571" s="374"/>
      <c r="J571" s="374"/>
      <c r="K571" s="374"/>
      <c r="L571" s="374"/>
      <c r="M571" s="374"/>
      <c r="N571" s="374"/>
      <c r="O571" s="374"/>
      <c r="P571" s="374"/>
      <c r="Q571" s="374"/>
      <c r="R571" s="374"/>
      <c r="S571" s="374"/>
      <c r="T571" s="374"/>
      <c r="U571" s="374"/>
      <c r="V571" s="374"/>
      <c r="W571" s="374"/>
      <c r="X571" s="374"/>
      <c r="Y571" s="374"/>
      <c r="Z571" s="374"/>
    </row>
    <row r="572" ht="15.75" customHeight="1">
      <c r="A572" s="374"/>
      <c r="B572" s="374"/>
      <c r="C572" s="374"/>
      <c r="D572" s="374"/>
      <c r="E572" s="374"/>
      <c r="F572" s="374"/>
      <c r="G572" s="388"/>
      <c r="H572" s="388"/>
      <c r="I572" s="374"/>
      <c r="J572" s="374"/>
      <c r="K572" s="374"/>
      <c r="L572" s="374"/>
      <c r="M572" s="374"/>
      <c r="N572" s="374"/>
      <c r="O572" s="374"/>
      <c r="P572" s="374"/>
      <c r="Q572" s="374"/>
      <c r="R572" s="374"/>
      <c r="S572" s="374"/>
      <c r="T572" s="374"/>
      <c r="U572" s="374"/>
      <c r="V572" s="374"/>
      <c r="W572" s="374"/>
      <c r="X572" s="374"/>
      <c r="Y572" s="374"/>
      <c r="Z572" s="374"/>
    </row>
    <row r="573" ht="15.75" customHeight="1">
      <c r="A573" s="374"/>
      <c r="B573" s="374"/>
      <c r="C573" s="374"/>
      <c r="D573" s="374"/>
      <c r="E573" s="374"/>
      <c r="F573" s="374"/>
      <c r="G573" s="388"/>
      <c r="H573" s="388"/>
      <c r="I573" s="374"/>
      <c r="J573" s="374"/>
      <c r="K573" s="374"/>
      <c r="L573" s="374"/>
      <c r="M573" s="374"/>
      <c r="N573" s="374"/>
      <c r="O573" s="374"/>
      <c r="P573" s="374"/>
      <c r="Q573" s="374"/>
      <c r="R573" s="374"/>
      <c r="S573" s="374"/>
      <c r="T573" s="374"/>
      <c r="U573" s="374"/>
      <c r="V573" s="374"/>
      <c r="W573" s="374"/>
      <c r="X573" s="374"/>
      <c r="Y573" s="374"/>
      <c r="Z573" s="374"/>
    </row>
    <row r="574" ht="15.75" customHeight="1">
      <c r="A574" s="374"/>
      <c r="B574" s="374"/>
      <c r="C574" s="374"/>
      <c r="D574" s="374"/>
      <c r="E574" s="374"/>
      <c r="F574" s="374"/>
      <c r="G574" s="388"/>
      <c r="H574" s="388"/>
      <c r="I574" s="374"/>
      <c r="J574" s="374"/>
      <c r="K574" s="374"/>
      <c r="L574" s="374"/>
      <c r="M574" s="374"/>
      <c r="N574" s="374"/>
      <c r="O574" s="374"/>
      <c r="P574" s="374"/>
      <c r="Q574" s="374"/>
      <c r="R574" s="374"/>
      <c r="S574" s="374"/>
      <c r="T574" s="374"/>
      <c r="U574" s="374"/>
      <c r="V574" s="374"/>
      <c r="W574" s="374"/>
      <c r="X574" s="374"/>
      <c r="Y574" s="374"/>
      <c r="Z574" s="374"/>
    </row>
    <row r="575" ht="15.75" customHeight="1">
      <c r="A575" s="374"/>
      <c r="B575" s="374"/>
      <c r="C575" s="374"/>
      <c r="D575" s="374"/>
      <c r="E575" s="374"/>
      <c r="F575" s="374"/>
      <c r="G575" s="388"/>
      <c r="H575" s="388"/>
      <c r="I575" s="374"/>
      <c r="J575" s="374"/>
      <c r="K575" s="374"/>
      <c r="L575" s="374"/>
      <c r="M575" s="374"/>
      <c r="N575" s="374"/>
      <c r="O575" s="374"/>
      <c r="P575" s="374"/>
      <c r="Q575" s="374"/>
      <c r="R575" s="374"/>
      <c r="S575" s="374"/>
      <c r="T575" s="374"/>
      <c r="U575" s="374"/>
      <c r="V575" s="374"/>
      <c r="W575" s="374"/>
      <c r="X575" s="374"/>
      <c r="Y575" s="374"/>
      <c r="Z575" s="374"/>
    </row>
    <row r="576" ht="15.75" customHeight="1">
      <c r="A576" s="374"/>
      <c r="B576" s="374"/>
      <c r="C576" s="374"/>
      <c r="D576" s="374"/>
      <c r="E576" s="374"/>
      <c r="F576" s="374"/>
      <c r="G576" s="388"/>
      <c r="H576" s="388"/>
      <c r="I576" s="374"/>
      <c r="J576" s="374"/>
      <c r="K576" s="374"/>
      <c r="L576" s="374"/>
      <c r="M576" s="374"/>
      <c r="N576" s="374"/>
      <c r="O576" s="374"/>
      <c r="P576" s="374"/>
      <c r="Q576" s="374"/>
      <c r="R576" s="374"/>
      <c r="S576" s="374"/>
      <c r="T576" s="374"/>
      <c r="U576" s="374"/>
      <c r="V576" s="374"/>
      <c r="W576" s="374"/>
      <c r="X576" s="374"/>
      <c r="Y576" s="374"/>
      <c r="Z576" s="374"/>
    </row>
    <row r="577" ht="15.75" customHeight="1">
      <c r="A577" s="374"/>
      <c r="B577" s="374"/>
      <c r="C577" s="374"/>
      <c r="D577" s="374"/>
      <c r="E577" s="374"/>
      <c r="F577" s="374"/>
      <c r="G577" s="388"/>
      <c r="H577" s="388"/>
      <c r="I577" s="374"/>
      <c r="J577" s="374"/>
      <c r="K577" s="374"/>
      <c r="L577" s="374"/>
      <c r="M577" s="374"/>
      <c r="N577" s="374"/>
      <c r="O577" s="374"/>
      <c r="P577" s="374"/>
      <c r="Q577" s="374"/>
      <c r="R577" s="374"/>
      <c r="S577" s="374"/>
      <c r="T577" s="374"/>
      <c r="U577" s="374"/>
      <c r="V577" s="374"/>
      <c r="W577" s="374"/>
      <c r="X577" s="374"/>
      <c r="Y577" s="374"/>
      <c r="Z577" s="374"/>
    </row>
    <row r="578" ht="15.75" customHeight="1">
      <c r="A578" s="374"/>
      <c r="B578" s="374"/>
      <c r="C578" s="374"/>
      <c r="D578" s="374"/>
      <c r="E578" s="374"/>
      <c r="F578" s="374"/>
      <c r="G578" s="388"/>
      <c r="H578" s="388"/>
      <c r="I578" s="374"/>
      <c r="J578" s="374"/>
      <c r="K578" s="374"/>
      <c r="L578" s="374"/>
      <c r="M578" s="374"/>
      <c r="N578" s="374"/>
      <c r="O578" s="374"/>
      <c r="P578" s="374"/>
      <c r="Q578" s="374"/>
      <c r="R578" s="374"/>
      <c r="S578" s="374"/>
      <c r="T578" s="374"/>
      <c r="U578" s="374"/>
      <c r="V578" s="374"/>
      <c r="W578" s="374"/>
      <c r="X578" s="374"/>
      <c r="Y578" s="374"/>
      <c r="Z578" s="374"/>
    </row>
    <row r="579" ht="15.75" customHeight="1">
      <c r="A579" s="374"/>
      <c r="B579" s="374"/>
      <c r="C579" s="374"/>
      <c r="D579" s="374"/>
      <c r="E579" s="374"/>
      <c r="F579" s="374"/>
      <c r="G579" s="388"/>
      <c r="H579" s="388"/>
      <c r="I579" s="374"/>
      <c r="J579" s="374"/>
      <c r="K579" s="374"/>
      <c r="L579" s="374"/>
      <c r="M579" s="374"/>
      <c r="N579" s="374"/>
      <c r="O579" s="374"/>
      <c r="P579" s="374"/>
      <c r="Q579" s="374"/>
      <c r="R579" s="374"/>
      <c r="S579" s="374"/>
      <c r="T579" s="374"/>
      <c r="U579" s="374"/>
      <c r="V579" s="374"/>
      <c r="W579" s="374"/>
      <c r="X579" s="374"/>
      <c r="Y579" s="374"/>
      <c r="Z579" s="374"/>
    </row>
    <row r="580" ht="15.75" customHeight="1">
      <c r="A580" s="374"/>
      <c r="B580" s="374"/>
      <c r="C580" s="374"/>
      <c r="D580" s="374"/>
      <c r="E580" s="374"/>
      <c r="F580" s="374"/>
      <c r="G580" s="388"/>
      <c r="H580" s="388"/>
      <c r="I580" s="374"/>
      <c r="J580" s="374"/>
      <c r="K580" s="374"/>
      <c r="L580" s="374"/>
      <c r="M580" s="374"/>
      <c r="N580" s="374"/>
      <c r="O580" s="374"/>
      <c r="P580" s="374"/>
      <c r="Q580" s="374"/>
      <c r="R580" s="374"/>
      <c r="S580" s="374"/>
      <c r="T580" s="374"/>
      <c r="U580" s="374"/>
      <c r="V580" s="374"/>
      <c r="W580" s="374"/>
      <c r="X580" s="374"/>
      <c r="Y580" s="374"/>
      <c r="Z580" s="374"/>
    </row>
    <row r="581" ht="15.75" customHeight="1">
      <c r="A581" s="374"/>
      <c r="B581" s="374"/>
      <c r="C581" s="374"/>
      <c r="D581" s="374"/>
      <c r="E581" s="374"/>
      <c r="F581" s="374"/>
      <c r="G581" s="388"/>
      <c r="H581" s="388"/>
      <c r="I581" s="374"/>
      <c r="J581" s="374"/>
      <c r="K581" s="374"/>
      <c r="L581" s="374"/>
      <c r="M581" s="374"/>
      <c r="N581" s="374"/>
      <c r="O581" s="374"/>
      <c r="P581" s="374"/>
      <c r="Q581" s="374"/>
      <c r="R581" s="374"/>
      <c r="S581" s="374"/>
      <c r="T581" s="374"/>
      <c r="U581" s="374"/>
      <c r="V581" s="374"/>
      <c r="W581" s="374"/>
      <c r="X581" s="374"/>
      <c r="Y581" s="374"/>
      <c r="Z581" s="374"/>
    </row>
    <row r="582" ht="15.75" customHeight="1">
      <c r="A582" s="374"/>
      <c r="B582" s="374"/>
      <c r="C582" s="374"/>
      <c r="D582" s="374"/>
      <c r="E582" s="374"/>
      <c r="F582" s="374"/>
      <c r="G582" s="388"/>
      <c r="H582" s="388"/>
      <c r="I582" s="374"/>
      <c r="J582" s="374"/>
      <c r="K582" s="374"/>
      <c r="L582" s="374"/>
      <c r="M582" s="374"/>
      <c r="N582" s="374"/>
      <c r="O582" s="374"/>
      <c r="P582" s="374"/>
      <c r="Q582" s="374"/>
      <c r="R582" s="374"/>
      <c r="S582" s="374"/>
      <c r="T582" s="374"/>
      <c r="U582" s="374"/>
      <c r="V582" s="374"/>
      <c r="W582" s="374"/>
      <c r="X582" s="374"/>
      <c r="Y582" s="374"/>
      <c r="Z582" s="374"/>
    </row>
    <row r="583" ht="15.75" customHeight="1">
      <c r="A583" s="374"/>
      <c r="B583" s="374"/>
      <c r="C583" s="374"/>
      <c r="D583" s="374"/>
      <c r="E583" s="374"/>
      <c r="F583" s="374"/>
      <c r="G583" s="388"/>
      <c r="H583" s="388"/>
      <c r="I583" s="374"/>
      <c r="J583" s="374"/>
      <c r="K583" s="374"/>
      <c r="L583" s="374"/>
      <c r="M583" s="374"/>
      <c r="N583" s="374"/>
      <c r="O583" s="374"/>
      <c r="P583" s="374"/>
      <c r="Q583" s="374"/>
      <c r="R583" s="374"/>
      <c r="S583" s="374"/>
      <c r="T583" s="374"/>
      <c r="U583" s="374"/>
      <c r="V583" s="374"/>
      <c r="W583" s="374"/>
      <c r="X583" s="374"/>
      <c r="Y583" s="374"/>
      <c r="Z583" s="374"/>
    </row>
    <row r="584" ht="15.75" customHeight="1">
      <c r="A584" s="374"/>
      <c r="B584" s="374"/>
      <c r="C584" s="374"/>
      <c r="D584" s="374"/>
      <c r="E584" s="374"/>
      <c r="F584" s="374"/>
      <c r="G584" s="388"/>
      <c r="H584" s="388"/>
      <c r="I584" s="374"/>
      <c r="J584" s="374"/>
      <c r="K584" s="374"/>
      <c r="L584" s="374"/>
      <c r="M584" s="374"/>
      <c r="N584" s="374"/>
      <c r="O584" s="374"/>
      <c r="P584" s="374"/>
      <c r="Q584" s="374"/>
      <c r="R584" s="374"/>
      <c r="S584" s="374"/>
      <c r="T584" s="374"/>
      <c r="U584" s="374"/>
      <c r="V584" s="374"/>
      <c r="W584" s="374"/>
      <c r="X584" s="374"/>
      <c r="Y584" s="374"/>
      <c r="Z584" s="374"/>
    </row>
    <row r="585" ht="15.75" customHeight="1">
      <c r="A585" s="374"/>
      <c r="B585" s="374"/>
      <c r="C585" s="374"/>
      <c r="D585" s="374"/>
      <c r="E585" s="374"/>
      <c r="F585" s="374"/>
      <c r="G585" s="388"/>
      <c r="H585" s="388"/>
      <c r="I585" s="374"/>
      <c r="J585" s="374"/>
      <c r="K585" s="374"/>
      <c r="L585" s="374"/>
      <c r="M585" s="374"/>
      <c r="N585" s="374"/>
      <c r="O585" s="374"/>
      <c r="P585" s="374"/>
      <c r="Q585" s="374"/>
      <c r="R585" s="374"/>
      <c r="S585" s="374"/>
      <c r="T585" s="374"/>
      <c r="U585" s="374"/>
      <c r="V585" s="374"/>
      <c r="W585" s="374"/>
      <c r="X585" s="374"/>
      <c r="Y585" s="374"/>
      <c r="Z585" s="374"/>
    </row>
    <row r="586" ht="15.75" customHeight="1">
      <c r="A586" s="374"/>
      <c r="B586" s="374"/>
      <c r="C586" s="374"/>
      <c r="D586" s="374"/>
      <c r="E586" s="374"/>
      <c r="F586" s="374"/>
      <c r="G586" s="388"/>
      <c r="H586" s="388"/>
      <c r="I586" s="374"/>
      <c r="J586" s="374"/>
      <c r="K586" s="374"/>
      <c r="L586" s="374"/>
      <c r="M586" s="374"/>
      <c r="N586" s="374"/>
      <c r="O586" s="374"/>
      <c r="P586" s="374"/>
      <c r="Q586" s="374"/>
      <c r="R586" s="374"/>
      <c r="S586" s="374"/>
      <c r="T586" s="374"/>
      <c r="U586" s="374"/>
      <c r="V586" s="374"/>
      <c r="W586" s="374"/>
      <c r="X586" s="374"/>
      <c r="Y586" s="374"/>
      <c r="Z586" s="374"/>
    </row>
    <row r="587" ht="15.75" customHeight="1">
      <c r="A587" s="374"/>
      <c r="B587" s="374"/>
      <c r="C587" s="374"/>
      <c r="D587" s="374"/>
      <c r="E587" s="374"/>
      <c r="F587" s="374"/>
      <c r="G587" s="388"/>
      <c r="H587" s="388"/>
      <c r="I587" s="374"/>
      <c r="J587" s="374"/>
      <c r="K587" s="374"/>
      <c r="L587" s="374"/>
      <c r="M587" s="374"/>
      <c r="N587" s="374"/>
      <c r="O587" s="374"/>
      <c r="P587" s="374"/>
      <c r="Q587" s="374"/>
      <c r="R587" s="374"/>
      <c r="S587" s="374"/>
      <c r="T587" s="374"/>
      <c r="U587" s="374"/>
      <c r="V587" s="374"/>
      <c r="W587" s="374"/>
      <c r="X587" s="374"/>
      <c r="Y587" s="374"/>
      <c r="Z587" s="374"/>
    </row>
    <row r="588" ht="15.75" customHeight="1">
      <c r="A588" s="374"/>
      <c r="B588" s="374"/>
      <c r="C588" s="374"/>
      <c r="D588" s="374"/>
      <c r="E588" s="374"/>
      <c r="F588" s="374"/>
      <c r="G588" s="388"/>
      <c r="H588" s="388"/>
      <c r="I588" s="374"/>
      <c r="J588" s="374"/>
      <c r="K588" s="374"/>
      <c r="L588" s="374"/>
      <c r="M588" s="374"/>
      <c r="N588" s="374"/>
      <c r="O588" s="374"/>
      <c r="P588" s="374"/>
      <c r="Q588" s="374"/>
      <c r="R588" s="374"/>
      <c r="S588" s="374"/>
      <c r="T588" s="374"/>
      <c r="U588" s="374"/>
      <c r="V588" s="374"/>
      <c r="W588" s="374"/>
      <c r="X588" s="374"/>
      <c r="Y588" s="374"/>
      <c r="Z588" s="374"/>
    </row>
    <row r="589" ht="15.75" customHeight="1">
      <c r="A589" s="374"/>
      <c r="B589" s="374"/>
      <c r="C589" s="374"/>
      <c r="D589" s="374"/>
      <c r="E589" s="374"/>
      <c r="F589" s="374"/>
      <c r="G589" s="388"/>
      <c r="H589" s="388"/>
      <c r="I589" s="374"/>
      <c r="J589" s="374"/>
      <c r="K589" s="374"/>
      <c r="L589" s="374"/>
      <c r="M589" s="374"/>
      <c r="N589" s="374"/>
      <c r="O589" s="374"/>
      <c r="P589" s="374"/>
      <c r="Q589" s="374"/>
      <c r="R589" s="374"/>
      <c r="S589" s="374"/>
      <c r="T589" s="374"/>
      <c r="U589" s="374"/>
      <c r="V589" s="374"/>
      <c r="W589" s="374"/>
      <c r="X589" s="374"/>
      <c r="Y589" s="374"/>
      <c r="Z589" s="374"/>
    </row>
    <row r="590" ht="15.75" customHeight="1">
      <c r="A590" s="374"/>
      <c r="B590" s="374"/>
      <c r="C590" s="374"/>
      <c r="D590" s="374"/>
      <c r="E590" s="374"/>
      <c r="F590" s="374"/>
      <c r="G590" s="388"/>
      <c r="H590" s="388"/>
      <c r="I590" s="374"/>
      <c r="J590" s="374"/>
      <c r="K590" s="374"/>
      <c r="L590" s="374"/>
      <c r="M590" s="374"/>
      <c r="N590" s="374"/>
      <c r="O590" s="374"/>
      <c r="P590" s="374"/>
      <c r="Q590" s="374"/>
      <c r="R590" s="374"/>
      <c r="S590" s="374"/>
      <c r="T590" s="374"/>
      <c r="U590" s="374"/>
      <c r="V590" s="374"/>
      <c r="W590" s="374"/>
      <c r="X590" s="374"/>
      <c r="Y590" s="374"/>
      <c r="Z590" s="374"/>
    </row>
    <row r="591" ht="15.75" customHeight="1">
      <c r="A591" s="374"/>
      <c r="B591" s="374"/>
      <c r="C591" s="374"/>
      <c r="D591" s="374"/>
      <c r="E591" s="374"/>
      <c r="F591" s="374"/>
      <c r="G591" s="388"/>
      <c r="H591" s="388"/>
      <c r="I591" s="374"/>
      <c r="J591" s="374"/>
      <c r="K591" s="374"/>
      <c r="L591" s="374"/>
      <c r="M591" s="374"/>
      <c r="N591" s="374"/>
      <c r="O591" s="374"/>
      <c r="P591" s="374"/>
      <c r="Q591" s="374"/>
      <c r="R591" s="374"/>
      <c r="S591" s="374"/>
      <c r="T591" s="374"/>
      <c r="U591" s="374"/>
      <c r="V591" s="374"/>
      <c r="W591" s="374"/>
      <c r="X591" s="374"/>
      <c r="Y591" s="374"/>
      <c r="Z591" s="374"/>
    </row>
    <row r="592" ht="15.75" customHeight="1">
      <c r="A592" s="374"/>
      <c r="B592" s="374"/>
      <c r="C592" s="374"/>
      <c r="D592" s="374"/>
      <c r="E592" s="374"/>
      <c r="F592" s="374"/>
      <c r="G592" s="388"/>
      <c r="H592" s="388"/>
      <c r="I592" s="374"/>
      <c r="J592" s="374"/>
      <c r="K592" s="374"/>
      <c r="L592" s="374"/>
      <c r="M592" s="374"/>
      <c r="N592" s="374"/>
      <c r="O592" s="374"/>
      <c r="P592" s="374"/>
      <c r="Q592" s="374"/>
      <c r="R592" s="374"/>
      <c r="S592" s="374"/>
      <c r="T592" s="374"/>
      <c r="U592" s="374"/>
      <c r="V592" s="374"/>
      <c r="W592" s="374"/>
      <c r="X592" s="374"/>
      <c r="Y592" s="374"/>
      <c r="Z592" s="374"/>
    </row>
    <row r="593" ht="15.75" customHeight="1">
      <c r="A593" s="374"/>
      <c r="B593" s="374"/>
      <c r="C593" s="374"/>
      <c r="D593" s="374"/>
      <c r="E593" s="374"/>
      <c r="F593" s="374"/>
      <c r="G593" s="388"/>
      <c r="H593" s="388"/>
      <c r="I593" s="374"/>
      <c r="J593" s="374"/>
      <c r="K593" s="374"/>
      <c r="L593" s="374"/>
      <c r="M593" s="374"/>
      <c r="N593" s="374"/>
      <c r="O593" s="374"/>
      <c r="P593" s="374"/>
      <c r="Q593" s="374"/>
      <c r="R593" s="374"/>
      <c r="S593" s="374"/>
      <c r="T593" s="374"/>
      <c r="U593" s="374"/>
      <c r="V593" s="374"/>
      <c r="W593" s="374"/>
      <c r="X593" s="374"/>
      <c r="Y593" s="374"/>
      <c r="Z593" s="374"/>
    </row>
    <row r="594" ht="15.75" customHeight="1">
      <c r="A594" s="374"/>
      <c r="B594" s="374"/>
      <c r="C594" s="374"/>
      <c r="D594" s="374"/>
      <c r="E594" s="374"/>
      <c r="F594" s="374"/>
      <c r="G594" s="388"/>
      <c r="H594" s="388"/>
      <c r="I594" s="374"/>
      <c r="J594" s="374"/>
      <c r="K594" s="374"/>
      <c r="L594" s="374"/>
      <c r="M594" s="374"/>
      <c r="N594" s="374"/>
      <c r="O594" s="374"/>
      <c r="P594" s="374"/>
      <c r="Q594" s="374"/>
      <c r="R594" s="374"/>
      <c r="S594" s="374"/>
      <c r="T594" s="374"/>
      <c r="U594" s="374"/>
      <c r="V594" s="374"/>
      <c r="W594" s="374"/>
      <c r="X594" s="374"/>
      <c r="Y594" s="374"/>
      <c r="Z594" s="374"/>
    </row>
    <row r="595" ht="15.75" customHeight="1">
      <c r="A595" s="374"/>
      <c r="B595" s="374"/>
      <c r="C595" s="374"/>
      <c r="D595" s="374"/>
      <c r="E595" s="374"/>
      <c r="F595" s="374"/>
      <c r="G595" s="388"/>
      <c r="H595" s="388"/>
      <c r="I595" s="374"/>
      <c r="J595" s="374"/>
      <c r="K595" s="374"/>
      <c r="L595" s="374"/>
      <c r="M595" s="374"/>
      <c r="N595" s="374"/>
      <c r="O595" s="374"/>
      <c r="P595" s="374"/>
      <c r="Q595" s="374"/>
      <c r="R595" s="374"/>
      <c r="S595" s="374"/>
      <c r="T595" s="374"/>
      <c r="U595" s="374"/>
      <c r="V595" s="374"/>
      <c r="W595" s="374"/>
      <c r="X595" s="374"/>
      <c r="Y595" s="374"/>
      <c r="Z595" s="374"/>
    </row>
    <row r="596" ht="15.75" customHeight="1">
      <c r="A596" s="374"/>
      <c r="B596" s="374"/>
      <c r="C596" s="374"/>
      <c r="D596" s="374"/>
      <c r="E596" s="374"/>
      <c r="F596" s="374"/>
      <c r="G596" s="388"/>
      <c r="H596" s="388"/>
      <c r="I596" s="374"/>
      <c r="J596" s="374"/>
      <c r="K596" s="374"/>
      <c r="L596" s="374"/>
      <c r="M596" s="374"/>
      <c r="N596" s="374"/>
      <c r="O596" s="374"/>
      <c r="P596" s="374"/>
      <c r="Q596" s="374"/>
      <c r="R596" s="374"/>
      <c r="S596" s="374"/>
      <c r="T596" s="374"/>
      <c r="U596" s="374"/>
      <c r="V596" s="374"/>
      <c r="W596" s="374"/>
      <c r="X596" s="374"/>
      <c r="Y596" s="374"/>
      <c r="Z596" s="374"/>
    </row>
    <row r="597" ht="15.75" customHeight="1">
      <c r="A597" s="374"/>
      <c r="B597" s="374"/>
      <c r="C597" s="374"/>
      <c r="D597" s="374"/>
      <c r="E597" s="374"/>
      <c r="F597" s="374"/>
      <c r="G597" s="388"/>
      <c r="H597" s="388"/>
      <c r="I597" s="374"/>
      <c r="J597" s="374"/>
      <c r="K597" s="374"/>
      <c r="L597" s="374"/>
      <c r="M597" s="374"/>
      <c r="N597" s="374"/>
      <c r="O597" s="374"/>
      <c r="P597" s="374"/>
      <c r="Q597" s="374"/>
      <c r="R597" s="374"/>
      <c r="S597" s="374"/>
      <c r="T597" s="374"/>
      <c r="U597" s="374"/>
      <c r="V597" s="374"/>
      <c r="W597" s="374"/>
      <c r="X597" s="374"/>
      <c r="Y597" s="374"/>
      <c r="Z597" s="374"/>
    </row>
    <row r="598" ht="15.75" customHeight="1">
      <c r="A598" s="374"/>
      <c r="B598" s="374"/>
      <c r="C598" s="374"/>
      <c r="D598" s="374"/>
      <c r="E598" s="374"/>
      <c r="F598" s="374"/>
      <c r="G598" s="388"/>
      <c r="H598" s="388"/>
      <c r="I598" s="374"/>
      <c r="J598" s="374"/>
      <c r="K598" s="374"/>
      <c r="L598" s="374"/>
      <c r="M598" s="374"/>
      <c r="N598" s="374"/>
      <c r="O598" s="374"/>
      <c r="P598" s="374"/>
      <c r="Q598" s="374"/>
      <c r="R598" s="374"/>
      <c r="S598" s="374"/>
      <c r="T598" s="374"/>
      <c r="U598" s="374"/>
      <c r="V598" s="374"/>
      <c r="W598" s="374"/>
      <c r="X598" s="374"/>
      <c r="Y598" s="374"/>
      <c r="Z598" s="374"/>
    </row>
    <row r="599" ht="15.75" customHeight="1">
      <c r="A599" s="374"/>
      <c r="B599" s="374"/>
      <c r="C599" s="374"/>
      <c r="D599" s="374"/>
      <c r="E599" s="374"/>
      <c r="F599" s="374"/>
      <c r="G599" s="388"/>
      <c r="H599" s="388"/>
      <c r="I599" s="374"/>
      <c r="J599" s="374"/>
      <c r="K599" s="374"/>
      <c r="L599" s="374"/>
      <c r="M599" s="374"/>
      <c r="N599" s="374"/>
      <c r="O599" s="374"/>
      <c r="P599" s="374"/>
      <c r="Q599" s="374"/>
      <c r="R599" s="374"/>
      <c r="S599" s="374"/>
      <c r="T599" s="374"/>
      <c r="U599" s="374"/>
      <c r="V599" s="374"/>
      <c r="W599" s="374"/>
      <c r="X599" s="374"/>
      <c r="Y599" s="374"/>
      <c r="Z599" s="374"/>
    </row>
    <row r="600" ht="15.75" customHeight="1">
      <c r="A600" s="374"/>
      <c r="B600" s="374"/>
      <c r="C600" s="374"/>
      <c r="D600" s="374"/>
      <c r="E600" s="374"/>
      <c r="F600" s="374"/>
      <c r="G600" s="388"/>
      <c r="H600" s="388"/>
      <c r="I600" s="374"/>
      <c r="J600" s="374"/>
      <c r="K600" s="374"/>
      <c r="L600" s="374"/>
      <c r="M600" s="374"/>
      <c r="N600" s="374"/>
      <c r="O600" s="374"/>
      <c r="P600" s="374"/>
      <c r="Q600" s="374"/>
      <c r="R600" s="374"/>
      <c r="S600" s="374"/>
      <c r="T600" s="374"/>
      <c r="U600" s="374"/>
      <c r="V600" s="374"/>
      <c r="W600" s="374"/>
      <c r="X600" s="374"/>
      <c r="Y600" s="374"/>
      <c r="Z600" s="374"/>
    </row>
    <row r="601" ht="15.75" customHeight="1">
      <c r="A601" s="374"/>
      <c r="B601" s="374"/>
      <c r="C601" s="374"/>
      <c r="D601" s="374"/>
      <c r="E601" s="374"/>
      <c r="F601" s="374"/>
      <c r="G601" s="388"/>
      <c r="H601" s="388"/>
      <c r="I601" s="374"/>
      <c r="J601" s="374"/>
      <c r="K601" s="374"/>
      <c r="L601" s="374"/>
      <c r="M601" s="374"/>
      <c r="N601" s="374"/>
      <c r="O601" s="374"/>
      <c r="P601" s="374"/>
      <c r="Q601" s="374"/>
      <c r="R601" s="374"/>
      <c r="S601" s="374"/>
      <c r="T601" s="374"/>
      <c r="U601" s="374"/>
      <c r="V601" s="374"/>
      <c r="W601" s="374"/>
      <c r="X601" s="374"/>
      <c r="Y601" s="374"/>
      <c r="Z601" s="374"/>
    </row>
    <row r="602" ht="15.75" customHeight="1">
      <c r="A602" s="374"/>
      <c r="B602" s="374"/>
      <c r="C602" s="374"/>
      <c r="D602" s="374"/>
      <c r="E602" s="374"/>
      <c r="F602" s="374"/>
      <c r="G602" s="388"/>
      <c r="H602" s="388"/>
      <c r="I602" s="374"/>
      <c r="J602" s="374"/>
      <c r="K602" s="374"/>
      <c r="L602" s="374"/>
      <c r="M602" s="374"/>
      <c r="N602" s="374"/>
      <c r="O602" s="374"/>
      <c r="P602" s="374"/>
      <c r="Q602" s="374"/>
      <c r="R602" s="374"/>
      <c r="S602" s="374"/>
      <c r="T602" s="374"/>
      <c r="U602" s="374"/>
      <c r="V602" s="374"/>
      <c r="W602" s="374"/>
      <c r="X602" s="374"/>
      <c r="Y602" s="374"/>
      <c r="Z602" s="374"/>
    </row>
    <row r="603" ht="15.75" customHeight="1">
      <c r="A603" s="374"/>
      <c r="B603" s="374"/>
      <c r="C603" s="374"/>
      <c r="D603" s="374"/>
      <c r="E603" s="374"/>
      <c r="F603" s="374"/>
      <c r="G603" s="388"/>
      <c r="H603" s="388"/>
      <c r="I603" s="374"/>
      <c r="J603" s="374"/>
      <c r="K603" s="374"/>
      <c r="L603" s="374"/>
      <c r="M603" s="374"/>
      <c r="N603" s="374"/>
      <c r="O603" s="374"/>
      <c r="P603" s="374"/>
      <c r="Q603" s="374"/>
      <c r="R603" s="374"/>
      <c r="S603" s="374"/>
      <c r="T603" s="374"/>
      <c r="U603" s="374"/>
      <c r="V603" s="374"/>
      <c r="W603" s="374"/>
      <c r="X603" s="374"/>
      <c r="Y603" s="374"/>
      <c r="Z603" s="374"/>
    </row>
    <row r="604" ht="15.75" customHeight="1">
      <c r="A604" s="374"/>
      <c r="B604" s="374"/>
      <c r="C604" s="374"/>
      <c r="D604" s="374"/>
      <c r="E604" s="374"/>
      <c r="F604" s="374"/>
      <c r="G604" s="388"/>
      <c r="H604" s="388"/>
      <c r="I604" s="374"/>
      <c r="J604" s="374"/>
      <c r="K604" s="374"/>
      <c r="L604" s="374"/>
      <c r="M604" s="374"/>
      <c r="N604" s="374"/>
      <c r="O604" s="374"/>
      <c r="P604" s="374"/>
      <c r="Q604" s="374"/>
      <c r="R604" s="374"/>
      <c r="S604" s="374"/>
      <c r="T604" s="374"/>
      <c r="U604" s="374"/>
      <c r="V604" s="374"/>
      <c r="W604" s="374"/>
      <c r="X604" s="374"/>
      <c r="Y604" s="374"/>
      <c r="Z604" s="374"/>
    </row>
    <row r="605" ht="15.75" customHeight="1">
      <c r="A605" s="374"/>
      <c r="B605" s="374"/>
      <c r="C605" s="374"/>
      <c r="D605" s="374"/>
      <c r="E605" s="374"/>
      <c r="F605" s="374"/>
      <c r="G605" s="388"/>
      <c r="H605" s="388"/>
      <c r="I605" s="374"/>
      <c r="J605" s="374"/>
      <c r="K605" s="374"/>
      <c r="L605" s="374"/>
      <c r="M605" s="374"/>
      <c r="N605" s="374"/>
      <c r="O605" s="374"/>
      <c r="P605" s="374"/>
      <c r="Q605" s="374"/>
      <c r="R605" s="374"/>
      <c r="S605" s="374"/>
      <c r="T605" s="374"/>
      <c r="U605" s="374"/>
      <c r="V605" s="374"/>
      <c r="W605" s="374"/>
      <c r="X605" s="374"/>
      <c r="Y605" s="374"/>
      <c r="Z605" s="374"/>
    </row>
    <row r="606" ht="15.75" customHeight="1">
      <c r="A606" s="374"/>
      <c r="B606" s="374"/>
      <c r="C606" s="374"/>
      <c r="D606" s="374"/>
      <c r="E606" s="374"/>
      <c r="F606" s="374"/>
      <c r="G606" s="388"/>
      <c r="H606" s="388"/>
      <c r="I606" s="374"/>
      <c r="J606" s="374"/>
      <c r="K606" s="374"/>
      <c r="L606" s="374"/>
      <c r="M606" s="374"/>
      <c r="N606" s="374"/>
      <c r="O606" s="374"/>
      <c r="P606" s="374"/>
      <c r="Q606" s="374"/>
      <c r="R606" s="374"/>
      <c r="S606" s="374"/>
      <c r="T606" s="374"/>
      <c r="U606" s="374"/>
      <c r="V606" s="374"/>
      <c r="W606" s="374"/>
      <c r="X606" s="374"/>
      <c r="Y606" s="374"/>
      <c r="Z606" s="374"/>
    </row>
    <row r="607" ht="15.75" customHeight="1">
      <c r="A607" s="374"/>
      <c r="B607" s="374"/>
      <c r="C607" s="374"/>
      <c r="D607" s="374"/>
      <c r="E607" s="374"/>
      <c r="F607" s="374"/>
      <c r="G607" s="388"/>
      <c r="H607" s="388"/>
      <c r="I607" s="374"/>
      <c r="J607" s="374"/>
      <c r="K607" s="374"/>
      <c r="L607" s="374"/>
      <c r="M607" s="374"/>
      <c r="N607" s="374"/>
      <c r="O607" s="374"/>
      <c r="P607" s="374"/>
      <c r="Q607" s="374"/>
      <c r="R607" s="374"/>
      <c r="S607" s="374"/>
      <c r="T607" s="374"/>
      <c r="U607" s="374"/>
      <c r="V607" s="374"/>
      <c r="W607" s="374"/>
      <c r="X607" s="374"/>
      <c r="Y607" s="374"/>
      <c r="Z607" s="374"/>
    </row>
    <row r="608" ht="15.75" customHeight="1">
      <c r="A608" s="374"/>
      <c r="B608" s="374"/>
      <c r="C608" s="374"/>
      <c r="D608" s="374"/>
      <c r="E608" s="374"/>
      <c r="F608" s="374"/>
      <c r="G608" s="388"/>
      <c r="H608" s="388"/>
      <c r="I608" s="374"/>
      <c r="J608" s="374"/>
      <c r="K608" s="374"/>
      <c r="L608" s="374"/>
      <c r="M608" s="374"/>
      <c r="N608" s="374"/>
      <c r="O608" s="374"/>
      <c r="P608" s="374"/>
      <c r="Q608" s="374"/>
      <c r="R608" s="374"/>
      <c r="S608" s="374"/>
      <c r="T608" s="374"/>
      <c r="U608" s="374"/>
      <c r="V608" s="374"/>
      <c r="W608" s="374"/>
      <c r="X608" s="374"/>
      <c r="Y608" s="374"/>
      <c r="Z608" s="374"/>
    </row>
    <row r="609" ht="15.75" customHeight="1">
      <c r="A609" s="374"/>
      <c r="B609" s="374"/>
      <c r="C609" s="374"/>
      <c r="D609" s="374"/>
      <c r="E609" s="374"/>
      <c r="F609" s="374"/>
      <c r="G609" s="388"/>
      <c r="H609" s="388"/>
      <c r="I609" s="374"/>
      <c r="J609" s="374"/>
      <c r="K609" s="374"/>
      <c r="L609" s="374"/>
      <c r="M609" s="374"/>
      <c r="N609" s="374"/>
      <c r="O609" s="374"/>
      <c r="P609" s="374"/>
      <c r="Q609" s="374"/>
      <c r="R609" s="374"/>
      <c r="S609" s="374"/>
      <c r="T609" s="374"/>
      <c r="U609" s="374"/>
      <c r="V609" s="374"/>
      <c r="W609" s="374"/>
      <c r="X609" s="374"/>
      <c r="Y609" s="374"/>
      <c r="Z609" s="374"/>
    </row>
    <row r="610" ht="15.75" customHeight="1">
      <c r="A610" s="374"/>
      <c r="B610" s="374"/>
      <c r="C610" s="374"/>
      <c r="D610" s="374"/>
      <c r="E610" s="374"/>
      <c r="F610" s="374"/>
      <c r="G610" s="388"/>
      <c r="H610" s="388"/>
      <c r="I610" s="374"/>
      <c r="J610" s="374"/>
      <c r="K610" s="374"/>
      <c r="L610" s="374"/>
      <c r="M610" s="374"/>
      <c r="N610" s="374"/>
      <c r="O610" s="374"/>
      <c r="P610" s="374"/>
      <c r="Q610" s="374"/>
      <c r="R610" s="374"/>
      <c r="S610" s="374"/>
      <c r="T610" s="374"/>
      <c r="U610" s="374"/>
      <c r="V610" s="374"/>
      <c r="W610" s="374"/>
      <c r="X610" s="374"/>
      <c r="Y610" s="374"/>
      <c r="Z610" s="374"/>
    </row>
    <row r="611" ht="15.75" customHeight="1">
      <c r="A611" s="374"/>
      <c r="B611" s="374"/>
      <c r="C611" s="374"/>
      <c r="D611" s="374"/>
      <c r="E611" s="374"/>
      <c r="F611" s="374"/>
      <c r="G611" s="388"/>
      <c r="H611" s="388"/>
      <c r="I611" s="374"/>
      <c r="J611" s="374"/>
      <c r="K611" s="374"/>
      <c r="L611" s="374"/>
      <c r="M611" s="374"/>
      <c r="N611" s="374"/>
      <c r="O611" s="374"/>
      <c r="P611" s="374"/>
      <c r="Q611" s="374"/>
      <c r="R611" s="374"/>
      <c r="S611" s="374"/>
      <c r="T611" s="374"/>
      <c r="U611" s="374"/>
      <c r="V611" s="374"/>
      <c r="W611" s="374"/>
      <c r="X611" s="374"/>
      <c r="Y611" s="374"/>
      <c r="Z611" s="374"/>
    </row>
    <row r="612" ht="15.75" customHeight="1">
      <c r="A612" s="374"/>
      <c r="B612" s="374"/>
      <c r="C612" s="374"/>
      <c r="D612" s="374"/>
      <c r="E612" s="374"/>
      <c r="F612" s="374"/>
      <c r="G612" s="388"/>
      <c r="H612" s="388"/>
      <c r="I612" s="374"/>
      <c r="J612" s="374"/>
      <c r="K612" s="374"/>
      <c r="L612" s="374"/>
      <c r="M612" s="374"/>
      <c r="N612" s="374"/>
      <c r="O612" s="374"/>
      <c r="P612" s="374"/>
      <c r="Q612" s="374"/>
      <c r="R612" s="374"/>
      <c r="S612" s="374"/>
      <c r="T612" s="374"/>
      <c r="U612" s="374"/>
      <c r="V612" s="374"/>
      <c r="W612" s="374"/>
      <c r="X612" s="374"/>
      <c r="Y612" s="374"/>
      <c r="Z612" s="374"/>
    </row>
    <row r="613" ht="15.75" customHeight="1">
      <c r="A613" s="374"/>
      <c r="B613" s="374"/>
      <c r="C613" s="374"/>
      <c r="D613" s="374"/>
      <c r="E613" s="374"/>
      <c r="F613" s="374"/>
      <c r="G613" s="388"/>
      <c r="H613" s="388"/>
      <c r="I613" s="374"/>
      <c r="J613" s="374"/>
      <c r="K613" s="374"/>
      <c r="L613" s="374"/>
      <c r="M613" s="374"/>
      <c r="N613" s="374"/>
      <c r="O613" s="374"/>
      <c r="P613" s="374"/>
      <c r="Q613" s="374"/>
      <c r="R613" s="374"/>
      <c r="S613" s="374"/>
      <c r="T613" s="374"/>
      <c r="U613" s="374"/>
      <c r="V613" s="374"/>
      <c r="W613" s="374"/>
      <c r="X613" s="374"/>
      <c r="Y613" s="374"/>
      <c r="Z613" s="374"/>
    </row>
    <row r="614" ht="15.75" customHeight="1">
      <c r="A614" s="374"/>
      <c r="B614" s="374"/>
      <c r="C614" s="374"/>
      <c r="D614" s="374"/>
      <c r="E614" s="374"/>
      <c r="F614" s="374"/>
      <c r="G614" s="388"/>
      <c r="H614" s="388"/>
      <c r="I614" s="374"/>
      <c r="J614" s="374"/>
      <c r="K614" s="374"/>
      <c r="L614" s="374"/>
      <c r="M614" s="374"/>
      <c r="N614" s="374"/>
      <c r="O614" s="374"/>
      <c r="P614" s="374"/>
      <c r="Q614" s="374"/>
      <c r="R614" s="374"/>
      <c r="S614" s="374"/>
      <c r="T614" s="374"/>
      <c r="U614" s="374"/>
      <c r="V614" s="374"/>
      <c r="W614" s="374"/>
      <c r="X614" s="374"/>
      <c r="Y614" s="374"/>
      <c r="Z614" s="374"/>
    </row>
    <row r="615" ht="15.75" customHeight="1">
      <c r="A615" s="374"/>
      <c r="B615" s="374"/>
      <c r="C615" s="374"/>
      <c r="D615" s="374"/>
      <c r="E615" s="374"/>
      <c r="F615" s="374"/>
      <c r="G615" s="388"/>
      <c r="H615" s="388"/>
      <c r="I615" s="374"/>
      <c r="J615" s="374"/>
      <c r="K615" s="374"/>
      <c r="L615" s="374"/>
      <c r="M615" s="374"/>
      <c r="N615" s="374"/>
      <c r="O615" s="374"/>
      <c r="P615" s="374"/>
      <c r="Q615" s="374"/>
      <c r="R615" s="374"/>
      <c r="S615" s="374"/>
      <c r="T615" s="374"/>
      <c r="U615" s="374"/>
      <c r="V615" s="374"/>
      <c r="W615" s="374"/>
      <c r="X615" s="374"/>
      <c r="Y615" s="374"/>
      <c r="Z615" s="374"/>
    </row>
    <row r="616" ht="15.75" customHeight="1">
      <c r="A616" s="374"/>
      <c r="B616" s="374"/>
      <c r="C616" s="374"/>
      <c r="D616" s="374"/>
      <c r="E616" s="374"/>
      <c r="F616" s="374"/>
      <c r="G616" s="388"/>
      <c r="H616" s="388"/>
      <c r="I616" s="374"/>
      <c r="J616" s="374"/>
      <c r="K616" s="374"/>
      <c r="L616" s="374"/>
      <c r="M616" s="374"/>
      <c r="N616" s="374"/>
      <c r="O616" s="374"/>
      <c r="P616" s="374"/>
      <c r="Q616" s="374"/>
      <c r="R616" s="374"/>
      <c r="S616" s="374"/>
      <c r="T616" s="374"/>
      <c r="U616" s="374"/>
      <c r="V616" s="374"/>
      <c r="W616" s="374"/>
      <c r="X616" s="374"/>
      <c r="Y616" s="374"/>
      <c r="Z616" s="374"/>
    </row>
    <row r="617" ht="15.75" customHeight="1">
      <c r="A617" s="374"/>
      <c r="B617" s="374"/>
      <c r="C617" s="374"/>
      <c r="D617" s="374"/>
      <c r="E617" s="374"/>
      <c r="F617" s="374"/>
      <c r="G617" s="388"/>
      <c r="H617" s="388"/>
      <c r="I617" s="374"/>
      <c r="J617" s="374"/>
      <c r="K617" s="374"/>
      <c r="L617" s="374"/>
      <c r="M617" s="374"/>
      <c r="N617" s="374"/>
      <c r="O617" s="374"/>
      <c r="P617" s="374"/>
      <c r="Q617" s="374"/>
      <c r="R617" s="374"/>
      <c r="S617" s="374"/>
      <c r="T617" s="374"/>
      <c r="U617" s="374"/>
      <c r="V617" s="374"/>
      <c r="W617" s="374"/>
      <c r="X617" s="374"/>
      <c r="Y617" s="374"/>
      <c r="Z617" s="374"/>
    </row>
    <row r="618" ht="15.75" customHeight="1">
      <c r="A618" s="374"/>
      <c r="B618" s="374"/>
      <c r="C618" s="374"/>
      <c r="D618" s="374"/>
      <c r="E618" s="374"/>
      <c r="F618" s="374"/>
      <c r="G618" s="388"/>
      <c r="H618" s="388"/>
      <c r="I618" s="374"/>
      <c r="J618" s="374"/>
      <c r="K618" s="374"/>
      <c r="L618" s="374"/>
      <c r="M618" s="374"/>
      <c r="N618" s="374"/>
      <c r="O618" s="374"/>
      <c r="P618" s="374"/>
      <c r="Q618" s="374"/>
      <c r="R618" s="374"/>
      <c r="S618" s="374"/>
      <c r="T618" s="374"/>
      <c r="U618" s="374"/>
      <c r="V618" s="374"/>
      <c r="W618" s="374"/>
      <c r="X618" s="374"/>
      <c r="Y618" s="374"/>
      <c r="Z618" s="374"/>
    </row>
    <row r="619" ht="15.75" customHeight="1">
      <c r="A619" s="374"/>
      <c r="B619" s="374"/>
      <c r="C619" s="374"/>
      <c r="D619" s="374"/>
      <c r="E619" s="374"/>
      <c r="F619" s="374"/>
      <c r="G619" s="388"/>
      <c r="H619" s="388"/>
      <c r="I619" s="374"/>
      <c r="J619" s="374"/>
      <c r="K619" s="374"/>
      <c r="L619" s="374"/>
      <c r="M619" s="374"/>
      <c r="N619" s="374"/>
      <c r="O619" s="374"/>
      <c r="P619" s="374"/>
      <c r="Q619" s="374"/>
      <c r="R619" s="374"/>
      <c r="S619" s="374"/>
      <c r="T619" s="374"/>
      <c r="U619" s="374"/>
      <c r="V619" s="374"/>
      <c r="W619" s="374"/>
      <c r="X619" s="374"/>
      <c r="Y619" s="374"/>
      <c r="Z619" s="374"/>
    </row>
    <row r="620" ht="15.75" customHeight="1">
      <c r="A620" s="374"/>
      <c r="B620" s="374"/>
      <c r="C620" s="374"/>
      <c r="D620" s="374"/>
      <c r="E620" s="374"/>
      <c r="F620" s="374"/>
      <c r="G620" s="388"/>
      <c r="H620" s="388"/>
      <c r="I620" s="374"/>
      <c r="J620" s="374"/>
      <c r="K620" s="374"/>
      <c r="L620" s="374"/>
      <c r="M620" s="374"/>
      <c r="N620" s="374"/>
      <c r="O620" s="374"/>
      <c r="P620" s="374"/>
      <c r="Q620" s="374"/>
      <c r="R620" s="374"/>
      <c r="S620" s="374"/>
      <c r="T620" s="374"/>
      <c r="U620" s="374"/>
      <c r="V620" s="374"/>
      <c r="W620" s="374"/>
      <c r="X620" s="374"/>
      <c r="Y620" s="374"/>
      <c r="Z620" s="374"/>
    </row>
    <row r="621" ht="15.75" customHeight="1">
      <c r="A621" s="374"/>
      <c r="B621" s="374"/>
      <c r="C621" s="374"/>
      <c r="D621" s="374"/>
      <c r="E621" s="374"/>
      <c r="F621" s="374"/>
      <c r="G621" s="388"/>
      <c r="H621" s="388"/>
      <c r="I621" s="374"/>
      <c r="J621" s="374"/>
      <c r="K621" s="374"/>
      <c r="L621" s="374"/>
      <c r="M621" s="374"/>
      <c r="N621" s="374"/>
      <c r="O621" s="374"/>
      <c r="P621" s="374"/>
      <c r="Q621" s="374"/>
      <c r="R621" s="374"/>
      <c r="S621" s="374"/>
      <c r="T621" s="374"/>
      <c r="U621" s="374"/>
      <c r="V621" s="374"/>
      <c r="W621" s="374"/>
      <c r="X621" s="374"/>
      <c r="Y621" s="374"/>
      <c r="Z621" s="374"/>
    </row>
    <row r="622" ht="15.75" customHeight="1">
      <c r="A622" s="374"/>
      <c r="B622" s="374"/>
      <c r="C622" s="374"/>
      <c r="D622" s="374"/>
      <c r="E622" s="374"/>
      <c r="F622" s="374"/>
      <c r="G622" s="388"/>
      <c r="H622" s="388"/>
      <c r="I622" s="374"/>
      <c r="J622" s="374"/>
      <c r="K622" s="374"/>
      <c r="L622" s="374"/>
      <c r="M622" s="374"/>
      <c r="N622" s="374"/>
      <c r="O622" s="374"/>
      <c r="P622" s="374"/>
      <c r="Q622" s="374"/>
      <c r="R622" s="374"/>
      <c r="S622" s="374"/>
      <c r="T622" s="374"/>
      <c r="U622" s="374"/>
      <c r="V622" s="374"/>
      <c r="W622" s="374"/>
      <c r="X622" s="374"/>
      <c r="Y622" s="374"/>
      <c r="Z622" s="374"/>
    </row>
    <row r="623" ht="15.75" customHeight="1">
      <c r="A623" s="374"/>
      <c r="B623" s="374"/>
      <c r="C623" s="374"/>
      <c r="D623" s="374"/>
      <c r="E623" s="374"/>
      <c r="F623" s="374"/>
      <c r="G623" s="388"/>
      <c r="H623" s="388"/>
      <c r="I623" s="374"/>
      <c r="J623" s="374"/>
      <c r="K623" s="374"/>
      <c r="L623" s="374"/>
      <c r="M623" s="374"/>
      <c r="N623" s="374"/>
      <c r="O623" s="374"/>
      <c r="P623" s="374"/>
      <c r="Q623" s="374"/>
      <c r="R623" s="374"/>
      <c r="S623" s="374"/>
      <c r="T623" s="374"/>
      <c r="U623" s="374"/>
      <c r="V623" s="374"/>
      <c r="W623" s="374"/>
      <c r="X623" s="374"/>
      <c r="Y623" s="374"/>
      <c r="Z623" s="374"/>
    </row>
    <row r="624" ht="15.75" customHeight="1">
      <c r="A624" s="374"/>
      <c r="B624" s="374"/>
      <c r="C624" s="374"/>
      <c r="D624" s="374"/>
      <c r="E624" s="374"/>
      <c r="F624" s="374"/>
      <c r="G624" s="388"/>
      <c r="H624" s="388"/>
      <c r="I624" s="374"/>
      <c r="J624" s="374"/>
      <c r="K624" s="374"/>
      <c r="L624" s="374"/>
      <c r="M624" s="374"/>
      <c r="N624" s="374"/>
      <c r="O624" s="374"/>
      <c r="P624" s="374"/>
      <c r="Q624" s="374"/>
      <c r="R624" s="374"/>
      <c r="S624" s="374"/>
      <c r="T624" s="374"/>
      <c r="U624" s="374"/>
      <c r="V624" s="374"/>
      <c r="W624" s="374"/>
      <c r="X624" s="374"/>
      <c r="Y624" s="374"/>
      <c r="Z624" s="374"/>
    </row>
    <row r="625" ht="15.75" customHeight="1">
      <c r="A625" s="374"/>
      <c r="B625" s="374"/>
      <c r="C625" s="374"/>
      <c r="D625" s="374"/>
      <c r="E625" s="374"/>
      <c r="F625" s="374"/>
      <c r="G625" s="388"/>
      <c r="H625" s="388"/>
      <c r="I625" s="374"/>
      <c r="J625" s="374"/>
      <c r="K625" s="374"/>
      <c r="L625" s="374"/>
      <c r="M625" s="374"/>
      <c r="N625" s="374"/>
      <c r="O625" s="374"/>
      <c r="P625" s="374"/>
      <c r="Q625" s="374"/>
      <c r="R625" s="374"/>
      <c r="S625" s="374"/>
      <c r="T625" s="374"/>
      <c r="U625" s="374"/>
      <c r="V625" s="374"/>
      <c r="W625" s="374"/>
      <c r="X625" s="374"/>
      <c r="Y625" s="374"/>
      <c r="Z625" s="374"/>
    </row>
    <row r="626" ht="15.75" customHeight="1">
      <c r="A626" s="374"/>
      <c r="B626" s="374"/>
      <c r="C626" s="374"/>
      <c r="D626" s="374"/>
      <c r="E626" s="374"/>
      <c r="F626" s="374"/>
      <c r="G626" s="388"/>
      <c r="H626" s="388"/>
      <c r="I626" s="374"/>
      <c r="J626" s="374"/>
      <c r="K626" s="374"/>
      <c r="L626" s="374"/>
      <c r="M626" s="374"/>
      <c r="N626" s="374"/>
      <c r="O626" s="374"/>
      <c r="P626" s="374"/>
      <c r="Q626" s="374"/>
      <c r="R626" s="374"/>
      <c r="S626" s="374"/>
      <c r="T626" s="374"/>
      <c r="U626" s="374"/>
      <c r="V626" s="374"/>
      <c r="W626" s="374"/>
      <c r="X626" s="374"/>
      <c r="Y626" s="374"/>
      <c r="Z626" s="374"/>
    </row>
    <row r="627" ht="15.75" customHeight="1">
      <c r="A627" s="374"/>
      <c r="B627" s="374"/>
      <c r="C627" s="374"/>
      <c r="D627" s="374"/>
      <c r="E627" s="374"/>
      <c r="F627" s="374"/>
      <c r="G627" s="388"/>
      <c r="H627" s="388"/>
      <c r="I627" s="374"/>
      <c r="J627" s="374"/>
      <c r="K627" s="374"/>
      <c r="L627" s="374"/>
      <c r="M627" s="374"/>
      <c r="N627" s="374"/>
      <c r="O627" s="374"/>
      <c r="P627" s="374"/>
      <c r="Q627" s="374"/>
      <c r="R627" s="374"/>
      <c r="S627" s="374"/>
      <c r="T627" s="374"/>
      <c r="U627" s="374"/>
      <c r="V627" s="374"/>
      <c r="W627" s="374"/>
      <c r="X627" s="374"/>
      <c r="Y627" s="374"/>
      <c r="Z627" s="374"/>
    </row>
    <row r="628" ht="15.75" customHeight="1">
      <c r="A628" s="374"/>
      <c r="B628" s="374"/>
      <c r="C628" s="374"/>
      <c r="D628" s="374"/>
      <c r="E628" s="374"/>
      <c r="F628" s="374"/>
      <c r="G628" s="388"/>
      <c r="H628" s="388"/>
      <c r="I628" s="374"/>
      <c r="J628" s="374"/>
      <c r="K628" s="374"/>
      <c r="L628" s="374"/>
      <c r="M628" s="374"/>
      <c r="N628" s="374"/>
      <c r="O628" s="374"/>
      <c r="P628" s="374"/>
      <c r="Q628" s="374"/>
      <c r="R628" s="374"/>
      <c r="S628" s="374"/>
      <c r="T628" s="374"/>
      <c r="U628" s="374"/>
      <c r="V628" s="374"/>
      <c r="W628" s="374"/>
      <c r="X628" s="374"/>
      <c r="Y628" s="374"/>
      <c r="Z628" s="374"/>
    </row>
    <row r="629" ht="15.75" customHeight="1">
      <c r="A629" s="374"/>
      <c r="B629" s="374"/>
      <c r="C629" s="374"/>
      <c r="D629" s="374"/>
      <c r="E629" s="374"/>
      <c r="F629" s="374"/>
      <c r="G629" s="388"/>
      <c r="H629" s="388"/>
      <c r="I629" s="374"/>
      <c r="J629" s="374"/>
      <c r="K629" s="374"/>
      <c r="L629" s="374"/>
      <c r="M629" s="374"/>
      <c r="N629" s="374"/>
      <c r="O629" s="374"/>
      <c r="P629" s="374"/>
      <c r="Q629" s="374"/>
      <c r="R629" s="374"/>
      <c r="S629" s="374"/>
      <c r="T629" s="374"/>
      <c r="U629" s="374"/>
      <c r="V629" s="374"/>
      <c r="W629" s="374"/>
      <c r="X629" s="374"/>
      <c r="Y629" s="374"/>
      <c r="Z629" s="374"/>
    </row>
    <row r="630" ht="15.75" customHeight="1">
      <c r="A630" s="374"/>
      <c r="B630" s="374"/>
      <c r="C630" s="374"/>
      <c r="D630" s="374"/>
      <c r="E630" s="374"/>
      <c r="F630" s="374"/>
      <c r="G630" s="388"/>
      <c r="H630" s="388"/>
      <c r="I630" s="374"/>
      <c r="J630" s="374"/>
      <c r="K630" s="374"/>
      <c r="L630" s="374"/>
      <c r="M630" s="374"/>
      <c r="N630" s="374"/>
      <c r="O630" s="374"/>
      <c r="P630" s="374"/>
      <c r="Q630" s="374"/>
      <c r="R630" s="374"/>
      <c r="S630" s="374"/>
      <c r="T630" s="374"/>
      <c r="U630" s="374"/>
      <c r="V630" s="374"/>
      <c r="W630" s="374"/>
      <c r="X630" s="374"/>
      <c r="Y630" s="374"/>
      <c r="Z630" s="374"/>
    </row>
    <row r="631" ht="15.75" customHeight="1">
      <c r="A631" s="374"/>
      <c r="B631" s="374"/>
      <c r="C631" s="374"/>
      <c r="D631" s="374"/>
      <c r="E631" s="374"/>
      <c r="F631" s="374"/>
      <c r="G631" s="388"/>
      <c r="H631" s="388"/>
      <c r="I631" s="374"/>
      <c r="J631" s="374"/>
      <c r="K631" s="374"/>
      <c r="L631" s="374"/>
      <c r="M631" s="374"/>
      <c r="N631" s="374"/>
      <c r="O631" s="374"/>
      <c r="P631" s="374"/>
      <c r="Q631" s="374"/>
      <c r="R631" s="374"/>
      <c r="S631" s="374"/>
      <c r="T631" s="374"/>
      <c r="U631" s="374"/>
      <c r="V631" s="374"/>
      <c r="W631" s="374"/>
      <c r="X631" s="374"/>
      <c r="Y631" s="374"/>
      <c r="Z631" s="374"/>
    </row>
    <row r="632" ht="15.75" customHeight="1">
      <c r="A632" s="374"/>
      <c r="B632" s="374"/>
      <c r="C632" s="374"/>
      <c r="D632" s="374"/>
      <c r="E632" s="374"/>
      <c r="F632" s="374"/>
      <c r="G632" s="388"/>
      <c r="H632" s="388"/>
      <c r="I632" s="374"/>
      <c r="J632" s="374"/>
      <c r="K632" s="374"/>
      <c r="L632" s="374"/>
      <c r="M632" s="374"/>
      <c r="N632" s="374"/>
      <c r="O632" s="374"/>
      <c r="P632" s="374"/>
      <c r="Q632" s="374"/>
      <c r="R632" s="374"/>
      <c r="S632" s="374"/>
      <c r="T632" s="374"/>
      <c r="U632" s="374"/>
      <c r="V632" s="374"/>
      <c r="W632" s="374"/>
      <c r="X632" s="374"/>
      <c r="Y632" s="374"/>
      <c r="Z632" s="374"/>
    </row>
    <row r="633" ht="15.75" customHeight="1">
      <c r="A633" s="374"/>
      <c r="B633" s="374"/>
      <c r="C633" s="374"/>
      <c r="D633" s="374"/>
      <c r="E633" s="374"/>
      <c r="F633" s="374"/>
      <c r="G633" s="388"/>
      <c r="H633" s="388"/>
      <c r="I633" s="374"/>
      <c r="J633" s="374"/>
      <c r="K633" s="374"/>
      <c r="L633" s="374"/>
      <c r="M633" s="374"/>
      <c r="N633" s="374"/>
      <c r="O633" s="374"/>
      <c r="P633" s="374"/>
      <c r="Q633" s="374"/>
      <c r="R633" s="374"/>
      <c r="S633" s="374"/>
      <c r="T633" s="374"/>
      <c r="U633" s="374"/>
      <c r="V633" s="374"/>
      <c r="W633" s="374"/>
      <c r="X633" s="374"/>
      <c r="Y633" s="374"/>
      <c r="Z633" s="374"/>
    </row>
    <row r="634" ht="15.75" customHeight="1">
      <c r="A634" s="374"/>
      <c r="B634" s="374"/>
      <c r="C634" s="374"/>
      <c r="D634" s="374"/>
      <c r="E634" s="374"/>
      <c r="F634" s="374"/>
      <c r="G634" s="388"/>
      <c r="H634" s="388"/>
      <c r="I634" s="374"/>
      <c r="J634" s="374"/>
      <c r="K634" s="374"/>
      <c r="L634" s="374"/>
      <c r="M634" s="374"/>
      <c r="N634" s="374"/>
      <c r="O634" s="374"/>
      <c r="P634" s="374"/>
      <c r="Q634" s="374"/>
      <c r="R634" s="374"/>
      <c r="S634" s="374"/>
      <c r="T634" s="374"/>
      <c r="U634" s="374"/>
      <c r="V634" s="374"/>
      <c r="W634" s="374"/>
      <c r="X634" s="374"/>
      <c r="Y634" s="374"/>
      <c r="Z634" s="374"/>
    </row>
    <row r="635" ht="15.75" customHeight="1">
      <c r="A635" s="374"/>
      <c r="B635" s="374"/>
      <c r="C635" s="374"/>
      <c r="D635" s="374"/>
      <c r="E635" s="374"/>
      <c r="F635" s="374"/>
      <c r="G635" s="388"/>
      <c r="H635" s="388"/>
      <c r="I635" s="374"/>
      <c r="J635" s="374"/>
      <c r="K635" s="374"/>
      <c r="L635" s="374"/>
      <c r="M635" s="374"/>
      <c r="N635" s="374"/>
      <c r="O635" s="374"/>
      <c r="P635" s="374"/>
      <c r="Q635" s="374"/>
      <c r="R635" s="374"/>
      <c r="S635" s="374"/>
      <c r="T635" s="374"/>
      <c r="U635" s="374"/>
      <c r="V635" s="374"/>
      <c r="W635" s="374"/>
      <c r="X635" s="374"/>
      <c r="Y635" s="374"/>
      <c r="Z635" s="374"/>
    </row>
    <row r="636" ht="15.75" customHeight="1">
      <c r="A636" s="374"/>
      <c r="B636" s="374"/>
      <c r="C636" s="374"/>
      <c r="D636" s="374"/>
      <c r="E636" s="374"/>
      <c r="F636" s="374"/>
      <c r="G636" s="388"/>
      <c r="H636" s="388"/>
      <c r="I636" s="374"/>
      <c r="J636" s="374"/>
      <c r="K636" s="374"/>
      <c r="L636" s="374"/>
      <c r="M636" s="374"/>
      <c r="N636" s="374"/>
      <c r="O636" s="374"/>
      <c r="P636" s="374"/>
      <c r="Q636" s="374"/>
      <c r="R636" s="374"/>
      <c r="S636" s="374"/>
      <c r="T636" s="374"/>
      <c r="U636" s="374"/>
      <c r="V636" s="374"/>
      <c r="W636" s="374"/>
      <c r="X636" s="374"/>
      <c r="Y636" s="374"/>
      <c r="Z636" s="374"/>
    </row>
    <row r="637" ht="15.75" customHeight="1">
      <c r="A637" s="374"/>
      <c r="B637" s="374"/>
      <c r="C637" s="374"/>
      <c r="D637" s="374"/>
      <c r="E637" s="374"/>
      <c r="F637" s="374"/>
      <c r="G637" s="388"/>
      <c r="H637" s="388"/>
      <c r="I637" s="374"/>
      <c r="J637" s="374"/>
      <c r="K637" s="374"/>
      <c r="L637" s="374"/>
      <c r="M637" s="374"/>
      <c r="N637" s="374"/>
      <c r="O637" s="374"/>
      <c r="P637" s="374"/>
      <c r="Q637" s="374"/>
      <c r="R637" s="374"/>
      <c r="S637" s="374"/>
      <c r="T637" s="374"/>
      <c r="U637" s="374"/>
      <c r="V637" s="374"/>
      <c r="W637" s="374"/>
      <c r="X637" s="374"/>
      <c r="Y637" s="374"/>
      <c r="Z637" s="374"/>
    </row>
    <row r="638" ht="15.75" customHeight="1">
      <c r="A638" s="374"/>
      <c r="B638" s="374"/>
      <c r="C638" s="374"/>
      <c r="D638" s="374"/>
      <c r="E638" s="374"/>
      <c r="F638" s="374"/>
      <c r="G638" s="388"/>
      <c r="H638" s="388"/>
      <c r="I638" s="374"/>
      <c r="J638" s="374"/>
      <c r="K638" s="374"/>
      <c r="L638" s="374"/>
      <c r="M638" s="374"/>
      <c r="N638" s="374"/>
      <c r="O638" s="374"/>
      <c r="P638" s="374"/>
      <c r="Q638" s="374"/>
      <c r="R638" s="374"/>
      <c r="S638" s="374"/>
      <c r="T638" s="374"/>
      <c r="U638" s="374"/>
      <c r="V638" s="374"/>
      <c r="W638" s="374"/>
      <c r="X638" s="374"/>
      <c r="Y638" s="374"/>
      <c r="Z638" s="374"/>
    </row>
    <row r="639" ht="15.75" customHeight="1">
      <c r="A639" s="374"/>
      <c r="B639" s="374"/>
      <c r="C639" s="374"/>
      <c r="D639" s="374"/>
      <c r="E639" s="374"/>
      <c r="F639" s="374"/>
      <c r="G639" s="388"/>
      <c r="H639" s="388"/>
      <c r="I639" s="374"/>
      <c r="J639" s="374"/>
      <c r="K639" s="374"/>
      <c r="L639" s="374"/>
      <c r="M639" s="374"/>
      <c r="N639" s="374"/>
      <c r="O639" s="374"/>
      <c r="P639" s="374"/>
      <c r="Q639" s="374"/>
      <c r="R639" s="374"/>
      <c r="S639" s="374"/>
      <c r="T639" s="374"/>
      <c r="U639" s="374"/>
      <c r="V639" s="374"/>
      <c r="W639" s="374"/>
      <c r="X639" s="374"/>
      <c r="Y639" s="374"/>
      <c r="Z639" s="374"/>
    </row>
    <row r="640" ht="15.75" customHeight="1">
      <c r="A640" s="374"/>
      <c r="B640" s="374"/>
      <c r="C640" s="374"/>
      <c r="D640" s="374"/>
      <c r="E640" s="374"/>
      <c r="F640" s="374"/>
      <c r="G640" s="388"/>
      <c r="H640" s="388"/>
      <c r="I640" s="374"/>
      <c r="J640" s="374"/>
      <c r="K640" s="374"/>
      <c r="L640" s="374"/>
      <c r="M640" s="374"/>
      <c r="N640" s="374"/>
      <c r="O640" s="374"/>
      <c r="P640" s="374"/>
      <c r="Q640" s="374"/>
      <c r="R640" s="374"/>
      <c r="S640" s="374"/>
      <c r="T640" s="374"/>
      <c r="U640" s="374"/>
      <c r="V640" s="374"/>
      <c r="W640" s="374"/>
      <c r="X640" s="374"/>
      <c r="Y640" s="374"/>
      <c r="Z640" s="374"/>
    </row>
    <row r="641" ht="15.75" customHeight="1">
      <c r="A641" s="374"/>
      <c r="B641" s="374"/>
      <c r="C641" s="374"/>
      <c r="D641" s="374"/>
      <c r="E641" s="374"/>
      <c r="F641" s="374"/>
      <c r="G641" s="388"/>
      <c r="H641" s="388"/>
      <c r="I641" s="374"/>
      <c r="J641" s="374"/>
      <c r="K641" s="374"/>
      <c r="L641" s="374"/>
      <c r="M641" s="374"/>
      <c r="N641" s="374"/>
      <c r="O641" s="374"/>
      <c r="P641" s="374"/>
      <c r="Q641" s="374"/>
      <c r="R641" s="374"/>
      <c r="S641" s="374"/>
      <c r="T641" s="374"/>
      <c r="U641" s="374"/>
      <c r="V641" s="374"/>
      <c r="W641" s="374"/>
      <c r="X641" s="374"/>
      <c r="Y641" s="374"/>
      <c r="Z641" s="374"/>
    </row>
    <row r="642" ht="15.75" customHeight="1">
      <c r="A642" s="374"/>
      <c r="B642" s="374"/>
      <c r="C642" s="374"/>
      <c r="D642" s="374"/>
      <c r="E642" s="374"/>
      <c r="F642" s="374"/>
      <c r="G642" s="388"/>
      <c r="H642" s="388"/>
      <c r="I642" s="374"/>
      <c r="J642" s="374"/>
      <c r="K642" s="374"/>
      <c r="L642" s="374"/>
      <c r="M642" s="374"/>
      <c r="N642" s="374"/>
      <c r="O642" s="374"/>
      <c r="P642" s="374"/>
      <c r="Q642" s="374"/>
      <c r="R642" s="374"/>
      <c r="S642" s="374"/>
      <c r="T642" s="374"/>
      <c r="U642" s="374"/>
      <c r="V642" s="374"/>
      <c r="W642" s="374"/>
      <c r="X642" s="374"/>
      <c r="Y642" s="374"/>
      <c r="Z642" s="374"/>
    </row>
    <row r="643" ht="15.75" customHeight="1">
      <c r="A643" s="374"/>
      <c r="B643" s="374"/>
      <c r="C643" s="374"/>
      <c r="D643" s="374"/>
      <c r="E643" s="374"/>
      <c r="F643" s="374"/>
      <c r="G643" s="388"/>
      <c r="H643" s="388"/>
      <c r="I643" s="374"/>
      <c r="J643" s="374"/>
      <c r="K643" s="374"/>
      <c r="L643" s="374"/>
      <c r="M643" s="374"/>
      <c r="N643" s="374"/>
      <c r="O643" s="374"/>
      <c r="P643" s="374"/>
      <c r="Q643" s="374"/>
      <c r="R643" s="374"/>
      <c r="S643" s="374"/>
      <c r="T643" s="374"/>
      <c r="U643" s="374"/>
      <c r="V643" s="374"/>
      <c r="W643" s="374"/>
      <c r="X643" s="374"/>
      <c r="Y643" s="374"/>
      <c r="Z643" s="374"/>
    </row>
    <row r="644" ht="15.75" customHeight="1">
      <c r="A644" s="374"/>
      <c r="B644" s="374"/>
      <c r="C644" s="374"/>
      <c r="D644" s="374"/>
      <c r="E644" s="374"/>
      <c r="F644" s="374"/>
      <c r="G644" s="388"/>
      <c r="H644" s="388"/>
      <c r="I644" s="374"/>
      <c r="J644" s="374"/>
      <c r="K644" s="374"/>
      <c r="L644" s="374"/>
      <c r="M644" s="374"/>
      <c r="N644" s="374"/>
      <c r="O644" s="374"/>
      <c r="P644" s="374"/>
      <c r="Q644" s="374"/>
      <c r="R644" s="374"/>
      <c r="S644" s="374"/>
      <c r="T644" s="374"/>
      <c r="U644" s="374"/>
      <c r="V644" s="374"/>
      <c r="W644" s="374"/>
      <c r="X644" s="374"/>
      <c r="Y644" s="374"/>
      <c r="Z644" s="374"/>
    </row>
    <row r="645" ht="15.75" customHeight="1">
      <c r="A645" s="374"/>
      <c r="B645" s="374"/>
      <c r="C645" s="374"/>
      <c r="D645" s="374"/>
      <c r="E645" s="374"/>
      <c r="F645" s="374"/>
      <c r="G645" s="388"/>
      <c r="H645" s="388"/>
      <c r="I645" s="374"/>
      <c r="J645" s="374"/>
      <c r="K645" s="374"/>
      <c r="L645" s="374"/>
      <c r="M645" s="374"/>
      <c r="N645" s="374"/>
      <c r="O645" s="374"/>
      <c r="P645" s="374"/>
      <c r="Q645" s="374"/>
      <c r="R645" s="374"/>
      <c r="S645" s="374"/>
      <c r="T645" s="374"/>
      <c r="U645" s="374"/>
      <c r="V645" s="374"/>
      <c r="W645" s="374"/>
      <c r="X645" s="374"/>
      <c r="Y645" s="374"/>
      <c r="Z645" s="374"/>
    </row>
    <row r="646" ht="15.75" customHeight="1">
      <c r="A646" s="374"/>
      <c r="B646" s="374"/>
      <c r="C646" s="374"/>
      <c r="D646" s="374"/>
      <c r="E646" s="374"/>
      <c r="F646" s="374"/>
      <c r="G646" s="388"/>
      <c r="H646" s="388"/>
      <c r="I646" s="374"/>
      <c r="J646" s="374"/>
      <c r="K646" s="374"/>
      <c r="L646" s="374"/>
      <c r="M646" s="374"/>
      <c r="N646" s="374"/>
      <c r="O646" s="374"/>
      <c r="P646" s="374"/>
      <c r="Q646" s="374"/>
      <c r="R646" s="374"/>
      <c r="S646" s="374"/>
      <c r="T646" s="374"/>
      <c r="U646" s="374"/>
      <c r="V646" s="374"/>
      <c r="W646" s="374"/>
      <c r="X646" s="374"/>
      <c r="Y646" s="374"/>
      <c r="Z646" s="374"/>
    </row>
    <row r="647" ht="15.75" customHeight="1">
      <c r="A647" s="374"/>
      <c r="B647" s="374"/>
      <c r="C647" s="374"/>
      <c r="D647" s="374"/>
      <c r="E647" s="374"/>
      <c r="F647" s="374"/>
      <c r="G647" s="388"/>
      <c r="H647" s="388"/>
      <c r="I647" s="374"/>
      <c r="J647" s="374"/>
      <c r="K647" s="374"/>
      <c r="L647" s="374"/>
      <c r="M647" s="374"/>
      <c r="N647" s="374"/>
      <c r="O647" s="374"/>
      <c r="P647" s="374"/>
      <c r="Q647" s="374"/>
      <c r="R647" s="374"/>
      <c r="S647" s="374"/>
      <c r="T647" s="374"/>
      <c r="U647" s="374"/>
      <c r="V647" s="374"/>
      <c r="W647" s="374"/>
      <c r="X647" s="374"/>
      <c r="Y647" s="374"/>
      <c r="Z647" s="374"/>
    </row>
    <row r="648" ht="15.75" customHeight="1">
      <c r="A648" s="374"/>
      <c r="B648" s="374"/>
      <c r="C648" s="374"/>
      <c r="D648" s="374"/>
      <c r="E648" s="374"/>
      <c r="F648" s="374"/>
      <c r="G648" s="388"/>
      <c r="H648" s="388"/>
      <c r="I648" s="374"/>
      <c r="J648" s="374"/>
      <c r="K648" s="374"/>
      <c r="L648" s="374"/>
      <c r="M648" s="374"/>
      <c r="N648" s="374"/>
      <c r="O648" s="374"/>
      <c r="P648" s="374"/>
      <c r="Q648" s="374"/>
      <c r="R648" s="374"/>
      <c r="S648" s="374"/>
      <c r="T648" s="374"/>
      <c r="U648" s="374"/>
      <c r="V648" s="374"/>
      <c r="W648" s="374"/>
      <c r="X648" s="374"/>
      <c r="Y648" s="374"/>
      <c r="Z648" s="374"/>
    </row>
    <row r="649" ht="15.75" customHeight="1">
      <c r="A649" s="374"/>
      <c r="B649" s="374"/>
      <c r="C649" s="374"/>
      <c r="D649" s="374"/>
      <c r="E649" s="374"/>
      <c r="F649" s="374"/>
      <c r="G649" s="388"/>
      <c r="H649" s="388"/>
      <c r="I649" s="374"/>
      <c r="J649" s="374"/>
      <c r="K649" s="374"/>
      <c r="L649" s="374"/>
      <c r="M649" s="374"/>
      <c r="N649" s="374"/>
      <c r="O649" s="374"/>
      <c r="P649" s="374"/>
      <c r="Q649" s="374"/>
      <c r="R649" s="374"/>
      <c r="S649" s="374"/>
      <c r="T649" s="374"/>
      <c r="U649" s="374"/>
      <c r="V649" s="374"/>
      <c r="W649" s="374"/>
      <c r="X649" s="374"/>
      <c r="Y649" s="374"/>
      <c r="Z649" s="374"/>
    </row>
    <row r="650" ht="15.75" customHeight="1">
      <c r="A650" s="374"/>
      <c r="B650" s="374"/>
      <c r="C650" s="374"/>
      <c r="D650" s="374"/>
      <c r="E650" s="374"/>
      <c r="F650" s="374"/>
      <c r="G650" s="388"/>
      <c r="H650" s="388"/>
      <c r="I650" s="374"/>
      <c r="J650" s="374"/>
      <c r="K650" s="374"/>
      <c r="L650" s="374"/>
      <c r="M650" s="374"/>
      <c r="N650" s="374"/>
      <c r="O650" s="374"/>
      <c r="P650" s="374"/>
      <c r="Q650" s="374"/>
      <c r="R650" s="374"/>
      <c r="S650" s="374"/>
      <c r="T650" s="374"/>
      <c r="U650" s="374"/>
      <c r="V650" s="374"/>
      <c r="W650" s="374"/>
      <c r="X650" s="374"/>
      <c r="Y650" s="374"/>
      <c r="Z650" s="374"/>
    </row>
    <row r="651" ht="15.75" customHeight="1">
      <c r="A651" s="374"/>
      <c r="B651" s="374"/>
      <c r="C651" s="374"/>
      <c r="D651" s="374"/>
      <c r="E651" s="374"/>
      <c r="F651" s="374"/>
      <c r="G651" s="388"/>
      <c r="H651" s="388"/>
      <c r="I651" s="374"/>
      <c r="J651" s="374"/>
      <c r="K651" s="374"/>
      <c r="L651" s="374"/>
      <c r="M651" s="374"/>
      <c r="N651" s="374"/>
      <c r="O651" s="374"/>
      <c r="P651" s="374"/>
      <c r="Q651" s="374"/>
      <c r="R651" s="374"/>
      <c r="S651" s="374"/>
      <c r="T651" s="374"/>
      <c r="U651" s="374"/>
      <c r="V651" s="374"/>
      <c r="W651" s="374"/>
      <c r="X651" s="374"/>
      <c r="Y651" s="374"/>
      <c r="Z651" s="374"/>
    </row>
    <row r="652" ht="15.75" customHeight="1">
      <c r="A652" s="374"/>
      <c r="B652" s="374"/>
      <c r="C652" s="374"/>
      <c r="D652" s="374"/>
      <c r="E652" s="374"/>
      <c r="F652" s="374"/>
      <c r="G652" s="388"/>
      <c r="H652" s="388"/>
      <c r="I652" s="374"/>
      <c r="J652" s="374"/>
      <c r="K652" s="374"/>
      <c r="L652" s="374"/>
      <c r="M652" s="374"/>
      <c r="N652" s="374"/>
      <c r="O652" s="374"/>
      <c r="P652" s="374"/>
      <c r="Q652" s="374"/>
      <c r="R652" s="374"/>
      <c r="S652" s="374"/>
      <c r="T652" s="374"/>
      <c r="U652" s="374"/>
      <c r="V652" s="374"/>
      <c r="W652" s="374"/>
      <c r="X652" s="374"/>
      <c r="Y652" s="374"/>
      <c r="Z652" s="374"/>
    </row>
    <row r="653" ht="15.75" customHeight="1">
      <c r="A653" s="374"/>
      <c r="B653" s="374"/>
      <c r="C653" s="374"/>
      <c r="D653" s="374"/>
      <c r="E653" s="374"/>
      <c r="F653" s="374"/>
      <c r="G653" s="388"/>
      <c r="H653" s="388"/>
      <c r="I653" s="374"/>
      <c r="J653" s="374"/>
      <c r="K653" s="374"/>
      <c r="L653" s="374"/>
      <c r="M653" s="374"/>
      <c r="N653" s="374"/>
      <c r="O653" s="374"/>
      <c r="P653" s="374"/>
      <c r="Q653" s="374"/>
      <c r="R653" s="374"/>
      <c r="S653" s="374"/>
      <c r="T653" s="374"/>
      <c r="U653" s="374"/>
      <c r="V653" s="374"/>
      <c r="W653" s="374"/>
      <c r="X653" s="374"/>
      <c r="Y653" s="374"/>
      <c r="Z653" s="374"/>
    </row>
    <row r="654" ht="15.75" customHeight="1">
      <c r="A654" s="374"/>
      <c r="B654" s="374"/>
      <c r="C654" s="374"/>
      <c r="D654" s="374"/>
      <c r="E654" s="374"/>
      <c r="F654" s="374"/>
      <c r="G654" s="388"/>
      <c r="H654" s="388"/>
      <c r="I654" s="374"/>
      <c r="J654" s="374"/>
      <c r="K654" s="374"/>
      <c r="L654" s="374"/>
      <c r="M654" s="374"/>
      <c r="N654" s="374"/>
      <c r="O654" s="374"/>
      <c r="P654" s="374"/>
      <c r="Q654" s="374"/>
      <c r="R654" s="374"/>
      <c r="S654" s="374"/>
      <c r="T654" s="374"/>
      <c r="U654" s="374"/>
      <c r="V654" s="374"/>
      <c r="W654" s="374"/>
      <c r="X654" s="374"/>
      <c r="Y654" s="374"/>
      <c r="Z654" s="374"/>
    </row>
    <row r="655" ht="15.75" customHeight="1">
      <c r="A655" s="374"/>
      <c r="B655" s="374"/>
      <c r="C655" s="374"/>
      <c r="D655" s="374"/>
      <c r="E655" s="374"/>
      <c r="F655" s="374"/>
      <c r="G655" s="388"/>
      <c r="H655" s="388"/>
      <c r="I655" s="374"/>
      <c r="J655" s="374"/>
      <c r="K655" s="374"/>
      <c r="L655" s="374"/>
      <c r="M655" s="374"/>
      <c r="N655" s="374"/>
      <c r="O655" s="374"/>
      <c r="P655" s="374"/>
      <c r="Q655" s="374"/>
      <c r="R655" s="374"/>
      <c r="S655" s="374"/>
      <c r="T655" s="374"/>
      <c r="U655" s="374"/>
      <c r="V655" s="374"/>
      <c r="W655" s="374"/>
      <c r="X655" s="374"/>
      <c r="Y655" s="374"/>
      <c r="Z655" s="374"/>
    </row>
    <row r="656" ht="15.75" customHeight="1">
      <c r="A656" s="374"/>
      <c r="B656" s="374"/>
      <c r="C656" s="374"/>
      <c r="D656" s="374"/>
      <c r="E656" s="374"/>
      <c r="F656" s="374"/>
      <c r="G656" s="388"/>
      <c r="H656" s="388"/>
      <c r="I656" s="374"/>
      <c r="J656" s="374"/>
      <c r="K656" s="374"/>
      <c r="L656" s="374"/>
      <c r="M656" s="374"/>
      <c r="N656" s="374"/>
      <c r="O656" s="374"/>
      <c r="P656" s="374"/>
      <c r="Q656" s="374"/>
      <c r="R656" s="374"/>
      <c r="S656" s="374"/>
      <c r="T656" s="374"/>
      <c r="U656" s="374"/>
      <c r="V656" s="374"/>
      <c r="W656" s="374"/>
      <c r="X656" s="374"/>
      <c r="Y656" s="374"/>
      <c r="Z656" s="374"/>
    </row>
    <row r="657" ht="15.75" customHeight="1">
      <c r="A657" s="374"/>
      <c r="B657" s="374"/>
      <c r="C657" s="374"/>
      <c r="D657" s="374"/>
      <c r="E657" s="374"/>
      <c r="F657" s="374"/>
      <c r="G657" s="388"/>
      <c r="H657" s="388"/>
      <c r="I657" s="374"/>
      <c r="J657" s="374"/>
      <c r="K657" s="374"/>
      <c r="L657" s="374"/>
      <c r="M657" s="374"/>
      <c r="N657" s="374"/>
      <c r="O657" s="374"/>
      <c r="P657" s="374"/>
      <c r="Q657" s="374"/>
      <c r="R657" s="374"/>
      <c r="S657" s="374"/>
      <c r="T657" s="374"/>
      <c r="U657" s="374"/>
      <c r="V657" s="374"/>
      <c r="W657" s="374"/>
      <c r="X657" s="374"/>
      <c r="Y657" s="374"/>
      <c r="Z657" s="374"/>
    </row>
    <row r="658" ht="15.75" customHeight="1">
      <c r="A658" s="374"/>
      <c r="B658" s="374"/>
      <c r="C658" s="374"/>
      <c r="D658" s="374"/>
      <c r="E658" s="374"/>
      <c r="F658" s="374"/>
      <c r="G658" s="388"/>
      <c r="H658" s="388"/>
      <c r="I658" s="374"/>
      <c r="J658" s="374"/>
      <c r="K658" s="374"/>
      <c r="L658" s="374"/>
      <c r="M658" s="374"/>
      <c r="N658" s="374"/>
      <c r="O658" s="374"/>
      <c r="P658" s="374"/>
      <c r="Q658" s="374"/>
      <c r="R658" s="374"/>
      <c r="S658" s="374"/>
      <c r="T658" s="374"/>
      <c r="U658" s="374"/>
      <c r="V658" s="374"/>
      <c r="W658" s="374"/>
      <c r="X658" s="374"/>
      <c r="Y658" s="374"/>
      <c r="Z658" s="374"/>
    </row>
    <row r="659" ht="15.75" customHeight="1">
      <c r="A659" s="374"/>
      <c r="B659" s="374"/>
      <c r="C659" s="374"/>
      <c r="D659" s="374"/>
      <c r="E659" s="374"/>
      <c r="F659" s="374"/>
      <c r="G659" s="388"/>
      <c r="H659" s="388"/>
      <c r="I659" s="374"/>
      <c r="J659" s="374"/>
      <c r="K659" s="374"/>
      <c r="L659" s="374"/>
      <c r="M659" s="374"/>
      <c r="N659" s="374"/>
      <c r="O659" s="374"/>
      <c r="P659" s="374"/>
      <c r="Q659" s="374"/>
      <c r="R659" s="374"/>
      <c r="S659" s="374"/>
      <c r="T659" s="374"/>
      <c r="U659" s="374"/>
      <c r="V659" s="374"/>
      <c r="W659" s="374"/>
      <c r="X659" s="374"/>
      <c r="Y659" s="374"/>
      <c r="Z659" s="374"/>
    </row>
    <row r="660" ht="15.75" customHeight="1">
      <c r="A660" s="374"/>
      <c r="B660" s="374"/>
      <c r="C660" s="374"/>
      <c r="D660" s="374"/>
      <c r="E660" s="374"/>
      <c r="F660" s="374"/>
      <c r="G660" s="388"/>
      <c r="H660" s="388"/>
      <c r="I660" s="374"/>
      <c r="J660" s="374"/>
      <c r="K660" s="374"/>
      <c r="L660" s="374"/>
      <c r="M660" s="374"/>
      <c r="N660" s="374"/>
      <c r="O660" s="374"/>
      <c r="P660" s="374"/>
      <c r="Q660" s="374"/>
      <c r="R660" s="374"/>
      <c r="S660" s="374"/>
      <c r="T660" s="374"/>
      <c r="U660" s="374"/>
      <c r="V660" s="374"/>
      <c r="W660" s="374"/>
      <c r="X660" s="374"/>
      <c r="Y660" s="374"/>
      <c r="Z660" s="374"/>
    </row>
    <row r="661" ht="15.75" customHeight="1">
      <c r="A661" s="374"/>
      <c r="B661" s="374"/>
      <c r="C661" s="374"/>
      <c r="D661" s="374"/>
      <c r="E661" s="374"/>
      <c r="F661" s="374"/>
      <c r="G661" s="388"/>
      <c r="H661" s="388"/>
      <c r="I661" s="374"/>
      <c r="J661" s="374"/>
      <c r="K661" s="374"/>
      <c r="L661" s="374"/>
      <c r="M661" s="374"/>
      <c r="N661" s="374"/>
      <c r="O661" s="374"/>
      <c r="P661" s="374"/>
      <c r="Q661" s="374"/>
      <c r="R661" s="374"/>
      <c r="S661" s="374"/>
      <c r="T661" s="374"/>
      <c r="U661" s="374"/>
      <c r="V661" s="374"/>
      <c r="W661" s="374"/>
      <c r="X661" s="374"/>
      <c r="Y661" s="374"/>
      <c r="Z661" s="374"/>
    </row>
    <row r="662" ht="15.75" customHeight="1">
      <c r="A662" s="374"/>
      <c r="B662" s="374"/>
      <c r="C662" s="374"/>
      <c r="D662" s="374"/>
      <c r="E662" s="374"/>
      <c r="F662" s="374"/>
      <c r="G662" s="388"/>
      <c r="H662" s="388"/>
      <c r="I662" s="374"/>
      <c r="J662" s="374"/>
      <c r="K662" s="374"/>
      <c r="L662" s="374"/>
      <c r="M662" s="374"/>
      <c r="N662" s="374"/>
      <c r="O662" s="374"/>
      <c r="P662" s="374"/>
      <c r="Q662" s="374"/>
      <c r="R662" s="374"/>
      <c r="S662" s="374"/>
      <c r="T662" s="374"/>
      <c r="U662" s="374"/>
      <c r="V662" s="374"/>
      <c r="W662" s="374"/>
      <c r="X662" s="374"/>
      <c r="Y662" s="374"/>
      <c r="Z662" s="374"/>
    </row>
    <row r="663" ht="15.75" customHeight="1">
      <c r="A663" s="374"/>
      <c r="B663" s="374"/>
      <c r="C663" s="374"/>
      <c r="D663" s="374"/>
      <c r="E663" s="374"/>
      <c r="F663" s="374"/>
      <c r="G663" s="388"/>
      <c r="H663" s="388"/>
      <c r="I663" s="374"/>
      <c r="J663" s="374"/>
      <c r="K663" s="374"/>
      <c r="L663" s="374"/>
      <c r="M663" s="374"/>
      <c r="N663" s="374"/>
      <c r="O663" s="374"/>
      <c r="P663" s="374"/>
      <c r="Q663" s="374"/>
      <c r="R663" s="374"/>
      <c r="S663" s="374"/>
      <c r="T663" s="374"/>
      <c r="U663" s="374"/>
      <c r="V663" s="374"/>
      <c r="W663" s="374"/>
      <c r="X663" s="374"/>
      <c r="Y663" s="374"/>
      <c r="Z663" s="374"/>
    </row>
    <row r="664" ht="15.75" customHeight="1">
      <c r="A664" s="374"/>
      <c r="B664" s="374"/>
      <c r="C664" s="374"/>
      <c r="D664" s="374"/>
      <c r="E664" s="374"/>
      <c r="F664" s="374"/>
      <c r="G664" s="388"/>
      <c r="H664" s="388"/>
      <c r="I664" s="374"/>
      <c r="J664" s="374"/>
      <c r="K664" s="374"/>
      <c r="L664" s="374"/>
      <c r="M664" s="374"/>
      <c r="N664" s="374"/>
      <c r="O664" s="374"/>
      <c r="P664" s="374"/>
      <c r="Q664" s="374"/>
      <c r="R664" s="374"/>
      <c r="S664" s="374"/>
      <c r="T664" s="374"/>
      <c r="U664" s="374"/>
      <c r="V664" s="374"/>
      <c r="W664" s="374"/>
      <c r="X664" s="374"/>
      <c r="Y664" s="374"/>
      <c r="Z664" s="374"/>
    </row>
    <row r="665" ht="15.75" customHeight="1">
      <c r="A665" s="374"/>
      <c r="B665" s="374"/>
      <c r="C665" s="374"/>
      <c r="D665" s="374"/>
      <c r="E665" s="374"/>
      <c r="F665" s="374"/>
      <c r="G665" s="388"/>
      <c r="H665" s="388"/>
      <c r="I665" s="374"/>
      <c r="J665" s="374"/>
      <c r="K665" s="374"/>
      <c r="L665" s="374"/>
      <c r="M665" s="374"/>
      <c r="N665" s="374"/>
      <c r="O665" s="374"/>
      <c r="P665" s="374"/>
      <c r="Q665" s="374"/>
      <c r="R665" s="374"/>
      <c r="S665" s="374"/>
      <c r="T665" s="374"/>
      <c r="U665" s="374"/>
      <c r="V665" s="374"/>
      <c r="W665" s="374"/>
      <c r="X665" s="374"/>
      <c r="Y665" s="374"/>
      <c r="Z665" s="374"/>
    </row>
    <row r="666" ht="15.75" customHeight="1">
      <c r="A666" s="374"/>
      <c r="B666" s="374"/>
      <c r="C666" s="374"/>
      <c r="D666" s="374"/>
      <c r="E666" s="374"/>
      <c r="F666" s="374"/>
      <c r="G666" s="388"/>
      <c r="H666" s="388"/>
      <c r="I666" s="374"/>
      <c r="J666" s="374"/>
      <c r="K666" s="374"/>
      <c r="L666" s="374"/>
      <c r="M666" s="374"/>
      <c r="N666" s="374"/>
      <c r="O666" s="374"/>
      <c r="P666" s="374"/>
      <c r="Q666" s="374"/>
      <c r="R666" s="374"/>
      <c r="S666" s="374"/>
      <c r="T666" s="374"/>
      <c r="U666" s="374"/>
      <c r="V666" s="374"/>
      <c r="W666" s="374"/>
      <c r="X666" s="374"/>
      <c r="Y666" s="374"/>
      <c r="Z666" s="374"/>
    </row>
    <row r="667" ht="15.75" customHeight="1">
      <c r="A667" s="374"/>
      <c r="B667" s="374"/>
      <c r="C667" s="374"/>
      <c r="D667" s="374"/>
      <c r="E667" s="374"/>
      <c r="F667" s="374"/>
      <c r="G667" s="388"/>
      <c r="H667" s="388"/>
      <c r="I667" s="374"/>
      <c r="J667" s="374"/>
      <c r="K667" s="374"/>
      <c r="L667" s="374"/>
      <c r="M667" s="374"/>
      <c r="N667" s="374"/>
      <c r="O667" s="374"/>
      <c r="P667" s="374"/>
      <c r="Q667" s="374"/>
      <c r="R667" s="374"/>
      <c r="S667" s="374"/>
      <c r="T667" s="374"/>
      <c r="U667" s="374"/>
      <c r="V667" s="374"/>
      <c r="W667" s="374"/>
      <c r="X667" s="374"/>
      <c r="Y667" s="374"/>
      <c r="Z667" s="374"/>
    </row>
    <row r="668" ht="15.75" customHeight="1">
      <c r="A668" s="374"/>
      <c r="B668" s="374"/>
      <c r="C668" s="374"/>
      <c r="D668" s="374"/>
      <c r="E668" s="374"/>
      <c r="F668" s="374"/>
      <c r="G668" s="388"/>
      <c r="H668" s="388"/>
      <c r="I668" s="374"/>
      <c r="J668" s="374"/>
      <c r="K668" s="374"/>
      <c r="L668" s="374"/>
      <c r="M668" s="374"/>
      <c r="N668" s="374"/>
      <c r="O668" s="374"/>
      <c r="P668" s="374"/>
      <c r="Q668" s="374"/>
      <c r="R668" s="374"/>
      <c r="S668" s="374"/>
      <c r="T668" s="374"/>
      <c r="U668" s="374"/>
      <c r="V668" s="374"/>
      <c r="W668" s="374"/>
      <c r="X668" s="374"/>
      <c r="Y668" s="374"/>
      <c r="Z668" s="374"/>
    </row>
    <row r="669" ht="15.75" customHeight="1">
      <c r="A669" s="374"/>
      <c r="B669" s="374"/>
      <c r="C669" s="374"/>
      <c r="D669" s="374"/>
      <c r="E669" s="374"/>
      <c r="F669" s="374"/>
      <c r="G669" s="388"/>
      <c r="H669" s="388"/>
      <c r="I669" s="374"/>
      <c r="J669" s="374"/>
      <c r="K669" s="374"/>
      <c r="L669" s="374"/>
      <c r="M669" s="374"/>
      <c r="N669" s="374"/>
      <c r="O669" s="374"/>
      <c r="P669" s="374"/>
      <c r="Q669" s="374"/>
      <c r="R669" s="374"/>
      <c r="S669" s="374"/>
      <c r="T669" s="374"/>
      <c r="U669" s="374"/>
      <c r="V669" s="374"/>
      <c r="W669" s="374"/>
      <c r="X669" s="374"/>
      <c r="Y669" s="374"/>
      <c r="Z669" s="374"/>
    </row>
    <row r="670" ht="15.75" customHeight="1">
      <c r="A670" s="374"/>
      <c r="B670" s="374"/>
      <c r="C670" s="374"/>
      <c r="D670" s="374"/>
      <c r="E670" s="374"/>
      <c r="F670" s="374"/>
      <c r="G670" s="388"/>
      <c r="H670" s="388"/>
      <c r="I670" s="374"/>
      <c r="J670" s="374"/>
      <c r="K670" s="374"/>
      <c r="L670" s="374"/>
      <c r="M670" s="374"/>
      <c r="N670" s="374"/>
      <c r="O670" s="374"/>
      <c r="P670" s="374"/>
      <c r="Q670" s="374"/>
      <c r="R670" s="374"/>
      <c r="S670" s="374"/>
      <c r="T670" s="374"/>
      <c r="U670" s="374"/>
      <c r="V670" s="374"/>
      <c r="W670" s="374"/>
      <c r="X670" s="374"/>
      <c r="Y670" s="374"/>
      <c r="Z670" s="374"/>
    </row>
    <row r="671" ht="15.75" customHeight="1">
      <c r="A671" s="374"/>
      <c r="B671" s="374"/>
      <c r="C671" s="374"/>
      <c r="D671" s="374"/>
      <c r="E671" s="374"/>
      <c r="F671" s="374"/>
      <c r="G671" s="388"/>
      <c r="H671" s="388"/>
      <c r="I671" s="374"/>
      <c r="J671" s="374"/>
      <c r="K671" s="374"/>
      <c r="L671" s="374"/>
      <c r="M671" s="374"/>
      <c r="N671" s="374"/>
      <c r="O671" s="374"/>
      <c r="P671" s="374"/>
      <c r="Q671" s="374"/>
      <c r="R671" s="374"/>
      <c r="S671" s="374"/>
      <c r="T671" s="374"/>
      <c r="U671" s="374"/>
      <c r="V671" s="374"/>
      <c r="W671" s="374"/>
      <c r="X671" s="374"/>
      <c r="Y671" s="374"/>
      <c r="Z671" s="374"/>
    </row>
    <row r="672" ht="15.75" customHeight="1">
      <c r="A672" s="374"/>
      <c r="B672" s="374"/>
      <c r="C672" s="374"/>
      <c r="D672" s="374"/>
      <c r="E672" s="374"/>
      <c r="F672" s="374"/>
      <c r="G672" s="388"/>
      <c r="H672" s="388"/>
      <c r="I672" s="374"/>
      <c r="J672" s="374"/>
      <c r="K672" s="374"/>
      <c r="L672" s="374"/>
      <c r="M672" s="374"/>
      <c r="N672" s="374"/>
      <c r="O672" s="374"/>
      <c r="P672" s="374"/>
      <c r="Q672" s="374"/>
      <c r="R672" s="374"/>
      <c r="S672" s="374"/>
      <c r="T672" s="374"/>
      <c r="U672" s="374"/>
      <c r="V672" s="374"/>
      <c r="W672" s="374"/>
      <c r="X672" s="374"/>
      <c r="Y672" s="374"/>
      <c r="Z672" s="374"/>
    </row>
    <row r="673" ht="15.75" customHeight="1">
      <c r="A673" s="374"/>
      <c r="B673" s="374"/>
      <c r="C673" s="374"/>
      <c r="D673" s="374"/>
      <c r="E673" s="374"/>
      <c r="F673" s="374"/>
      <c r="G673" s="388"/>
      <c r="H673" s="388"/>
      <c r="I673" s="374"/>
      <c r="J673" s="374"/>
      <c r="K673" s="374"/>
      <c r="L673" s="374"/>
      <c r="M673" s="374"/>
      <c r="N673" s="374"/>
      <c r="O673" s="374"/>
      <c r="P673" s="374"/>
      <c r="Q673" s="374"/>
      <c r="R673" s="374"/>
      <c r="S673" s="374"/>
      <c r="T673" s="374"/>
      <c r="U673" s="374"/>
      <c r="V673" s="374"/>
      <c r="W673" s="374"/>
      <c r="X673" s="374"/>
      <c r="Y673" s="374"/>
      <c r="Z673" s="374"/>
    </row>
    <row r="674" ht="15.75" customHeight="1">
      <c r="A674" s="374"/>
      <c r="B674" s="374"/>
      <c r="C674" s="374"/>
      <c r="D674" s="374"/>
      <c r="E674" s="374"/>
      <c r="F674" s="374"/>
      <c r="G674" s="388"/>
      <c r="H674" s="388"/>
      <c r="I674" s="374"/>
      <c r="J674" s="374"/>
      <c r="K674" s="374"/>
      <c r="L674" s="374"/>
      <c r="M674" s="374"/>
      <c r="N674" s="374"/>
      <c r="O674" s="374"/>
      <c r="P674" s="374"/>
      <c r="Q674" s="374"/>
      <c r="R674" s="374"/>
      <c r="S674" s="374"/>
      <c r="T674" s="374"/>
      <c r="U674" s="374"/>
      <c r="V674" s="374"/>
      <c r="W674" s="374"/>
      <c r="X674" s="374"/>
      <c r="Y674" s="374"/>
      <c r="Z674" s="374"/>
    </row>
    <row r="675" ht="15.75" customHeight="1">
      <c r="A675" s="374"/>
      <c r="B675" s="374"/>
      <c r="C675" s="374"/>
      <c r="D675" s="374"/>
      <c r="E675" s="374"/>
      <c r="F675" s="374"/>
      <c r="G675" s="388"/>
      <c r="H675" s="388"/>
      <c r="I675" s="374"/>
      <c r="J675" s="374"/>
      <c r="K675" s="374"/>
      <c r="L675" s="374"/>
      <c r="M675" s="374"/>
      <c r="N675" s="374"/>
      <c r="O675" s="374"/>
      <c r="P675" s="374"/>
      <c r="Q675" s="374"/>
      <c r="R675" s="374"/>
      <c r="S675" s="374"/>
      <c r="T675" s="374"/>
      <c r="U675" s="374"/>
      <c r="V675" s="374"/>
      <c r="W675" s="374"/>
      <c r="X675" s="374"/>
      <c r="Y675" s="374"/>
      <c r="Z675" s="374"/>
    </row>
    <row r="676" ht="15.75" customHeight="1">
      <c r="A676" s="374"/>
      <c r="B676" s="374"/>
      <c r="C676" s="374"/>
      <c r="D676" s="374"/>
      <c r="E676" s="374"/>
      <c r="F676" s="374"/>
      <c r="G676" s="388"/>
      <c r="H676" s="388"/>
      <c r="I676" s="374"/>
      <c r="J676" s="374"/>
      <c r="K676" s="374"/>
      <c r="L676" s="374"/>
      <c r="M676" s="374"/>
      <c r="N676" s="374"/>
      <c r="O676" s="374"/>
      <c r="P676" s="374"/>
      <c r="Q676" s="374"/>
      <c r="R676" s="374"/>
      <c r="S676" s="374"/>
      <c r="T676" s="374"/>
      <c r="U676" s="374"/>
      <c r="V676" s="374"/>
      <c r="W676" s="374"/>
      <c r="X676" s="374"/>
      <c r="Y676" s="374"/>
      <c r="Z676" s="374"/>
    </row>
    <row r="677" ht="15.75" customHeight="1">
      <c r="A677" s="374"/>
      <c r="B677" s="374"/>
      <c r="C677" s="374"/>
      <c r="D677" s="374"/>
      <c r="E677" s="374"/>
      <c r="F677" s="374"/>
      <c r="G677" s="388"/>
      <c r="H677" s="388"/>
      <c r="I677" s="374"/>
      <c r="J677" s="374"/>
      <c r="K677" s="374"/>
      <c r="L677" s="374"/>
      <c r="M677" s="374"/>
      <c r="N677" s="374"/>
      <c r="O677" s="374"/>
      <c r="P677" s="374"/>
      <c r="Q677" s="374"/>
      <c r="R677" s="374"/>
      <c r="S677" s="374"/>
      <c r="T677" s="374"/>
      <c r="U677" s="374"/>
      <c r="V677" s="374"/>
      <c r="W677" s="374"/>
      <c r="X677" s="374"/>
      <c r="Y677" s="374"/>
      <c r="Z677" s="374"/>
    </row>
    <row r="678" ht="15.75" customHeight="1">
      <c r="A678" s="374"/>
      <c r="B678" s="374"/>
      <c r="C678" s="374"/>
      <c r="D678" s="374"/>
      <c r="E678" s="374"/>
      <c r="F678" s="374"/>
      <c r="G678" s="388"/>
      <c r="H678" s="388"/>
      <c r="I678" s="374"/>
      <c r="J678" s="374"/>
      <c r="K678" s="374"/>
      <c r="L678" s="374"/>
      <c r="M678" s="374"/>
      <c r="N678" s="374"/>
      <c r="O678" s="374"/>
      <c r="P678" s="374"/>
      <c r="Q678" s="374"/>
      <c r="R678" s="374"/>
      <c r="S678" s="374"/>
      <c r="T678" s="374"/>
      <c r="U678" s="374"/>
      <c r="V678" s="374"/>
      <c r="W678" s="374"/>
      <c r="X678" s="374"/>
      <c r="Y678" s="374"/>
      <c r="Z678" s="374"/>
    </row>
    <row r="679" ht="15.75" customHeight="1">
      <c r="A679" s="374"/>
      <c r="B679" s="374"/>
      <c r="C679" s="374"/>
      <c r="D679" s="374"/>
      <c r="E679" s="374"/>
      <c r="F679" s="374"/>
      <c r="G679" s="388"/>
      <c r="H679" s="388"/>
      <c r="I679" s="374"/>
      <c r="J679" s="374"/>
      <c r="K679" s="374"/>
      <c r="L679" s="374"/>
      <c r="M679" s="374"/>
      <c r="N679" s="374"/>
      <c r="O679" s="374"/>
      <c r="P679" s="374"/>
      <c r="Q679" s="374"/>
      <c r="R679" s="374"/>
      <c r="S679" s="374"/>
      <c r="T679" s="374"/>
      <c r="U679" s="374"/>
      <c r="V679" s="374"/>
      <c r="W679" s="374"/>
      <c r="X679" s="374"/>
      <c r="Y679" s="374"/>
      <c r="Z679" s="374"/>
    </row>
    <row r="680" ht="15.75" customHeight="1">
      <c r="A680" s="374"/>
      <c r="B680" s="374"/>
      <c r="C680" s="374"/>
      <c r="D680" s="374"/>
      <c r="E680" s="374"/>
      <c r="F680" s="374"/>
      <c r="G680" s="388"/>
      <c r="H680" s="388"/>
      <c r="I680" s="374"/>
      <c r="J680" s="374"/>
      <c r="K680" s="374"/>
      <c r="L680" s="374"/>
      <c r="M680" s="374"/>
      <c r="N680" s="374"/>
      <c r="O680" s="374"/>
      <c r="P680" s="374"/>
      <c r="Q680" s="374"/>
      <c r="R680" s="374"/>
      <c r="S680" s="374"/>
      <c r="T680" s="374"/>
      <c r="U680" s="374"/>
      <c r="V680" s="374"/>
      <c r="W680" s="374"/>
      <c r="X680" s="374"/>
      <c r="Y680" s="374"/>
      <c r="Z680" s="374"/>
    </row>
    <row r="681" ht="15.75" customHeight="1">
      <c r="A681" s="374"/>
      <c r="B681" s="374"/>
      <c r="C681" s="374"/>
      <c r="D681" s="374"/>
      <c r="E681" s="374"/>
      <c r="F681" s="374"/>
      <c r="G681" s="388"/>
      <c r="H681" s="388"/>
      <c r="I681" s="374"/>
      <c r="J681" s="374"/>
      <c r="K681" s="374"/>
      <c r="L681" s="374"/>
      <c r="M681" s="374"/>
      <c r="N681" s="374"/>
      <c r="O681" s="374"/>
      <c r="P681" s="374"/>
      <c r="Q681" s="374"/>
      <c r="R681" s="374"/>
      <c r="S681" s="374"/>
      <c r="T681" s="374"/>
      <c r="U681" s="374"/>
      <c r="V681" s="374"/>
      <c r="W681" s="374"/>
      <c r="X681" s="374"/>
      <c r="Y681" s="374"/>
      <c r="Z681" s="374"/>
    </row>
    <row r="682" ht="15.75" customHeight="1">
      <c r="A682" s="374"/>
      <c r="B682" s="374"/>
      <c r="C682" s="374"/>
      <c r="D682" s="374"/>
      <c r="E682" s="374"/>
      <c r="F682" s="374"/>
      <c r="G682" s="388"/>
      <c r="H682" s="388"/>
      <c r="I682" s="374"/>
      <c r="J682" s="374"/>
      <c r="K682" s="374"/>
      <c r="L682" s="374"/>
      <c r="M682" s="374"/>
      <c r="N682" s="374"/>
      <c r="O682" s="374"/>
      <c r="P682" s="374"/>
      <c r="Q682" s="374"/>
      <c r="R682" s="374"/>
      <c r="S682" s="374"/>
      <c r="T682" s="374"/>
      <c r="U682" s="374"/>
      <c r="V682" s="374"/>
      <c r="W682" s="374"/>
      <c r="X682" s="374"/>
      <c r="Y682" s="374"/>
      <c r="Z682" s="374"/>
    </row>
    <row r="683" ht="15.75" customHeight="1">
      <c r="A683" s="374"/>
      <c r="B683" s="374"/>
      <c r="C683" s="374"/>
      <c r="D683" s="374"/>
      <c r="E683" s="374"/>
      <c r="F683" s="374"/>
      <c r="G683" s="388"/>
      <c r="H683" s="388"/>
      <c r="I683" s="374"/>
      <c r="J683" s="374"/>
      <c r="K683" s="374"/>
      <c r="L683" s="374"/>
      <c r="M683" s="374"/>
      <c r="N683" s="374"/>
      <c r="O683" s="374"/>
      <c r="P683" s="374"/>
      <c r="Q683" s="374"/>
      <c r="R683" s="374"/>
      <c r="S683" s="374"/>
      <c r="T683" s="374"/>
      <c r="U683" s="374"/>
      <c r="V683" s="374"/>
      <c r="W683" s="374"/>
      <c r="X683" s="374"/>
      <c r="Y683" s="374"/>
      <c r="Z683" s="374"/>
    </row>
    <row r="684" ht="15.75" customHeight="1">
      <c r="A684" s="374"/>
      <c r="B684" s="374"/>
      <c r="C684" s="374"/>
      <c r="D684" s="374"/>
      <c r="E684" s="374"/>
      <c r="F684" s="374"/>
      <c r="G684" s="388"/>
      <c r="H684" s="388"/>
      <c r="I684" s="374"/>
      <c r="J684" s="374"/>
      <c r="K684" s="374"/>
      <c r="L684" s="374"/>
      <c r="M684" s="374"/>
      <c r="N684" s="374"/>
      <c r="O684" s="374"/>
      <c r="P684" s="374"/>
      <c r="Q684" s="374"/>
      <c r="R684" s="374"/>
      <c r="S684" s="374"/>
      <c r="T684" s="374"/>
      <c r="U684" s="374"/>
      <c r="V684" s="374"/>
      <c r="W684" s="374"/>
      <c r="X684" s="374"/>
      <c r="Y684" s="374"/>
      <c r="Z684" s="374"/>
    </row>
    <row r="685" ht="15.75" customHeight="1">
      <c r="A685" s="374"/>
      <c r="B685" s="374"/>
      <c r="C685" s="374"/>
      <c r="D685" s="374"/>
      <c r="E685" s="374"/>
      <c r="F685" s="374"/>
      <c r="G685" s="388"/>
      <c r="H685" s="388"/>
      <c r="I685" s="374"/>
      <c r="J685" s="374"/>
      <c r="K685" s="374"/>
      <c r="L685" s="374"/>
      <c r="M685" s="374"/>
      <c r="N685" s="374"/>
      <c r="O685" s="374"/>
      <c r="P685" s="374"/>
      <c r="Q685" s="374"/>
      <c r="R685" s="374"/>
      <c r="S685" s="374"/>
      <c r="T685" s="374"/>
      <c r="U685" s="374"/>
      <c r="V685" s="374"/>
      <c r="W685" s="374"/>
      <c r="X685" s="374"/>
      <c r="Y685" s="374"/>
      <c r="Z685" s="374"/>
    </row>
    <row r="686" ht="15.75" customHeight="1">
      <c r="A686" s="374"/>
      <c r="B686" s="374"/>
      <c r="C686" s="374"/>
      <c r="D686" s="374"/>
      <c r="E686" s="374"/>
      <c r="F686" s="374"/>
      <c r="G686" s="388"/>
      <c r="H686" s="388"/>
      <c r="I686" s="374"/>
      <c r="J686" s="374"/>
      <c r="K686" s="374"/>
      <c r="L686" s="374"/>
      <c r="M686" s="374"/>
      <c r="N686" s="374"/>
      <c r="O686" s="374"/>
      <c r="P686" s="374"/>
      <c r="Q686" s="374"/>
      <c r="R686" s="374"/>
      <c r="S686" s="374"/>
      <c r="T686" s="374"/>
      <c r="U686" s="374"/>
      <c r="V686" s="374"/>
      <c r="W686" s="374"/>
      <c r="X686" s="374"/>
      <c r="Y686" s="374"/>
      <c r="Z686" s="374"/>
    </row>
    <row r="687" ht="15.75" customHeight="1">
      <c r="A687" s="374"/>
      <c r="B687" s="374"/>
      <c r="C687" s="374"/>
      <c r="D687" s="374"/>
      <c r="E687" s="374"/>
      <c r="F687" s="374"/>
      <c r="G687" s="388"/>
      <c r="H687" s="388"/>
      <c r="I687" s="374"/>
      <c r="J687" s="374"/>
      <c r="K687" s="374"/>
      <c r="L687" s="374"/>
      <c r="M687" s="374"/>
      <c r="N687" s="374"/>
      <c r="O687" s="374"/>
      <c r="P687" s="374"/>
      <c r="Q687" s="374"/>
      <c r="R687" s="374"/>
      <c r="S687" s="374"/>
      <c r="T687" s="374"/>
      <c r="U687" s="374"/>
      <c r="V687" s="374"/>
      <c r="W687" s="374"/>
      <c r="X687" s="374"/>
      <c r="Y687" s="374"/>
      <c r="Z687" s="374"/>
    </row>
    <row r="688" ht="15.75" customHeight="1">
      <c r="A688" s="374"/>
      <c r="B688" s="374"/>
      <c r="C688" s="374"/>
      <c r="D688" s="374"/>
      <c r="E688" s="374"/>
      <c r="F688" s="374"/>
      <c r="G688" s="388"/>
      <c r="H688" s="388"/>
      <c r="I688" s="374"/>
      <c r="J688" s="374"/>
      <c r="K688" s="374"/>
      <c r="L688" s="374"/>
      <c r="M688" s="374"/>
      <c r="N688" s="374"/>
      <c r="O688" s="374"/>
      <c r="P688" s="374"/>
      <c r="Q688" s="374"/>
      <c r="R688" s="374"/>
      <c r="S688" s="374"/>
      <c r="T688" s="374"/>
      <c r="U688" s="374"/>
      <c r="V688" s="374"/>
      <c r="W688" s="374"/>
      <c r="X688" s="374"/>
      <c r="Y688" s="374"/>
      <c r="Z688" s="374"/>
    </row>
    <row r="689" ht="15.75" customHeight="1">
      <c r="A689" s="374"/>
      <c r="B689" s="374"/>
      <c r="C689" s="374"/>
      <c r="D689" s="374"/>
      <c r="E689" s="374"/>
      <c r="F689" s="374"/>
      <c r="G689" s="388"/>
      <c r="H689" s="388"/>
      <c r="I689" s="374"/>
      <c r="J689" s="374"/>
      <c r="K689" s="374"/>
      <c r="L689" s="374"/>
      <c r="M689" s="374"/>
      <c r="N689" s="374"/>
      <c r="O689" s="374"/>
      <c r="P689" s="374"/>
      <c r="Q689" s="374"/>
      <c r="R689" s="374"/>
      <c r="S689" s="374"/>
      <c r="T689" s="374"/>
      <c r="U689" s="374"/>
      <c r="V689" s="374"/>
      <c r="W689" s="374"/>
      <c r="X689" s="374"/>
      <c r="Y689" s="374"/>
      <c r="Z689" s="374"/>
    </row>
    <row r="690" ht="15.75" customHeight="1">
      <c r="A690" s="374"/>
      <c r="B690" s="374"/>
      <c r="C690" s="374"/>
      <c r="D690" s="374"/>
      <c r="E690" s="374"/>
      <c r="F690" s="374"/>
      <c r="G690" s="388"/>
      <c r="H690" s="388"/>
      <c r="I690" s="374"/>
      <c r="J690" s="374"/>
      <c r="K690" s="374"/>
      <c r="L690" s="374"/>
      <c r="M690" s="374"/>
      <c r="N690" s="374"/>
      <c r="O690" s="374"/>
      <c r="P690" s="374"/>
      <c r="Q690" s="374"/>
      <c r="R690" s="374"/>
      <c r="S690" s="374"/>
      <c r="T690" s="374"/>
      <c r="U690" s="374"/>
      <c r="V690" s="374"/>
      <c r="W690" s="374"/>
      <c r="X690" s="374"/>
      <c r="Y690" s="374"/>
      <c r="Z690" s="374"/>
    </row>
    <row r="691" ht="15.75" customHeight="1">
      <c r="A691" s="374"/>
      <c r="B691" s="374"/>
      <c r="C691" s="374"/>
      <c r="D691" s="374"/>
      <c r="E691" s="374"/>
      <c r="F691" s="374"/>
      <c r="G691" s="388"/>
      <c r="H691" s="388"/>
      <c r="I691" s="374"/>
      <c r="J691" s="374"/>
      <c r="K691" s="374"/>
      <c r="L691" s="374"/>
      <c r="M691" s="374"/>
      <c r="N691" s="374"/>
      <c r="O691" s="374"/>
      <c r="P691" s="374"/>
      <c r="Q691" s="374"/>
      <c r="R691" s="374"/>
      <c r="S691" s="374"/>
      <c r="T691" s="374"/>
      <c r="U691" s="374"/>
      <c r="V691" s="374"/>
      <c r="W691" s="374"/>
      <c r="X691" s="374"/>
      <c r="Y691" s="374"/>
      <c r="Z691" s="374"/>
    </row>
    <row r="692" ht="15.75" customHeight="1">
      <c r="A692" s="374"/>
      <c r="B692" s="374"/>
      <c r="C692" s="374"/>
      <c r="D692" s="374"/>
      <c r="E692" s="374"/>
      <c r="F692" s="374"/>
      <c r="G692" s="388"/>
      <c r="H692" s="388"/>
      <c r="I692" s="374"/>
      <c r="J692" s="374"/>
      <c r="K692" s="374"/>
      <c r="L692" s="374"/>
      <c r="M692" s="374"/>
      <c r="N692" s="374"/>
      <c r="O692" s="374"/>
      <c r="P692" s="374"/>
      <c r="Q692" s="374"/>
      <c r="R692" s="374"/>
      <c r="S692" s="374"/>
      <c r="T692" s="374"/>
      <c r="U692" s="374"/>
      <c r="V692" s="374"/>
      <c r="W692" s="374"/>
      <c r="X692" s="374"/>
      <c r="Y692" s="374"/>
      <c r="Z692" s="374"/>
    </row>
    <row r="693" ht="15.75" customHeight="1">
      <c r="A693" s="374"/>
      <c r="B693" s="374"/>
      <c r="C693" s="374"/>
      <c r="D693" s="374"/>
      <c r="E693" s="374"/>
      <c r="F693" s="374"/>
      <c r="G693" s="388"/>
      <c r="H693" s="388"/>
      <c r="I693" s="374"/>
      <c r="J693" s="374"/>
      <c r="K693" s="374"/>
      <c r="L693" s="374"/>
      <c r="M693" s="374"/>
      <c r="N693" s="374"/>
      <c r="O693" s="374"/>
      <c r="P693" s="374"/>
      <c r="Q693" s="374"/>
      <c r="R693" s="374"/>
      <c r="S693" s="374"/>
      <c r="T693" s="374"/>
      <c r="U693" s="374"/>
      <c r="V693" s="374"/>
      <c r="W693" s="374"/>
      <c r="X693" s="374"/>
      <c r="Y693" s="374"/>
      <c r="Z693" s="374"/>
    </row>
    <row r="694" ht="15.75" customHeight="1">
      <c r="A694" s="374"/>
      <c r="B694" s="374"/>
      <c r="C694" s="374"/>
      <c r="D694" s="374"/>
      <c r="E694" s="374"/>
      <c r="F694" s="374"/>
      <c r="G694" s="388"/>
      <c r="H694" s="388"/>
      <c r="I694" s="374"/>
      <c r="J694" s="374"/>
      <c r="K694" s="374"/>
      <c r="L694" s="374"/>
      <c r="M694" s="374"/>
      <c r="N694" s="374"/>
      <c r="O694" s="374"/>
      <c r="P694" s="374"/>
      <c r="Q694" s="374"/>
      <c r="R694" s="374"/>
      <c r="S694" s="374"/>
      <c r="T694" s="374"/>
      <c r="U694" s="374"/>
      <c r="V694" s="374"/>
      <c r="W694" s="374"/>
      <c r="X694" s="374"/>
      <c r="Y694" s="374"/>
      <c r="Z694" s="374"/>
    </row>
    <row r="695" ht="15.75" customHeight="1">
      <c r="A695" s="374"/>
      <c r="B695" s="374"/>
      <c r="C695" s="374"/>
      <c r="D695" s="374"/>
      <c r="E695" s="374"/>
      <c r="F695" s="374"/>
      <c r="G695" s="388"/>
      <c r="H695" s="388"/>
      <c r="I695" s="374"/>
      <c r="J695" s="374"/>
      <c r="K695" s="374"/>
      <c r="L695" s="374"/>
      <c r="M695" s="374"/>
      <c r="N695" s="374"/>
      <c r="O695" s="374"/>
      <c r="P695" s="374"/>
      <c r="Q695" s="374"/>
      <c r="R695" s="374"/>
      <c r="S695" s="374"/>
      <c r="T695" s="374"/>
      <c r="U695" s="374"/>
      <c r="V695" s="374"/>
      <c r="W695" s="374"/>
      <c r="X695" s="374"/>
      <c r="Y695" s="374"/>
      <c r="Z695" s="374"/>
    </row>
    <row r="696" ht="15.75" customHeight="1">
      <c r="A696" s="374"/>
      <c r="B696" s="374"/>
      <c r="C696" s="374"/>
      <c r="D696" s="374"/>
      <c r="E696" s="374"/>
      <c r="F696" s="374"/>
      <c r="G696" s="388"/>
      <c r="H696" s="388"/>
      <c r="I696" s="374"/>
      <c r="J696" s="374"/>
      <c r="K696" s="374"/>
      <c r="L696" s="374"/>
      <c r="M696" s="374"/>
      <c r="N696" s="374"/>
      <c r="O696" s="374"/>
      <c r="P696" s="374"/>
      <c r="Q696" s="374"/>
      <c r="R696" s="374"/>
      <c r="S696" s="374"/>
      <c r="T696" s="374"/>
      <c r="U696" s="374"/>
      <c r="V696" s="374"/>
      <c r="W696" s="374"/>
      <c r="X696" s="374"/>
      <c r="Y696" s="374"/>
      <c r="Z696" s="374"/>
    </row>
    <row r="697" ht="15.75" customHeight="1">
      <c r="A697" s="374"/>
      <c r="B697" s="374"/>
      <c r="C697" s="374"/>
      <c r="D697" s="374"/>
      <c r="E697" s="374"/>
      <c r="F697" s="374"/>
      <c r="G697" s="388"/>
      <c r="H697" s="388"/>
      <c r="I697" s="374"/>
      <c r="J697" s="374"/>
      <c r="K697" s="374"/>
      <c r="L697" s="374"/>
      <c r="M697" s="374"/>
      <c r="N697" s="374"/>
      <c r="O697" s="374"/>
      <c r="P697" s="374"/>
      <c r="Q697" s="374"/>
      <c r="R697" s="374"/>
      <c r="S697" s="374"/>
      <c r="T697" s="374"/>
      <c r="U697" s="374"/>
      <c r="V697" s="374"/>
      <c r="W697" s="374"/>
      <c r="X697" s="374"/>
      <c r="Y697" s="374"/>
      <c r="Z697" s="374"/>
    </row>
    <row r="698" ht="15.75" customHeight="1">
      <c r="A698" s="374"/>
      <c r="B698" s="374"/>
      <c r="C698" s="374"/>
      <c r="D698" s="374"/>
      <c r="E698" s="374"/>
      <c r="F698" s="374"/>
      <c r="G698" s="388"/>
      <c r="H698" s="388"/>
      <c r="I698" s="374"/>
      <c r="J698" s="374"/>
      <c r="K698" s="374"/>
      <c r="L698" s="374"/>
      <c r="M698" s="374"/>
      <c r="N698" s="374"/>
      <c r="O698" s="374"/>
      <c r="P698" s="374"/>
      <c r="Q698" s="374"/>
      <c r="R698" s="374"/>
      <c r="S698" s="374"/>
      <c r="T698" s="374"/>
      <c r="U698" s="374"/>
      <c r="V698" s="374"/>
      <c r="W698" s="374"/>
      <c r="X698" s="374"/>
      <c r="Y698" s="374"/>
      <c r="Z698" s="374"/>
    </row>
    <row r="699" ht="15.75" customHeight="1">
      <c r="A699" s="374"/>
      <c r="B699" s="374"/>
      <c r="C699" s="374"/>
      <c r="D699" s="374"/>
      <c r="E699" s="374"/>
      <c r="F699" s="374"/>
      <c r="G699" s="388"/>
      <c r="H699" s="388"/>
      <c r="I699" s="374"/>
      <c r="J699" s="374"/>
      <c r="K699" s="374"/>
      <c r="L699" s="374"/>
      <c r="M699" s="374"/>
      <c r="N699" s="374"/>
      <c r="O699" s="374"/>
      <c r="P699" s="374"/>
      <c r="Q699" s="374"/>
      <c r="R699" s="374"/>
      <c r="S699" s="374"/>
      <c r="T699" s="374"/>
      <c r="U699" s="374"/>
      <c r="V699" s="374"/>
      <c r="W699" s="374"/>
      <c r="X699" s="374"/>
      <c r="Y699" s="374"/>
      <c r="Z699" s="374"/>
    </row>
    <row r="700" ht="15.75" customHeight="1">
      <c r="A700" s="374"/>
      <c r="B700" s="374"/>
      <c r="C700" s="374"/>
      <c r="D700" s="374"/>
      <c r="E700" s="374"/>
      <c r="F700" s="374"/>
      <c r="G700" s="388"/>
      <c r="H700" s="388"/>
      <c r="I700" s="374"/>
      <c r="J700" s="374"/>
      <c r="K700" s="374"/>
      <c r="L700" s="374"/>
      <c r="M700" s="374"/>
      <c r="N700" s="374"/>
      <c r="O700" s="374"/>
      <c r="P700" s="374"/>
      <c r="Q700" s="374"/>
      <c r="R700" s="374"/>
      <c r="S700" s="374"/>
      <c r="T700" s="374"/>
      <c r="U700" s="374"/>
      <c r="V700" s="374"/>
      <c r="W700" s="374"/>
      <c r="X700" s="374"/>
      <c r="Y700" s="374"/>
      <c r="Z700" s="374"/>
    </row>
    <row r="701" ht="15.75" customHeight="1">
      <c r="A701" s="374"/>
      <c r="B701" s="374"/>
      <c r="C701" s="374"/>
      <c r="D701" s="374"/>
      <c r="E701" s="374"/>
      <c r="F701" s="374"/>
      <c r="G701" s="388"/>
      <c r="H701" s="388"/>
      <c r="I701" s="374"/>
      <c r="J701" s="374"/>
      <c r="K701" s="374"/>
      <c r="L701" s="374"/>
      <c r="M701" s="374"/>
      <c r="N701" s="374"/>
      <c r="O701" s="374"/>
      <c r="P701" s="374"/>
      <c r="Q701" s="374"/>
      <c r="R701" s="374"/>
      <c r="S701" s="374"/>
      <c r="T701" s="374"/>
      <c r="U701" s="374"/>
      <c r="V701" s="374"/>
      <c r="W701" s="374"/>
      <c r="X701" s="374"/>
      <c r="Y701" s="374"/>
      <c r="Z701" s="374"/>
    </row>
    <row r="702" ht="15.75" customHeight="1">
      <c r="A702" s="374"/>
      <c r="B702" s="374"/>
      <c r="C702" s="374"/>
      <c r="D702" s="374"/>
      <c r="E702" s="374"/>
      <c r="F702" s="374"/>
      <c r="G702" s="388"/>
      <c r="H702" s="388"/>
      <c r="I702" s="374"/>
      <c r="J702" s="374"/>
      <c r="K702" s="374"/>
      <c r="L702" s="374"/>
      <c r="M702" s="374"/>
      <c r="N702" s="374"/>
      <c r="O702" s="374"/>
      <c r="P702" s="374"/>
      <c r="Q702" s="374"/>
      <c r="R702" s="374"/>
      <c r="S702" s="374"/>
      <c r="T702" s="374"/>
      <c r="U702" s="374"/>
      <c r="V702" s="374"/>
      <c r="W702" s="374"/>
      <c r="X702" s="374"/>
      <c r="Y702" s="374"/>
      <c r="Z702" s="374"/>
    </row>
    <row r="703" ht="15.75" customHeight="1">
      <c r="A703" s="374"/>
      <c r="B703" s="374"/>
      <c r="C703" s="374"/>
      <c r="D703" s="374"/>
      <c r="E703" s="374"/>
      <c r="F703" s="374"/>
      <c r="G703" s="388"/>
      <c r="H703" s="388"/>
      <c r="I703" s="374"/>
      <c r="J703" s="374"/>
      <c r="K703" s="374"/>
      <c r="L703" s="374"/>
      <c r="M703" s="374"/>
      <c r="N703" s="374"/>
      <c r="O703" s="374"/>
      <c r="P703" s="374"/>
      <c r="Q703" s="374"/>
      <c r="R703" s="374"/>
      <c r="S703" s="374"/>
      <c r="T703" s="374"/>
      <c r="U703" s="374"/>
      <c r="V703" s="374"/>
      <c r="W703" s="374"/>
      <c r="X703" s="374"/>
      <c r="Y703" s="374"/>
      <c r="Z703" s="374"/>
    </row>
    <row r="704" ht="15.75" customHeight="1">
      <c r="A704" s="374"/>
      <c r="B704" s="374"/>
      <c r="C704" s="374"/>
      <c r="D704" s="374"/>
      <c r="E704" s="374"/>
      <c r="F704" s="374"/>
      <c r="G704" s="388"/>
      <c r="H704" s="388"/>
      <c r="I704" s="374"/>
      <c r="J704" s="374"/>
      <c r="K704" s="374"/>
      <c r="L704" s="374"/>
      <c r="M704" s="374"/>
      <c r="N704" s="374"/>
      <c r="O704" s="374"/>
      <c r="P704" s="374"/>
      <c r="Q704" s="374"/>
      <c r="R704" s="374"/>
      <c r="S704" s="374"/>
      <c r="T704" s="374"/>
      <c r="U704" s="374"/>
      <c r="V704" s="374"/>
      <c r="W704" s="374"/>
      <c r="X704" s="374"/>
      <c r="Y704" s="374"/>
      <c r="Z704" s="374"/>
    </row>
    <row r="705" ht="15.75" customHeight="1">
      <c r="A705" s="374"/>
      <c r="B705" s="374"/>
      <c r="C705" s="374"/>
      <c r="D705" s="374"/>
      <c r="E705" s="374"/>
      <c r="F705" s="374"/>
      <c r="G705" s="388"/>
      <c r="H705" s="388"/>
      <c r="I705" s="374"/>
      <c r="J705" s="374"/>
      <c r="K705" s="374"/>
      <c r="L705" s="374"/>
      <c r="M705" s="374"/>
      <c r="N705" s="374"/>
      <c r="O705" s="374"/>
      <c r="P705" s="374"/>
      <c r="Q705" s="374"/>
      <c r="R705" s="374"/>
      <c r="S705" s="374"/>
      <c r="T705" s="374"/>
      <c r="U705" s="374"/>
      <c r="V705" s="374"/>
      <c r="W705" s="374"/>
      <c r="X705" s="374"/>
      <c r="Y705" s="374"/>
      <c r="Z705" s="374"/>
    </row>
    <row r="706" ht="15.75" customHeight="1">
      <c r="A706" s="374"/>
      <c r="B706" s="374"/>
      <c r="C706" s="374"/>
      <c r="D706" s="374"/>
      <c r="E706" s="374"/>
      <c r="F706" s="374"/>
      <c r="G706" s="388"/>
      <c r="H706" s="388"/>
      <c r="I706" s="374"/>
      <c r="J706" s="374"/>
      <c r="K706" s="374"/>
      <c r="L706" s="374"/>
      <c r="M706" s="374"/>
      <c r="N706" s="374"/>
      <c r="O706" s="374"/>
      <c r="P706" s="374"/>
      <c r="Q706" s="374"/>
      <c r="R706" s="374"/>
      <c r="S706" s="374"/>
      <c r="T706" s="374"/>
      <c r="U706" s="374"/>
      <c r="V706" s="374"/>
      <c r="W706" s="374"/>
      <c r="X706" s="374"/>
      <c r="Y706" s="374"/>
      <c r="Z706" s="374"/>
    </row>
    <row r="707" ht="15.75" customHeight="1">
      <c r="A707" s="374"/>
      <c r="B707" s="374"/>
      <c r="C707" s="374"/>
      <c r="D707" s="374"/>
      <c r="E707" s="374"/>
      <c r="F707" s="374"/>
      <c r="G707" s="388"/>
      <c r="H707" s="388"/>
      <c r="I707" s="374"/>
      <c r="J707" s="374"/>
      <c r="K707" s="374"/>
      <c r="L707" s="374"/>
      <c r="M707" s="374"/>
      <c r="N707" s="374"/>
      <c r="O707" s="374"/>
      <c r="P707" s="374"/>
      <c r="Q707" s="374"/>
      <c r="R707" s="374"/>
      <c r="S707" s="374"/>
      <c r="T707" s="374"/>
      <c r="U707" s="374"/>
      <c r="V707" s="374"/>
      <c r="W707" s="374"/>
      <c r="X707" s="374"/>
      <c r="Y707" s="374"/>
      <c r="Z707" s="374"/>
    </row>
    <row r="708" ht="15.75" customHeight="1">
      <c r="A708" s="374"/>
      <c r="B708" s="374"/>
      <c r="C708" s="374"/>
      <c r="D708" s="374"/>
      <c r="E708" s="374"/>
      <c r="F708" s="374"/>
      <c r="G708" s="388"/>
      <c r="H708" s="388"/>
      <c r="I708" s="374"/>
      <c r="J708" s="374"/>
      <c r="K708" s="374"/>
      <c r="L708" s="374"/>
      <c r="M708" s="374"/>
      <c r="N708" s="374"/>
      <c r="O708" s="374"/>
      <c r="P708" s="374"/>
      <c r="Q708" s="374"/>
      <c r="R708" s="374"/>
      <c r="S708" s="374"/>
      <c r="T708" s="374"/>
      <c r="U708" s="374"/>
      <c r="V708" s="374"/>
      <c r="W708" s="374"/>
      <c r="X708" s="374"/>
      <c r="Y708" s="374"/>
      <c r="Z708" s="374"/>
    </row>
    <row r="709" ht="15.75" customHeight="1">
      <c r="A709" s="374"/>
      <c r="B709" s="374"/>
      <c r="C709" s="374"/>
      <c r="D709" s="374"/>
      <c r="E709" s="374"/>
      <c r="F709" s="374"/>
      <c r="G709" s="388"/>
      <c r="H709" s="388"/>
      <c r="I709" s="374"/>
      <c r="J709" s="374"/>
      <c r="K709" s="374"/>
      <c r="L709" s="374"/>
      <c r="M709" s="374"/>
      <c r="N709" s="374"/>
      <c r="O709" s="374"/>
      <c r="P709" s="374"/>
      <c r="Q709" s="374"/>
      <c r="R709" s="374"/>
      <c r="S709" s="374"/>
      <c r="T709" s="374"/>
      <c r="U709" s="374"/>
      <c r="V709" s="374"/>
      <c r="W709" s="374"/>
      <c r="X709" s="374"/>
      <c r="Y709" s="374"/>
      <c r="Z709" s="374"/>
    </row>
    <row r="710" ht="15.75" customHeight="1">
      <c r="A710" s="374"/>
      <c r="B710" s="374"/>
      <c r="C710" s="374"/>
      <c r="D710" s="374"/>
      <c r="E710" s="374"/>
      <c r="F710" s="374"/>
      <c r="G710" s="388"/>
      <c r="H710" s="388"/>
      <c r="I710" s="374"/>
      <c r="J710" s="374"/>
      <c r="K710" s="374"/>
      <c r="L710" s="374"/>
      <c r="M710" s="374"/>
      <c r="N710" s="374"/>
      <c r="O710" s="374"/>
      <c r="P710" s="374"/>
      <c r="Q710" s="374"/>
      <c r="R710" s="374"/>
      <c r="S710" s="374"/>
      <c r="T710" s="374"/>
      <c r="U710" s="374"/>
      <c r="V710" s="374"/>
      <c r="W710" s="374"/>
      <c r="X710" s="374"/>
      <c r="Y710" s="374"/>
      <c r="Z710" s="374"/>
    </row>
    <row r="711" ht="15.75" customHeight="1">
      <c r="A711" s="374"/>
      <c r="B711" s="374"/>
      <c r="C711" s="374"/>
      <c r="D711" s="374"/>
      <c r="E711" s="374"/>
      <c r="F711" s="374"/>
      <c r="G711" s="388"/>
      <c r="H711" s="388"/>
      <c r="I711" s="374"/>
      <c r="J711" s="374"/>
      <c r="K711" s="374"/>
      <c r="L711" s="374"/>
      <c r="M711" s="374"/>
      <c r="N711" s="374"/>
      <c r="O711" s="374"/>
      <c r="P711" s="374"/>
      <c r="Q711" s="374"/>
      <c r="R711" s="374"/>
      <c r="S711" s="374"/>
      <c r="T711" s="374"/>
      <c r="U711" s="374"/>
      <c r="V711" s="374"/>
      <c r="W711" s="374"/>
      <c r="X711" s="374"/>
      <c r="Y711" s="374"/>
      <c r="Z711" s="374"/>
    </row>
    <row r="712" ht="15.75" customHeight="1">
      <c r="A712" s="374"/>
      <c r="B712" s="374"/>
      <c r="C712" s="374"/>
      <c r="D712" s="374"/>
      <c r="E712" s="374"/>
      <c r="F712" s="374"/>
      <c r="G712" s="388"/>
      <c r="H712" s="388"/>
      <c r="I712" s="374"/>
      <c r="J712" s="374"/>
      <c r="K712" s="374"/>
      <c r="L712" s="374"/>
      <c r="M712" s="374"/>
      <c r="N712" s="374"/>
      <c r="O712" s="374"/>
      <c r="P712" s="374"/>
      <c r="Q712" s="374"/>
      <c r="R712" s="374"/>
      <c r="S712" s="374"/>
      <c r="T712" s="374"/>
      <c r="U712" s="374"/>
      <c r="V712" s="374"/>
      <c r="W712" s="374"/>
      <c r="X712" s="374"/>
      <c r="Y712" s="374"/>
      <c r="Z712" s="374"/>
    </row>
    <row r="713" ht="15.75" customHeight="1">
      <c r="A713" s="374"/>
      <c r="B713" s="374"/>
      <c r="C713" s="374"/>
      <c r="D713" s="374"/>
      <c r="E713" s="374"/>
      <c r="F713" s="374"/>
      <c r="G713" s="388"/>
      <c r="H713" s="388"/>
      <c r="I713" s="374"/>
      <c r="J713" s="374"/>
      <c r="K713" s="374"/>
      <c r="L713" s="374"/>
      <c r="M713" s="374"/>
      <c r="N713" s="374"/>
      <c r="O713" s="374"/>
      <c r="P713" s="374"/>
      <c r="Q713" s="374"/>
      <c r="R713" s="374"/>
      <c r="S713" s="374"/>
      <c r="T713" s="374"/>
      <c r="U713" s="374"/>
      <c r="V713" s="374"/>
      <c r="W713" s="374"/>
      <c r="X713" s="374"/>
      <c r="Y713" s="374"/>
      <c r="Z713" s="374"/>
    </row>
    <row r="714" ht="15.75" customHeight="1">
      <c r="A714" s="374"/>
      <c r="B714" s="374"/>
      <c r="C714" s="374"/>
      <c r="D714" s="374"/>
      <c r="E714" s="374"/>
      <c r="F714" s="374"/>
      <c r="G714" s="388"/>
      <c r="H714" s="388"/>
      <c r="I714" s="374"/>
      <c r="J714" s="374"/>
      <c r="K714" s="374"/>
      <c r="L714" s="374"/>
      <c r="M714" s="374"/>
      <c r="N714" s="374"/>
      <c r="O714" s="374"/>
      <c r="P714" s="374"/>
      <c r="Q714" s="374"/>
      <c r="R714" s="374"/>
      <c r="S714" s="374"/>
      <c r="T714" s="374"/>
      <c r="U714" s="374"/>
      <c r="V714" s="374"/>
      <c r="W714" s="374"/>
      <c r="X714" s="374"/>
      <c r="Y714" s="374"/>
      <c r="Z714" s="374"/>
    </row>
    <row r="715" ht="15.75" customHeight="1">
      <c r="A715" s="374"/>
      <c r="B715" s="374"/>
      <c r="C715" s="374"/>
      <c r="D715" s="374"/>
      <c r="E715" s="374"/>
      <c r="F715" s="374"/>
      <c r="G715" s="388"/>
      <c r="H715" s="388"/>
      <c r="I715" s="374"/>
      <c r="J715" s="374"/>
      <c r="K715" s="374"/>
      <c r="L715" s="374"/>
      <c r="M715" s="374"/>
      <c r="N715" s="374"/>
      <c r="O715" s="374"/>
      <c r="P715" s="374"/>
      <c r="Q715" s="374"/>
      <c r="R715" s="374"/>
      <c r="S715" s="374"/>
      <c r="T715" s="374"/>
      <c r="U715" s="374"/>
      <c r="V715" s="374"/>
      <c r="W715" s="374"/>
      <c r="X715" s="374"/>
      <c r="Y715" s="374"/>
      <c r="Z715" s="374"/>
    </row>
    <row r="716" ht="15.75" customHeight="1">
      <c r="A716" s="374"/>
      <c r="B716" s="374"/>
      <c r="C716" s="374"/>
      <c r="D716" s="374"/>
      <c r="E716" s="374"/>
      <c r="F716" s="374"/>
      <c r="G716" s="388"/>
      <c r="H716" s="388"/>
      <c r="I716" s="374"/>
      <c r="J716" s="374"/>
      <c r="K716" s="374"/>
      <c r="L716" s="374"/>
      <c r="M716" s="374"/>
      <c r="N716" s="374"/>
      <c r="O716" s="374"/>
      <c r="P716" s="374"/>
      <c r="Q716" s="374"/>
      <c r="R716" s="374"/>
      <c r="S716" s="374"/>
      <c r="T716" s="374"/>
      <c r="U716" s="374"/>
      <c r="V716" s="374"/>
      <c r="W716" s="374"/>
      <c r="X716" s="374"/>
      <c r="Y716" s="374"/>
      <c r="Z716" s="374"/>
    </row>
    <row r="717" ht="15.75" customHeight="1">
      <c r="A717" s="374"/>
      <c r="B717" s="374"/>
      <c r="C717" s="374"/>
      <c r="D717" s="374"/>
      <c r="E717" s="374"/>
      <c r="F717" s="374"/>
      <c r="G717" s="388"/>
      <c r="H717" s="388"/>
      <c r="I717" s="374"/>
      <c r="J717" s="374"/>
      <c r="K717" s="374"/>
      <c r="L717" s="374"/>
      <c r="M717" s="374"/>
      <c r="N717" s="374"/>
      <c r="O717" s="374"/>
      <c r="P717" s="374"/>
      <c r="Q717" s="374"/>
      <c r="R717" s="374"/>
      <c r="S717" s="374"/>
      <c r="T717" s="374"/>
      <c r="U717" s="374"/>
      <c r="V717" s="374"/>
      <c r="W717" s="374"/>
      <c r="X717" s="374"/>
      <c r="Y717" s="374"/>
      <c r="Z717" s="374"/>
    </row>
    <row r="718" ht="15.75" customHeight="1">
      <c r="A718" s="374"/>
      <c r="B718" s="374"/>
      <c r="C718" s="374"/>
      <c r="D718" s="374"/>
      <c r="E718" s="374"/>
      <c r="F718" s="374"/>
      <c r="G718" s="388"/>
      <c r="H718" s="388"/>
      <c r="I718" s="374"/>
      <c r="J718" s="374"/>
      <c r="K718" s="374"/>
      <c r="L718" s="374"/>
      <c r="M718" s="374"/>
      <c r="N718" s="374"/>
      <c r="O718" s="374"/>
      <c r="P718" s="374"/>
      <c r="Q718" s="374"/>
      <c r="R718" s="374"/>
      <c r="S718" s="374"/>
      <c r="T718" s="374"/>
      <c r="U718" s="374"/>
      <c r="V718" s="374"/>
      <c r="W718" s="374"/>
      <c r="X718" s="374"/>
      <c r="Y718" s="374"/>
      <c r="Z718" s="374"/>
    </row>
    <row r="719" ht="15.75" customHeight="1">
      <c r="A719" s="374"/>
      <c r="B719" s="374"/>
      <c r="C719" s="374"/>
      <c r="D719" s="374"/>
      <c r="E719" s="374"/>
      <c r="F719" s="374"/>
      <c r="G719" s="388"/>
      <c r="H719" s="388"/>
      <c r="I719" s="374"/>
      <c r="J719" s="374"/>
      <c r="K719" s="374"/>
      <c r="L719" s="374"/>
      <c r="M719" s="374"/>
      <c r="N719" s="374"/>
      <c r="O719" s="374"/>
      <c r="P719" s="374"/>
      <c r="Q719" s="374"/>
      <c r="R719" s="374"/>
      <c r="S719" s="374"/>
      <c r="T719" s="374"/>
      <c r="U719" s="374"/>
      <c r="V719" s="374"/>
      <c r="W719" s="374"/>
      <c r="X719" s="374"/>
      <c r="Y719" s="374"/>
      <c r="Z719" s="374"/>
    </row>
    <row r="720" ht="15.75" customHeight="1">
      <c r="A720" s="374"/>
      <c r="B720" s="374"/>
      <c r="C720" s="374"/>
      <c r="D720" s="374"/>
      <c r="E720" s="374"/>
      <c r="F720" s="374"/>
      <c r="G720" s="388"/>
      <c r="H720" s="388"/>
      <c r="I720" s="374"/>
      <c r="J720" s="374"/>
      <c r="K720" s="374"/>
      <c r="L720" s="374"/>
      <c r="M720" s="374"/>
      <c r="N720" s="374"/>
      <c r="O720" s="374"/>
      <c r="P720" s="374"/>
      <c r="Q720" s="374"/>
      <c r="R720" s="374"/>
      <c r="S720" s="374"/>
      <c r="T720" s="374"/>
      <c r="U720" s="374"/>
      <c r="V720" s="374"/>
      <c r="W720" s="374"/>
      <c r="X720" s="374"/>
      <c r="Y720" s="374"/>
      <c r="Z720" s="374"/>
    </row>
    <row r="721" ht="15.75" customHeight="1">
      <c r="A721" s="374"/>
      <c r="B721" s="374"/>
      <c r="C721" s="374"/>
      <c r="D721" s="374"/>
      <c r="E721" s="374"/>
      <c r="F721" s="374"/>
      <c r="G721" s="388"/>
      <c r="H721" s="388"/>
      <c r="I721" s="374"/>
      <c r="J721" s="374"/>
      <c r="K721" s="374"/>
      <c r="L721" s="374"/>
      <c r="M721" s="374"/>
      <c r="N721" s="374"/>
      <c r="O721" s="374"/>
      <c r="P721" s="374"/>
      <c r="Q721" s="374"/>
      <c r="R721" s="374"/>
      <c r="S721" s="374"/>
      <c r="T721" s="374"/>
      <c r="U721" s="374"/>
      <c r="V721" s="374"/>
      <c r="W721" s="374"/>
      <c r="X721" s="374"/>
      <c r="Y721" s="374"/>
      <c r="Z721" s="374"/>
    </row>
    <row r="722" ht="15.75" customHeight="1">
      <c r="A722" s="374"/>
      <c r="B722" s="374"/>
      <c r="C722" s="374"/>
      <c r="D722" s="374"/>
      <c r="E722" s="374"/>
      <c r="F722" s="374"/>
      <c r="G722" s="388"/>
      <c r="H722" s="388"/>
      <c r="I722" s="374"/>
      <c r="J722" s="374"/>
      <c r="K722" s="374"/>
      <c r="L722" s="374"/>
      <c r="M722" s="374"/>
      <c r="N722" s="374"/>
      <c r="O722" s="374"/>
      <c r="P722" s="374"/>
      <c r="Q722" s="374"/>
      <c r="R722" s="374"/>
      <c r="S722" s="374"/>
      <c r="T722" s="374"/>
      <c r="U722" s="374"/>
      <c r="V722" s="374"/>
      <c r="W722" s="374"/>
      <c r="X722" s="374"/>
      <c r="Y722" s="374"/>
      <c r="Z722" s="374"/>
    </row>
    <row r="723" ht="15.75" customHeight="1">
      <c r="A723" s="374"/>
      <c r="B723" s="374"/>
      <c r="C723" s="374"/>
      <c r="D723" s="374"/>
      <c r="E723" s="374"/>
      <c r="F723" s="374"/>
      <c r="G723" s="388"/>
      <c r="H723" s="388"/>
      <c r="I723" s="374"/>
      <c r="J723" s="374"/>
      <c r="K723" s="374"/>
      <c r="L723" s="374"/>
      <c r="M723" s="374"/>
      <c r="N723" s="374"/>
      <c r="O723" s="374"/>
      <c r="P723" s="374"/>
      <c r="Q723" s="374"/>
      <c r="R723" s="374"/>
      <c r="S723" s="374"/>
      <c r="T723" s="374"/>
      <c r="U723" s="374"/>
      <c r="V723" s="374"/>
      <c r="W723" s="374"/>
      <c r="X723" s="374"/>
      <c r="Y723" s="374"/>
      <c r="Z723" s="374"/>
    </row>
    <row r="724" ht="15.75" customHeight="1">
      <c r="A724" s="374"/>
      <c r="B724" s="374"/>
      <c r="C724" s="374"/>
      <c r="D724" s="374"/>
      <c r="E724" s="374"/>
      <c r="F724" s="374"/>
      <c r="G724" s="388"/>
      <c r="H724" s="388"/>
      <c r="I724" s="374"/>
      <c r="J724" s="374"/>
      <c r="K724" s="374"/>
      <c r="L724" s="374"/>
      <c r="M724" s="374"/>
      <c r="N724" s="374"/>
      <c r="O724" s="374"/>
      <c r="P724" s="374"/>
      <c r="Q724" s="374"/>
      <c r="R724" s="374"/>
      <c r="S724" s="374"/>
      <c r="T724" s="374"/>
      <c r="U724" s="374"/>
      <c r="V724" s="374"/>
      <c r="W724" s="374"/>
      <c r="X724" s="374"/>
      <c r="Y724" s="374"/>
      <c r="Z724" s="374"/>
    </row>
    <row r="725" ht="15.75" customHeight="1">
      <c r="A725" s="374"/>
      <c r="B725" s="374"/>
      <c r="C725" s="374"/>
      <c r="D725" s="374"/>
      <c r="E725" s="374"/>
      <c r="F725" s="374"/>
      <c r="G725" s="388"/>
      <c r="H725" s="388"/>
      <c r="I725" s="374"/>
      <c r="J725" s="374"/>
      <c r="K725" s="374"/>
      <c r="L725" s="374"/>
      <c r="M725" s="374"/>
      <c r="N725" s="374"/>
      <c r="O725" s="374"/>
      <c r="P725" s="374"/>
      <c r="Q725" s="374"/>
      <c r="R725" s="374"/>
      <c r="S725" s="374"/>
      <c r="T725" s="374"/>
      <c r="U725" s="374"/>
      <c r="V725" s="374"/>
      <c r="W725" s="374"/>
      <c r="X725" s="374"/>
      <c r="Y725" s="374"/>
      <c r="Z725" s="374"/>
    </row>
    <row r="726" ht="15.75" customHeight="1">
      <c r="A726" s="374"/>
      <c r="B726" s="374"/>
      <c r="C726" s="374"/>
      <c r="D726" s="374"/>
      <c r="E726" s="374"/>
      <c r="F726" s="374"/>
      <c r="G726" s="388"/>
      <c r="H726" s="388"/>
      <c r="I726" s="374"/>
      <c r="J726" s="374"/>
      <c r="K726" s="374"/>
      <c r="L726" s="374"/>
      <c r="M726" s="374"/>
      <c r="N726" s="374"/>
      <c r="O726" s="374"/>
      <c r="P726" s="374"/>
      <c r="Q726" s="374"/>
      <c r="R726" s="374"/>
      <c r="S726" s="374"/>
      <c r="T726" s="374"/>
      <c r="U726" s="374"/>
      <c r="V726" s="374"/>
      <c r="W726" s="374"/>
      <c r="X726" s="374"/>
      <c r="Y726" s="374"/>
      <c r="Z726" s="374"/>
    </row>
    <row r="727" ht="15.75" customHeight="1">
      <c r="A727" s="374"/>
      <c r="B727" s="374"/>
      <c r="C727" s="374"/>
      <c r="D727" s="374"/>
      <c r="E727" s="374"/>
      <c r="F727" s="374"/>
      <c r="G727" s="388"/>
      <c r="H727" s="388"/>
      <c r="I727" s="374"/>
      <c r="J727" s="374"/>
      <c r="K727" s="374"/>
      <c r="L727" s="374"/>
      <c r="M727" s="374"/>
      <c r="N727" s="374"/>
      <c r="O727" s="374"/>
      <c r="P727" s="374"/>
      <c r="Q727" s="374"/>
      <c r="R727" s="374"/>
      <c r="S727" s="374"/>
      <c r="T727" s="374"/>
      <c r="U727" s="374"/>
      <c r="V727" s="374"/>
      <c r="W727" s="374"/>
      <c r="X727" s="374"/>
      <c r="Y727" s="374"/>
      <c r="Z727" s="374"/>
    </row>
    <row r="728" ht="15.75" customHeight="1">
      <c r="A728" s="374"/>
      <c r="B728" s="374"/>
      <c r="C728" s="374"/>
      <c r="D728" s="374"/>
      <c r="E728" s="374"/>
      <c r="F728" s="374"/>
      <c r="G728" s="388"/>
      <c r="H728" s="388"/>
      <c r="I728" s="374"/>
      <c r="J728" s="374"/>
      <c r="K728" s="374"/>
      <c r="L728" s="374"/>
      <c r="M728" s="374"/>
      <c r="N728" s="374"/>
      <c r="O728" s="374"/>
      <c r="P728" s="374"/>
      <c r="Q728" s="374"/>
      <c r="R728" s="374"/>
      <c r="S728" s="374"/>
      <c r="T728" s="374"/>
      <c r="U728" s="374"/>
      <c r="V728" s="374"/>
      <c r="W728" s="374"/>
      <c r="X728" s="374"/>
      <c r="Y728" s="374"/>
      <c r="Z728" s="374"/>
    </row>
    <row r="729" ht="15.75" customHeight="1">
      <c r="A729" s="374"/>
      <c r="B729" s="374"/>
      <c r="C729" s="374"/>
      <c r="D729" s="374"/>
      <c r="E729" s="374"/>
      <c r="F729" s="374"/>
      <c r="G729" s="388"/>
      <c r="H729" s="388"/>
      <c r="I729" s="374"/>
      <c r="J729" s="374"/>
      <c r="K729" s="374"/>
      <c r="L729" s="374"/>
      <c r="M729" s="374"/>
      <c r="N729" s="374"/>
      <c r="O729" s="374"/>
      <c r="P729" s="374"/>
      <c r="Q729" s="374"/>
      <c r="R729" s="374"/>
      <c r="S729" s="374"/>
      <c r="T729" s="374"/>
      <c r="U729" s="374"/>
      <c r="V729" s="374"/>
      <c r="W729" s="374"/>
      <c r="X729" s="374"/>
      <c r="Y729" s="374"/>
      <c r="Z729" s="374"/>
    </row>
    <row r="730" ht="15.75" customHeight="1">
      <c r="A730" s="374"/>
      <c r="B730" s="374"/>
      <c r="C730" s="374"/>
      <c r="D730" s="374"/>
      <c r="E730" s="374"/>
      <c r="F730" s="374"/>
      <c r="G730" s="388"/>
      <c r="H730" s="388"/>
      <c r="I730" s="374"/>
      <c r="J730" s="374"/>
      <c r="K730" s="374"/>
      <c r="L730" s="374"/>
      <c r="M730" s="374"/>
      <c r="N730" s="374"/>
      <c r="O730" s="374"/>
      <c r="P730" s="374"/>
      <c r="Q730" s="374"/>
      <c r="R730" s="374"/>
      <c r="S730" s="374"/>
      <c r="T730" s="374"/>
      <c r="U730" s="374"/>
      <c r="V730" s="374"/>
      <c r="W730" s="374"/>
      <c r="X730" s="374"/>
      <c r="Y730" s="374"/>
      <c r="Z730" s="374"/>
    </row>
    <row r="731" ht="15.75" customHeight="1">
      <c r="A731" s="374"/>
      <c r="B731" s="374"/>
      <c r="C731" s="374"/>
      <c r="D731" s="374"/>
      <c r="E731" s="374"/>
      <c r="F731" s="374"/>
      <c r="G731" s="388"/>
      <c r="H731" s="388"/>
      <c r="I731" s="374"/>
      <c r="J731" s="374"/>
      <c r="K731" s="374"/>
      <c r="L731" s="374"/>
      <c r="M731" s="374"/>
      <c r="N731" s="374"/>
      <c r="O731" s="374"/>
      <c r="P731" s="374"/>
      <c r="Q731" s="374"/>
      <c r="R731" s="374"/>
      <c r="S731" s="374"/>
      <c r="T731" s="374"/>
      <c r="U731" s="374"/>
      <c r="V731" s="374"/>
      <c r="W731" s="374"/>
      <c r="X731" s="374"/>
      <c r="Y731" s="374"/>
      <c r="Z731" s="374"/>
    </row>
    <row r="732" ht="15.75" customHeight="1">
      <c r="A732" s="374"/>
      <c r="B732" s="374"/>
      <c r="C732" s="374"/>
      <c r="D732" s="374"/>
      <c r="E732" s="374"/>
      <c r="F732" s="374"/>
      <c r="G732" s="388"/>
      <c r="H732" s="388"/>
      <c r="I732" s="374"/>
      <c r="J732" s="374"/>
      <c r="K732" s="374"/>
      <c r="L732" s="374"/>
      <c r="M732" s="374"/>
      <c r="N732" s="374"/>
      <c r="O732" s="374"/>
      <c r="P732" s="374"/>
      <c r="Q732" s="374"/>
      <c r="R732" s="374"/>
      <c r="S732" s="374"/>
      <c r="T732" s="374"/>
      <c r="U732" s="374"/>
      <c r="V732" s="374"/>
      <c r="W732" s="374"/>
      <c r="X732" s="374"/>
      <c r="Y732" s="374"/>
      <c r="Z732" s="374"/>
    </row>
    <row r="733" ht="15.75" customHeight="1">
      <c r="A733" s="374"/>
      <c r="B733" s="374"/>
      <c r="C733" s="374"/>
      <c r="D733" s="374"/>
      <c r="E733" s="374"/>
      <c r="F733" s="374"/>
      <c r="G733" s="388"/>
      <c r="H733" s="388"/>
      <c r="I733" s="374"/>
      <c r="J733" s="374"/>
      <c r="K733" s="374"/>
      <c r="L733" s="374"/>
      <c r="M733" s="374"/>
      <c r="N733" s="374"/>
      <c r="O733" s="374"/>
      <c r="P733" s="374"/>
      <c r="Q733" s="374"/>
      <c r="R733" s="374"/>
      <c r="S733" s="374"/>
      <c r="T733" s="374"/>
      <c r="U733" s="374"/>
      <c r="V733" s="374"/>
      <c r="W733" s="374"/>
      <c r="X733" s="374"/>
      <c r="Y733" s="374"/>
      <c r="Z733" s="374"/>
    </row>
    <row r="734" ht="15.75" customHeight="1">
      <c r="A734" s="374"/>
      <c r="B734" s="374"/>
      <c r="C734" s="374"/>
      <c r="D734" s="374"/>
      <c r="E734" s="374"/>
      <c r="F734" s="374"/>
      <c r="G734" s="388"/>
      <c r="H734" s="388"/>
      <c r="I734" s="374"/>
      <c r="J734" s="374"/>
      <c r="K734" s="374"/>
      <c r="L734" s="374"/>
      <c r="M734" s="374"/>
      <c r="N734" s="374"/>
      <c r="O734" s="374"/>
      <c r="P734" s="374"/>
      <c r="Q734" s="374"/>
      <c r="R734" s="374"/>
      <c r="S734" s="374"/>
      <c r="T734" s="374"/>
      <c r="U734" s="374"/>
      <c r="V734" s="374"/>
      <c r="W734" s="374"/>
      <c r="X734" s="374"/>
      <c r="Y734" s="374"/>
      <c r="Z734" s="374"/>
    </row>
    <row r="735" ht="15.75" customHeight="1">
      <c r="A735" s="374"/>
      <c r="B735" s="374"/>
      <c r="C735" s="374"/>
      <c r="D735" s="374"/>
      <c r="E735" s="374"/>
      <c r="F735" s="374"/>
      <c r="G735" s="388"/>
      <c r="H735" s="388"/>
      <c r="I735" s="374"/>
      <c r="J735" s="374"/>
      <c r="K735" s="374"/>
      <c r="L735" s="374"/>
      <c r="M735" s="374"/>
      <c r="N735" s="374"/>
      <c r="O735" s="374"/>
      <c r="P735" s="374"/>
      <c r="Q735" s="374"/>
      <c r="R735" s="374"/>
      <c r="S735" s="374"/>
      <c r="T735" s="374"/>
      <c r="U735" s="374"/>
      <c r="V735" s="374"/>
      <c r="W735" s="374"/>
      <c r="X735" s="374"/>
      <c r="Y735" s="374"/>
      <c r="Z735" s="374"/>
    </row>
    <row r="736" ht="15.75" customHeight="1">
      <c r="A736" s="374"/>
      <c r="B736" s="374"/>
      <c r="C736" s="374"/>
      <c r="D736" s="374"/>
      <c r="E736" s="374"/>
      <c r="F736" s="374"/>
      <c r="G736" s="388"/>
      <c r="H736" s="388"/>
      <c r="I736" s="374"/>
      <c r="J736" s="374"/>
      <c r="K736" s="374"/>
      <c r="L736" s="374"/>
      <c r="M736" s="374"/>
      <c r="N736" s="374"/>
      <c r="O736" s="374"/>
      <c r="P736" s="374"/>
      <c r="Q736" s="374"/>
      <c r="R736" s="374"/>
      <c r="S736" s="374"/>
      <c r="T736" s="374"/>
      <c r="U736" s="374"/>
      <c r="V736" s="374"/>
      <c r="W736" s="374"/>
      <c r="X736" s="374"/>
      <c r="Y736" s="374"/>
      <c r="Z736" s="374"/>
    </row>
    <row r="737" ht="15.75" customHeight="1">
      <c r="A737" s="374"/>
      <c r="B737" s="374"/>
      <c r="C737" s="374"/>
      <c r="D737" s="374"/>
      <c r="E737" s="374"/>
      <c r="F737" s="374"/>
      <c r="G737" s="388"/>
      <c r="H737" s="388"/>
      <c r="I737" s="374"/>
      <c r="J737" s="374"/>
      <c r="K737" s="374"/>
      <c r="L737" s="374"/>
      <c r="M737" s="374"/>
      <c r="N737" s="374"/>
      <c r="O737" s="374"/>
      <c r="P737" s="374"/>
      <c r="Q737" s="374"/>
      <c r="R737" s="374"/>
      <c r="S737" s="374"/>
      <c r="T737" s="374"/>
      <c r="U737" s="374"/>
      <c r="V737" s="374"/>
      <c r="W737" s="374"/>
      <c r="X737" s="374"/>
      <c r="Y737" s="374"/>
      <c r="Z737" s="374"/>
    </row>
    <row r="738" ht="15.75" customHeight="1">
      <c r="A738" s="374"/>
      <c r="B738" s="374"/>
      <c r="C738" s="374"/>
      <c r="D738" s="374"/>
      <c r="E738" s="374"/>
      <c r="F738" s="374"/>
      <c r="G738" s="388"/>
      <c r="H738" s="388"/>
      <c r="I738" s="374"/>
      <c r="J738" s="374"/>
      <c r="K738" s="374"/>
      <c r="L738" s="374"/>
      <c r="M738" s="374"/>
      <c r="N738" s="374"/>
      <c r="O738" s="374"/>
      <c r="P738" s="374"/>
      <c r="Q738" s="374"/>
      <c r="R738" s="374"/>
      <c r="S738" s="374"/>
      <c r="T738" s="374"/>
      <c r="U738" s="374"/>
      <c r="V738" s="374"/>
      <c r="W738" s="374"/>
      <c r="X738" s="374"/>
      <c r="Y738" s="374"/>
      <c r="Z738" s="374"/>
    </row>
    <row r="739" ht="15.75" customHeight="1">
      <c r="A739" s="374"/>
      <c r="B739" s="374"/>
      <c r="C739" s="374"/>
      <c r="D739" s="374"/>
      <c r="E739" s="374"/>
      <c r="F739" s="374"/>
      <c r="G739" s="388"/>
      <c r="H739" s="388"/>
      <c r="I739" s="374"/>
      <c r="J739" s="374"/>
      <c r="K739" s="374"/>
      <c r="L739" s="374"/>
      <c r="M739" s="374"/>
      <c r="N739" s="374"/>
      <c r="O739" s="374"/>
      <c r="P739" s="374"/>
      <c r="Q739" s="374"/>
      <c r="R739" s="374"/>
      <c r="S739" s="374"/>
      <c r="T739" s="374"/>
      <c r="U739" s="374"/>
      <c r="V739" s="374"/>
      <c r="W739" s="374"/>
      <c r="X739" s="374"/>
      <c r="Y739" s="374"/>
      <c r="Z739" s="374"/>
    </row>
    <row r="740" ht="15.75" customHeight="1">
      <c r="A740" s="374"/>
      <c r="B740" s="374"/>
      <c r="C740" s="374"/>
      <c r="D740" s="374"/>
      <c r="E740" s="374"/>
      <c r="F740" s="374"/>
      <c r="G740" s="388"/>
      <c r="H740" s="388"/>
      <c r="I740" s="374"/>
      <c r="J740" s="374"/>
      <c r="K740" s="374"/>
      <c r="L740" s="374"/>
      <c r="M740" s="374"/>
      <c r="N740" s="374"/>
      <c r="O740" s="374"/>
      <c r="P740" s="374"/>
      <c r="Q740" s="374"/>
      <c r="R740" s="374"/>
      <c r="S740" s="374"/>
      <c r="T740" s="374"/>
      <c r="U740" s="374"/>
      <c r="V740" s="374"/>
      <c r="W740" s="374"/>
      <c r="X740" s="374"/>
      <c r="Y740" s="374"/>
      <c r="Z740" s="374"/>
    </row>
    <row r="741" ht="15.75" customHeight="1">
      <c r="A741" s="374"/>
      <c r="B741" s="374"/>
      <c r="C741" s="374"/>
      <c r="D741" s="374"/>
      <c r="E741" s="374"/>
      <c r="F741" s="374"/>
      <c r="G741" s="388"/>
      <c r="H741" s="388"/>
      <c r="I741" s="374"/>
      <c r="J741" s="374"/>
      <c r="K741" s="374"/>
      <c r="L741" s="374"/>
      <c r="M741" s="374"/>
      <c r="N741" s="374"/>
      <c r="O741" s="374"/>
      <c r="P741" s="374"/>
      <c r="Q741" s="374"/>
      <c r="R741" s="374"/>
      <c r="S741" s="374"/>
      <c r="T741" s="374"/>
      <c r="U741" s="374"/>
      <c r="V741" s="374"/>
      <c r="W741" s="374"/>
      <c r="X741" s="374"/>
      <c r="Y741" s="374"/>
      <c r="Z741" s="374"/>
    </row>
    <row r="742" ht="15.75" customHeight="1">
      <c r="A742" s="374"/>
      <c r="B742" s="374"/>
      <c r="C742" s="374"/>
      <c r="D742" s="374"/>
      <c r="E742" s="374"/>
      <c r="F742" s="374"/>
      <c r="G742" s="388"/>
      <c r="H742" s="388"/>
      <c r="I742" s="374"/>
      <c r="J742" s="374"/>
      <c r="K742" s="374"/>
      <c r="L742" s="374"/>
      <c r="M742" s="374"/>
      <c r="N742" s="374"/>
      <c r="O742" s="374"/>
      <c r="P742" s="374"/>
      <c r="Q742" s="374"/>
      <c r="R742" s="374"/>
      <c r="S742" s="374"/>
      <c r="T742" s="374"/>
      <c r="U742" s="374"/>
      <c r="V742" s="374"/>
      <c r="W742" s="374"/>
      <c r="X742" s="374"/>
      <c r="Y742" s="374"/>
      <c r="Z742" s="374"/>
    </row>
    <row r="743" ht="15.75" customHeight="1">
      <c r="A743" s="374"/>
      <c r="B743" s="374"/>
      <c r="C743" s="374"/>
      <c r="D743" s="374"/>
      <c r="E743" s="374"/>
      <c r="F743" s="374"/>
      <c r="G743" s="388"/>
      <c r="H743" s="388"/>
      <c r="I743" s="374"/>
      <c r="J743" s="374"/>
      <c r="K743" s="374"/>
      <c r="L743" s="374"/>
      <c r="M743" s="374"/>
      <c r="N743" s="374"/>
      <c r="O743" s="374"/>
      <c r="P743" s="374"/>
      <c r="Q743" s="374"/>
      <c r="R743" s="374"/>
      <c r="S743" s="374"/>
      <c r="T743" s="374"/>
      <c r="U743" s="374"/>
      <c r="V743" s="374"/>
      <c r="W743" s="374"/>
      <c r="X743" s="374"/>
      <c r="Y743" s="374"/>
      <c r="Z743" s="374"/>
    </row>
    <row r="744" ht="15.75" customHeight="1">
      <c r="A744" s="374"/>
      <c r="B744" s="374"/>
      <c r="C744" s="374"/>
      <c r="D744" s="374"/>
      <c r="E744" s="374"/>
      <c r="F744" s="374"/>
      <c r="G744" s="388"/>
      <c r="H744" s="388"/>
      <c r="I744" s="374"/>
      <c r="J744" s="374"/>
      <c r="K744" s="374"/>
      <c r="L744" s="374"/>
      <c r="M744" s="374"/>
      <c r="N744" s="374"/>
      <c r="O744" s="374"/>
      <c r="P744" s="374"/>
      <c r="Q744" s="374"/>
      <c r="R744" s="374"/>
      <c r="S744" s="374"/>
      <c r="T744" s="374"/>
      <c r="U744" s="374"/>
      <c r="V744" s="374"/>
      <c r="W744" s="374"/>
      <c r="X744" s="374"/>
      <c r="Y744" s="374"/>
      <c r="Z744" s="374"/>
    </row>
    <row r="745" ht="15.75" customHeight="1">
      <c r="A745" s="374"/>
      <c r="B745" s="374"/>
      <c r="C745" s="374"/>
      <c r="D745" s="374"/>
      <c r="E745" s="374"/>
      <c r="F745" s="374"/>
      <c r="G745" s="388"/>
      <c r="H745" s="388"/>
      <c r="I745" s="374"/>
      <c r="J745" s="374"/>
      <c r="K745" s="374"/>
      <c r="L745" s="374"/>
      <c r="M745" s="374"/>
      <c r="N745" s="374"/>
      <c r="O745" s="374"/>
      <c r="P745" s="374"/>
      <c r="Q745" s="374"/>
      <c r="R745" s="374"/>
      <c r="S745" s="374"/>
      <c r="T745" s="374"/>
      <c r="U745" s="374"/>
      <c r="V745" s="374"/>
      <c r="W745" s="374"/>
      <c r="X745" s="374"/>
      <c r="Y745" s="374"/>
      <c r="Z745" s="374"/>
    </row>
    <row r="746" ht="15.75" customHeight="1">
      <c r="A746" s="374"/>
      <c r="B746" s="374"/>
      <c r="C746" s="374"/>
      <c r="D746" s="374"/>
      <c r="E746" s="374"/>
      <c r="F746" s="374"/>
      <c r="G746" s="388"/>
      <c r="H746" s="388"/>
      <c r="I746" s="374"/>
      <c r="J746" s="374"/>
      <c r="K746" s="374"/>
      <c r="L746" s="374"/>
      <c r="M746" s="374"/>
      <c r="N746" s="374"/>
      <c r="O746" s="374"/>
      <c r="P746" s="374"/>
      <c r="Q746" s="374"/>
      <c r="R746" s="374"/>
      <c r="S746" s="374"/>
      <c r="T746" s="374"/>
      <c r="U746" s="374"/>
      <c r="V746" s="374"/>
      <c r="W746" s="374"/>
      <c r="X746" s="374"/>
      <c r="Y746" s="374"/>
      <c r="Z746" s="374"/>
    </row>
    <row r="747" ht="15.75" customHeight="1">
      <c r="A747" s="374"/>
      <c r="B747" s="374"/>
      <c r="C747" s="374"/>
      <c r="D747" s="374"/>
      <c r="E747" s="374"/>
      <c r="F747" s="374"/>
      <c r="G747" s="388"/>
      <c r="H747" s="388"/>
      <c r="I747" s="374"/>
      <c r="J747" s="374"/>
      <c r="K747" s="374"/>
      <c r="L747" s="374"/>
      <c r="M747" s="374"/>
      <c r="N747" s="374"/>
      <c r="O747" s="374"/>
      <c r="P747" s="374"/>
      <c r="Q747" s="374"/>
      <c r="R747" s="374"/>
      <c r="S747" s="374"/>
      <c r="T747" s="374"/>
      <c r="U747" s="374"/>
      <c r="V747" s="374"/>
      <c r="W747" s="374"/>
      <c r="X747" s="374"/>
      <c r="Y747" s="374"/>
      <c r="Z747" s="374"/>
    </row>
    <row r="748" ht="15.75" customHeight="1">
      <c r="A748" s="374"/>
      <c r="B748" s="374"/>
      <c r="C748" s="374"/>
      <c r="D748" s="374"/>
      <c r="E748" s="374"/>
      <c r="F748" s="374"/>
      <c r="G748" s="388"/>
      <c r="H748" s="388"/>
      <c r="I748" s="374"/>
      <c r="J748" s="374"/>
      <c r="K748" s="374"/>
      <c r="L748" s="374"/>
      <c r="M748" s="374"/>
      <c r="N748" s="374"/>
      <c r="O748" s="374"/>
      <c r="P748" s="374"/>
      <c r="Q748" s="374"/>
      <c r="R748" s="374"/>
      <c r="S748" s="374"/>
      <c r="T748" s="374"/>
      <c r="U748" s="374"/>
      <c r="V748" s="374"/>
      <c r="W748" s="374"/>
      <c r="X748" s="374"/>
      <c r="Y748" s="374"/>
      <c r="Z748" s="374"/>
    </row>
    <row r="749" ht="15.75" customHeight="1">
      <c r="A749" s="374"/>
      <c r="B749" s="374"/>
      <c r="C749" s="374"/>
      <c r="D749" s="374"/>
      <c r="E749" s="374"/>
      <c r="F749" s="374"/>
      <c r="G749" s="388"/>
      <c r="H749" s="388"/>
      <c r="I749" s="374"/>
      <c r="J749" s="374"/>
      <c r="K749" s="374"/>
      <c r="L749" s="374"/>
      <c r="M749" s="374"/>
      <c r="N749" s="374"/>
      <c r="O749" s="374"/>
      <c r="P749" s="374"/>
      <c r="Q749" s="374"/>
      <c r="R749" s="374"/>
      <c r="S749" s="374"/>
      <c r="T749" s="374"/>
      <c r="U749" s="374"/>
      <c r="V749" s="374"/>
      <c r="W749" s="374"/>
      <c r="X749" s="374"/>
      <c r="Y749" s="374"/>
      <c r="Z749" s="374"/>
    </row>
    <row r="750" ht="15.75" customHeight="1">
      <c r="A750" s="374"/>
      <c r="B750" s="374"/>
      <c r="C750" s="374"/>
      <c r="D750" s="374"/>
      <c r="E750" s="374"/>
      <c r="F750" s="374"/>
      <c r="G750" s="388"/>
      <c r="H750" s="388"/>
      <c r="I750" s="374"/>
      <c r="J750" s="374"/>
      <c r="K750" s="374"/>
      <c r="L750" s="374"/>
      <c r="M750" s="374"/>
      <c r="N750" s="374"/>
      <c r="O750" s="374"/>
      <c r="P750" s="374"/>
      <c r="Q750" s="374"/>
      <c r="R750" s="374"/>
      <c r="S750" s="374"/>
      <c r="T750" s="374"/>
      <c r="U750" s="374"/>
      <c r="V750" s="374"/>
      <c r="W750" s="374"/>
      <c r="X750" s="374"/>
      <c r="Y750" s="374"/>
      <c r="Z750" s="374"/>
    </row>
    <row r="751" ht="15.75" customHeight="1">
      <c r="A751" s="374"/>
      <c r="B751" s="374"/>
      <c r="C751" s="374"/>
      <c r="D751" s="374"/>
      <c r="E751" s="374"/>
      <c r="F751" s="374"/>
      <c r="G751" s="388"/>
      <c r="H751" s="388"/>
      <c r="I751" s="374"/>
      <c r="J751" s="374"/>
      <c r="K751" s="374"/>
      <c r="L751" s="374"/>
      <c r="M751" s="374"/>
      <c r="N751" s="374"/>
      <c r="O751" s="374"/>
      <c r="P751" s="374"/>
      <c r="Q751" s="374"/>
      <c r="R751" s="374"/>
      <c r="S751" s="374"/>
      <c r="T751" s="374"/>
      <c r="U751" s="374"/>
      <c r="V751" s="374"/>
      <c r="W751" s="374"/>
      <c r="X751" s="374"/>
      <c r="Y751" s="374"/>
      <c r="Z751" s="374"/>
    </row>
    <row r="752" ht="15.75" customHeight="1">
      <c r="A752" s="374"/>
      <c r="B752" s="374"/>
      <c r="C752" s="374"/>
      <c r="D752" s="374"/>
      <c r="E752" s="374"/>
      <c r="F752" s="374"/>
      <c r="G752" s="388"/>
      <c r="H752" s="388"/>
      <c r="I752" s="374"/>
      <c r="J752" s="374"/>
      <c r="K752" s="374"/>
      <c r="L752" s="374"/>
      <c r="M752" s="374"/>
      <c r="N752" s="374"/>
      <c r="O752" s="374"/>
      <c r="P752" s="374"/>
      <c r="Q752" s="374"/>
      <c r="R752" s="374"/>
      <c r="S752" s="374"/>
      <c r="T752" s="374"/>
      <c r="U752" s="374"/>
      <c r="V752" s="374"/>
      <c r="W752" s="374"/>
      <c r="X752" s="374"/>
      <c r="Y752" s="374"/>
      <c r="Z752" s="374"/>
    </row>
    <row r="753" ht="15.75" customHeight="1">
      <c r="A753" s="374"/>
      <c r="B753" s="374"/>
      <c r="C753" s="374"/>
      <c r="D753" s="374"/>
      <c r="E753" s="374"/>
      <c r="F753" s="374"/>
      <c r="G753" s="388"/>
      <c r="H753" s="388"/>
      <c r="I753" s="374"/>
      <c r="J753" s="374"/>
      <c r="K753" s="374"/>
      <c r="L753" s="374"/>
      <c r="M753" s="374"/>
      <c r="N753" s="374"/>
      <c r="O753" s="374"/>
      <c r="P753" s="374"/>
      <c r="Q753" s="374"/>
      <c r="R753" s="374"/>
      <c r="S753" s="374"/>
      <c r="T753" s="374"/>
      <c r="U753" s="374"/>
      <c r="V753" s="374"/>
      <c r="W753" s="374"/>
      <c r="X753" s="374"/>
      <c r="Y753" s="374"/>
      <c r="Z753" s="374"/>
    </row>
    <row r="754" ht="15.75" customHeight="1">
      <c r="A754" s="374"/>
      <c r="B754" s="374"/>
      <c r="C754" s="374"/>
      <c r="D754" s="374"/>
      <c r="E754" s="374"/>
      <c r="F754" s="374"/>
      <c r="G754" s="388"/>
      <c r="H754" s="388"/>
      <c r="I754" s="374"/>
      <c r="J754" s="374"/>
      <c r="K754" s="374"/>
      <c r="L754" s="374"/>
      <c r="M754" s="374"/>
      <c r="N754" s="374"/>
      <c r="O754" s="374"/>
      <c r="P754" s="374"/>
      <c r="Q754" s="374"/>
      <c r="R754" s="374"/>
      <c r="S754" s="374"/>
      <c r="T754" s="374"/>
      <c r="U754" s="374"/>
      <c r="V754" s="374"/>
      <c r="W754" s="374"/>
      <c r="X754" s="374"/>
      <c r="Y754" s="374"/>
      <c r="Z754" s="374"/>
    </row>
    <row r="755" ht="15.75" customHeight="1">
      <c r="A755" s="374"/>
      <c r="B755" s="374"/>
      <c r="C755" s="374"/>
      <c r="D755" s="374"/>
      <c r="E755" s="374"/>
      <c r="F755" s="374"/>
      <c r="G755" s="388"/>
      <c r="H755" s="388"/>
      <c r="I755" s="374"/>
      <c r="J755" s="374"/>
      <c r="K755" s="374"/>
      <c r="L755" s="374"/>
      <c r="M755" s="374"/>
      <c r="N755" s="374"/>
      <c r="O755" s="374"/>
      <c r="P755" s="374"/>
      <c r="Q755" s="374"/>
      <c r="R755" s="374"/>
      <c r="S755" s="374"/>
      <c r="T755" s="374"/>
      <c r="U755" s="374"/>
      <c r="V755" s="374"/>
      <c r="W755" s="374"/>
      <c r="X755" s="374"/>
      <c r="Y755" s="374"/>
      <c r="Z755" s="374"/>
    </row>
    <row r="756" ht="15.75" customHeight="1">
      <c r="A756" s="374"/>
      <c r="B756" s="374"/>
      <c r="C756" s="374"/>
      <c r="D756" s="374"/>
      <c r="E756" s="374"/>
      <c r="F756" s="374"/>
      <c r="G756" s="388"/>
      <c r="H756" s="388"/>
      <c r="I756" s="374"/>
      <c r="J756" s="374"/>
      <c r="K756" s="374"/>
      <c r="L756" s="374"/>
      <c r="M756" s="374"/>
      <c r="N756" s="374"/>
      <c r="O756" s="374"/>
      <c r="P756" s="374"/>
      <c r="Q756" s="374"/>
      <c r="R756" s="374"/>
      <c r="S756" s="374"/>
      <c r="T756" s="374"/>
      <c r="U756" s="374"/>
      <c r="V756" s="374"/>
      <c r="W756" s="374"/>
      <c r="X756" s="374"/>
      <c r="Y756" s="374"/>
      <c r="Z756" s="374"/>
    </row>
    <row r="757" ht="15.75" customHeight="1">
      <c r="A757" s="374"/>
      <c r="B757" s="374"/>
      <c r="C757" s="374"/>
      <c r="D757" s="374"/>
      <c r="E757" s="374"/>
      <c r="F757" s="374"/>
      <c r="G757" s="388"/>
      <c r="H757" s="388"/>
      <c r="I757" s="374"/>
      <c r="J757" s="374"/>
      <c r="K757" s="374"/>
      <c r="L757" s="374"/>
      <c r="M757" s="374"/>
      <c r="N757" s="374"/>
      <c r="O757" s="374"/>
      <c r="P757" s="374"/>
      <c r="Q757" s="374"/>
      <c r="R757" s="374"/>
      <c r="S757" s="374"/>
      <c r="T757" s="374"/>
      <c r="U757" s="374"/>
      <c r="V757" s="374"/>
      <c r="W757" s="374"/>
      <c r="X757" s="374"/>
      <c r="Y757" s="374"/>
      <c r="Z757" s="374"/>
    </row>
    <row r="758" ht="15.75" customHeight="1">
      <c r="A758" s="374"/>
      <c r="B758" s="374"/>
      <c r="C758" s="374"/>
      <c r="D758" s="374"/>
      <c r="E758" s="374"/>
      <c r="F758" s="374"/>
      <c r="G758" s="388"/>
      <c r="H758" s="388"/>
      <c r="I758" s="374"/>
      <c r="J758" s="374"/>
      <c r="K758" s="374"/>
      <c r="L758" s="374"/>
      <c r="M758" s="374"/>
      <c r="N758" s="374"/>
      <c r="O758" s="374"/>
      <c r="P758" s="374"/>
      <c r="Q758" s="374"/>
      <c r="R758" s="374"/>
      <c r="S758" s="374"/>
      <c r="T758" s="374"/>
      <c r="U758" s="374"/>
      <c r="V758" s="374"/>
      <c r="W758" s="374"/>
      <c r="X758" s="374"/>
      <c r="Y758" s="374"/>
      <c r="Z758" s="374"/>
    </row>
    <row r="759" ht="15.75" customHeight="1">
      <c r="A759" s="374"/>
      <c r="B759" s="374"/>
      <c r="C759" s="374"/>
      <c r="D759" s="374"/>
      <c r="E759" s="374"/>
      <c r="F759" s="374"/>
      <c r="G759" s="388"/>
      <c r="H759" s="388"/>
      <c r="I759" s="374"/>
      <c r="J759" s="374"/>
      <c r="K759" s="374"/>
      <c r="L759" s="374"/>
      <c r="M759" s="374"/>
      <c r="N759" s="374"/>
      <c r="O759" s="374"/>
      <c r="P759" s="374"/>
      <c r="Q759" s="374"/>
      <c r="R759" s="374"/>
      <c r="S759" s="374"/>
      <c r="T759" s="374"/>
      <c r="U759" s="374"/>
      <c r="V759" s="374"/>
      <c r="W759" s="374"/>
      <c r="X759" s="374"/>
      <c r="Y759" s="374"/>
      <c r="Z759" s="374"/>
    </row>
    <row r="760" ht="15.75" customHeight="1">
      <c r="A760" s="374"/>
      <c r="B760" s="374"/>
      <c r="C760" s="374"/>
      <c r="D760" s="374"/>
      <c r="E760" s="374"/>
      <c r="F760" s="374"/>
      <c r="G760" s="388"/>
      <c r="H760" s="388"/>
      <c r="I760" s="374"/>
      <c r="J760" s="374"/>
      <c r="K760" s="374"/>
      <c r="L760" s="374"/>
      <c r="M760" s="374"/>
      <c r="N760" s="374"/>
      <c r="O760" s="374"/>
      <c r="P760" s="374"/>
      <c r="Q760" s="374"/>
      <c r="R760" s="374"/>
      <c r="S760" s="374"/>
      <c r="T760" s="374"/>
      <c r="U760" s="374"/>
      <c r="V760" s="374"/>
      <c r="W760" s="374"/>
      <c r="X760" s="374"/>
      <c r="Y760" s="374"/>
      <c r="Z760" s="374"/>
    </row>
    <row r="761" ht="15.75" customHeight="1">
      <c r="A761" s="374"/>
      <c r="B761" s="374"/>
      <c r="C761" s="374"/>
      <c r="D761" s="374"/>
      <c r="E761" s="374"/>
      <c r="F761" s="374"/>
      <c r="G761" s="388"/>
      <c r="H761" s="388"/>
      <c r="I761" s="374"/>
      <c r="J761" s="374"/>
      <c r="K761" s="374"/>
      <c r="L761" s="374"/>
      <c r="M761" s="374"/>
      <c r="N761" s="374"/>
      <c r="O761" s="374"/>
      <c r="P761" s="374"/>
      <c r="Q761" s="374"/>
      <c r="R761" s="374"/>
      <c r="S761" s="374"/>
      <c r="T761" s="374"/>
      <c r="U761" s="374"/>
      <c r="V761" s="374"/>
      <c r="W761" s="374"/>
      <c r="X761" s="374"/>
      <c r="Y761" s="374"/>
      <c r="Z761" s="374"/>
    </row>
    <row r="762" ht="15.75" customHeight="1">
      <c r="A762" s="374"/>
      <c r="B762" s="374"/>
      <c r="C762" s="374"/>
      <c r="D762" s="374"/>
      <c r="E762" s="374"/>
      <c r="F762" s="374"/>
      <c r="G762" s="388"/>
      <c r="H762" s="388"/>
      <c r="I762" s="374"/>
      <c r="J762" s="374"/>
      <c r="K762" s="374"/>
      <c r="L762" s="374"/>
      <c r="M762" s="374"/>
      <c r="N762" s="374"/>
      <c r="O762" s="374"/>
      <c r="P762" s="374"/>
      <c r="Q762" s="374"/>
      <c r="R762" s="374"/>
      <c r="S762" s="374"/>
      <c r="T762" s="374"/>
      <c r="U762" s="374"/>
      <c r="V762" s="374"/>
      <c r="W762" s="374"/>
      <c r="X762" s="374"/>
      <c r="Y762" s="374"/>
      <c r="Z762" s="374"/>
    </row>
    <row r="763" ht="15.75" customHeight="1">
      <c r="A763" s="374"/>
      <c r="B763" s="374"/>
      <c r="C763" s="374"/>
      <c r="D763" s="374"/>
      <c r="E763" s="374"/>
      <c r="F763" s="374"/>
      <c r="G763" s="388"/>
      <c r="H763" s="388"/>
      <c r="I763" s="374"/>
      <c r="J763" s="374"/>
      <c r="K763" s="374"/>
      <c r="L763" s="374"/>
      <c r="M763" s="374"/>
      <c r="N763" s="374"/>
      <c r="O763" s="374"/>
      <c r="P763" s="374"/>
      <c r="Q763" s="374"/>
      <c r="R763" s="374"/>
      <c r="S763" s="374"/>
      <c r="T763" s="374"/>
      <c r="U763" s="374"/>
      <c r="V763" s="374"/>
      <c r="W763" s="374"/>
      <c r="X763" s="374"/>
      <c r="Y763" s="374"/>
      <c r="Z763" s="374"/>
    </row>
    <row r="764" ht="15.75" customHeight="1">
      <c r="A764" s="374"/>
      <c r="B764" s="374"/>
      <c r="C764" s="374"/>
      <c r="D764" s="374"/>
      <c r="E764" s="374"/>
      <c r="F764" s="374"/>
      <c r="G764" s="388"/>
      <c r="H764" s="388"/>
      <c r="I764" s="374"/>
      <c r="J764" s="374"/>
      <c r="K764" s="374"/>
      <c r="L764" s="374"/>
      <c r="M764" s="374"/>
      <c r="N764" s="374"/>
      <c r="O764" s="374"/>
      <c r="P764" s="374"/>
      <c r="Q764" s="374"/>
      <c r="R764" s="374"/>
      <c r="S764" s="374"/>
      <c r="T764" s="374"/>
      <c r="U764" s="374"/>
      <c r="V764" s="374"/>
      <c r="W764" s="374"/>
      <c r="X764" s="374"/>
      <c r="Y764" s="374"/>
      <c r="Z764" s="374"/>
    </row>
    <row r="765" ht="15.75" customHeight="1">
      <c r="A765" s="374"/>
      <c r="B765" s="374"/>
      <c r="C765" s="374"/>
      <c r="D765" s="374"/>
      <c r="E765" s="374"/>
      <c r="F765" s="374"/>
      <c r="G765" s="388"/>
      <c r="H765" s="388"/>
      <c r="I765" s="374"/>
      <c r="J765" s="374"/>
      <c r="K765" s="374"/>
      <c r="L765" s="374"/>
      <c r="M765" s="374"/>
      <c r="N765" s="374"/>
      <c r="O765" s="374"/>
      <c r="P765" s="374"/>
      <c r="Q765" s="374"/>
      <c r="R765" s="374"/>
      <c r="S765" s="374"/>
      <c r="T765" s="374"/>
      <c r="U765" s="374"/>
      <c r="V765" s="374"/>
      <c r="W765" s="374"/>
      <c r="X765" s="374"/>
      <c r="Y765" s="374"/>
      <c r="Z765" s="374"/>
    </row>
    <row r="766" ht="15.75" customHeight="1">
      <c r="A766" s="374"/>
      <c r="B766" s="374"/>
      <c r="C766" s="374"/>
      <c r="D766" s="374"/>
      <c r="E766" s="374"/>
      <c r="F766" s="374"/>
      <c r="G766" s="388"/>
      <c r="H766" s="388"/>
      <c r="I766" s="374"/>
      <c r="J766" s="374"/>
      <c r="K766" s="374"/>
      <c r="L766" s="374"/>
      <c r="M766" s="374"/>
      <c r="N766" s="374"/>
      <c r="O766" s="374"/>
      <c r="P766" s="374"/>
      <c r="Q766" s="374"/>
      <c r="R766" s="374"/>
      <c r="S766" s="374"/>
      <c r="T766" s="374"/>
      <c r="U766" s="374"/>
      <c r="V766" s="374"/>
      <c r="W766" s="374"/>
      <c r="X766" s="374"/>
      <c r="Y766" s="374"/>
      <c r="Z766" s="374"/>
    </row>
    <row r="767" ht="15.75" customHeight="1">
      <c r="A767" s="374"/>
      <c r="B767" s="374"/>
      <c r="C767" s="374"/>
      <c r="D767" s="374"/>
      <c r="E767" s="374"/>
      <c r="F767" s="374"/>
      <c r="G767" s="388"/>
      <c r="H767" s="388"/>
      <c r="I767" s="374"/>
      <c r="J767" s="374"/>
      <c r="K767" s="374"/>
      <c r="L767" s="374"/>
      <c r="M767" s="374"/>
      <c r="N767" s="374"/>
      <c r="O767" s="374"/>
      <c r="P767" s="374"/>
      <c r="Q767" s="374"/>
      <c r="R767" s="374"/>
      <c r="S767" s="374"/>
      <c r="T767" s="374"/>
      <c r="U767" s="374"/>
      <c r="V767" s="374"/>
      <c r="W767" s="374"/>
      <c r="X767" s="374"/>
      <c r="Y767" s="374"/>
      <c r="Z767" s="374"/>
    </row>
    <row r="768" ht="15.75" customHeight="1">
      <c r="A768" s="374"/>
      <c r="B768" s="374"/>
      <c r="C768" s="374"/>
      <c r="D768" s="374"/>
      <c r="E768" s="374"/>
      <c r="F768" s="374"/>
      <c r="G768" s="388"/>
      <c r="H768" s="388"/>
      <c r="I768" s="374"/>
      <c r="J768" s="374"/>
      <c r="K768" s="374"/>
      <c r="L768" s="374"/>
      <c r="M768" s="374"/>
      <c r="N768" s="374"/>
      <c r="O768" s="374"/>
      <c r="P768" s="374"/>
      <c r="Q768" s="374"/>
      <c r="R768" s="374"/>
      <c r="S768" s="374"/>
      <c r="T768" s="374"/>
      <c r="U768" s="374"/>
      <c r="V768" s="374"/>
      <c r="W768" s="374"/>
      <c r="X768" s="374"/>
      <c r="Y768" s="374"/>
      <c r="Z768" s="374"/>
    </row>
    <row r="769" ht="15.75" customHeight="1">
      <c r="A769" s="374"/>
      <c r="B769" s="374"/>
      <c r="C769" s="374"/>
      <c r="D769" s="374"/>
      <c r="E769" s="374"/>
      <c r="F769" s="374"/>
      <c r="G769" s="388"/>
      <c r="H769" s="388"/>
      <c r="I769" s="374"/>
      <c r="J769" s="374"/>
      <c r="K769" s="374"/>
      <c r="L769" s="374"/>
      <c r="M769" s="374"/>
      <c r="N769" s="374"/>
      <c r="O769" s="374"/>
      <c r="P769" s="374"/>
      <c r="Q769" s="374"/>
      <c r="R769" s="374"/>
      <c r="S769" s="374"/>
      <c r="T769" s="374"/>
      <c r="U769" s="374"/>
      <c r="V769" s="374"/>
      <c r="W769" s="374"/>
      <c r="X769" s="374"/>
      <c r="Y769" s="374"/>
      <c r="Z769" s="374"/>
    </row>
    <row r="770" ht="15.75" customHeight="1">
      <c r="A770" s="374"/>
      <c r="B770" s="374"/>
      <c r="C770" s="374"/>
      <c r="D770" s="374"/>
      <c r="E770" s="374"/>
      <c r="F770" s="374"/>
      <c r="G770" s="388"/>
      <c r="H770" s="388"/>
      <c r="I770" s="374"/>
      <c r="J770" s="374"/>
      <c r="K770" s="374"/>
      <c r="L770" s="374"/>
      <c r="M770" s="374"/>
      <c r="N770" s="374"/>
      <c r="O770" s="374"/>
      <c r="P770" s="374"/>
      <c r="Q770" s="374"/>
      <c r="R770" s="374"/>
      <c r="S770" s="374"/>
      <c r="T770" s="374"/>
      <c r="U770" s="374"/>
      <c r="V770" s="374"/>
      <c r="W770" s="374"/>
      <c r="X770" s="374"/>
      <c r="Y770" s="374"/>
      <c r="Z770" s="374"/>
    </row>
    <row r="771" ht="15.75" customHeight="1">
      <c r="A771" s="374"/>
      <c r="B771" s="374"/>
      <c r="C771" s="374"/>
      <c r="D771" s="374"/>
      <c r="E771" s="374"/>
      <c r="F771" s="374"/>
      <c r="G771" s="388"/>
      <c r="H771" s="388"/>
      <c r="I771" s="374"/>
      <c r="J771" s="374"/>
      <c r="K771" s="374"/>
      <c r="L771" s="374"/>
      <c r="M771" s="374"/>
      <c r="N771" s="374"/>
      <c r="O771" s="374"/>
      <c r="P771" s="374"/>
      <c r="Q771" s="374"/>
      <c r="R771" s="374"/>
      <c r="S771" s="374"/>
      <c r="T771" s="374"/>
      <c r="U771" s="374"/>
      <c r="V771" s="374"/>
      <c r="W771" s="374"/>
      <c r="X771" s="374"/>
      <c r="Y771" s="374"/>
      <c r="Z771" s="374"/>
    </row>
    <row r="772" ht="15.75" customHeight="1">
      <c r="A772" s="374"/>
      <c r="B772" s="374"/>
      <c r="C772" s="374"/>
      <c r="D772" s="374"/>
      <c r="E772" s="374"/>
      <c r="F772" s="374"/>
      <c r="G772" s="388"/>
      <c r="H772" s="388"/>
      <c r="I772" s="374"/>
      <c r="J772" s="374"/>
      <c r="K772" s="374"/>
      <c r="L772" s="374"/>
      <c r="M772" s="374"/>
      <c r="N772" s="374"/>
      <c r="O772" s="374"/>
      <c r="P772" s="374"/>
      <c r="Q772" s="374"/>
      <c r="R772" s="374"/>
      <c r="S772" s="374"/>
      <c r="T772" s="374"/>
      <c r="U772" s="374"/>
      <c r="V772" s="374"/>
      <c r="W772" s="374"/>
      <c r="X772" s="374"/>
      <c r="Y772" s="374"/>
      <c r="Z772" s="374"/>
    </row>
    <row r="773" ht="15.75" customHeight="1">
      <c r="A773" s="374"/>
      <c r="B773" s="374"/>
      <c r="C773" s="374"/>
      <c r="D773" s="374"/>
      <c r="E773" s="374"/>
      <c r="F773" s="374"/>
      <c r="G773" s="388"/>
      <c r="H773" s="388"/>
      <c r="I773" s="374"/>
      <c r="J773" s="374"/>
      <c r="K773" s="374"/>
      <c r="L773" s="374"/>
      <c r="M773" s="374"/>
      <c r="N773" s="374"/>
      <c r="O773" s="374"/>
      <c r="P773" s="374"/>
      <c r="Q773" s="374"/>
      <c r="R773" s="374"/>
      <c r="S773" s="374"/>
      <c r="T773" s="374"/>
      <c r="U773" s="374"/>
      <c r="V773" s="374"/>
      <c r="W773" s="374"/>
      <c r="X773" s="374"/>
      <c r="Y773" s="374"/>
      <c r="Z773" s="374"/>
    </row>
    <row r="774" ht="15.75" customHeight="1">
      <c r="A774" s="374"/>
      <c r="B774" s="374"/>
      <c r="C774" s="374"/>
      <c r="D774" s="374"/>
      <c r="E774" s="374"/>
      <c r="F774" s="374"/>
      <c r="G774" s="388"/>
      <c r="H774" s="388"/>
      <c r="I774" s="374"/>
      <c r="J774" s="374"/>
      <c r="K774" s="374"/>
      <c r="L774" s="374"/>
      <c r="M774" s="374"/>
      <c r="N774" s="374"/>
      <c r="O774" s="374"/>
      <c r="P774" s="374"/>
      <c r="Q774" s="374"/>
      <c r="R774" s="374"/>
      <c r="S774" s="374"/>
      <c r="T774" s="374"/>
      <c r="U774" s="374"/>
      <c r="V774" s="374"/>
      <c r="W774" s="374"/>
      <c r="X774" s="374"/>
      <c r="Y774" s="374"/>
      <c r="Z774" s="374"/>
    </row>
    <row r="775" ht="15.75" customHeight="1">
      <c r="A775" s="374"/>
      <c r="B775" s="374"/>
      <c r="C775" s="374"/>
      <c r="D775" s="374"/>
      <c r="E775" s="374"/>
      <c r="F775" s="374"/>
      <c r="G775" s="388"/>
      <c r="H775" s="388"/>
      <c r="I775" s="374"/>
      <c r="J775" s="374"/>
      <c r="K775" s="374"/>
      <c r="L775" s="374"/>
      <c r="M775" s="374"/>
      <c r="N775" s="374"/>
      <c r="O775" s="374"/>
      <c r="P775" s="374"/>
      <c r="Q775" s="374"/>
      <c r="R775" s="374"/>
      <c r="S775" s="374"/>
      <c r="T775" s="374"/>
      <c r="U775" s="374"/>
      <c r="V775" s="374"/>
      <c r="W775" s="374"/>
      <c r="X775" s="374"/>
      <c r="Y775" s="374"/>
      <c r="Z775" s="374"/>
    </row>
    <row r="776" ht="15.75" customHeight="1">
      <c r="A776" s="374"/>
      <c r="B776" s="374"/>
      <c r="C776" s="374"/>
      <c r="D776" s="374"/>
      <c r="E776" s="374"/>
      <c r="F776" s="374"/>
      <c r="G776" s="388"/>
      <c r="H776" s="388"/>
      <c r="I776" s="374"/>
      <c r="J776" s="374"/>
      <c r="K776" s="374"/>
      <c r="L776" s="374"/>
      <c r="M776" s="374"/>
      <c r="N776" s="374"/>
      <c r="O776" s="374"/>
      <c r="P776" s="374"/>
      <c r="Q776" s="374"/>
      <c r="R776" s="374"/>
      <c r="S776" s="374"/>
      <c r="T776" s="374"/>
      <c r="U776" s="374"/>
      <c r="V776" s="374"/>
      <c r="W776" s="374"/>
      <c r="X776" s="374"/>
      <c r="Y776" s="374"/>
      <c r="Z776" s="374"/>
    </row>
    <row r="777" ht="15.75" customHeight="1">
      <c r="A777" s="374"/>
      <c r="B777" s="374"/>
      <c r="C777" s="374"/>
      <c r="D777" s="374"/>
      <c r="E777" s="374"/>
      <c r="F777" s="374"/>
      <c r="G777" s="388"/>
      <c r="H777" s="388"/>
      <c r="I777" s="374"/>
      <c r="J777" s="374"/>
      <c r="K777" s="374"/>
      <c r="L777" s="374"/>
      <c r="M777" s="374"/>
      <c r="N777" s="374"/>
      <c r="O777" s="374"/>
      <c r="P777" s="374"/>
      <c r="Q777" s="374"/>
      <c r="R777" s="374"/>
      <c r="S777" s="374"/>
      <c r="T777" s="374"/>
      <c r="U777" s="374"/>
      <c r="V777" s="374"/>
      <c r="W777" s="374"/>
      <c r="X777" s="374"/>
      <c r="Y777" s="374"/>
      <c r="Z777" s="374"/>
    </row>
    <row r="778" ht="15.75" customHeight="1">
      <c r="A778" s="374"/>
      <c r="B778" s="374"/>
      <c r="C778" s="374"/>
      <c r="D778" s="374"/>
      <c r="E778" s="374"/>
      <c r="F778" s="374"/>
      <c r="G778" s="388"/>
      <c r="H778" s="388"/>
      <c r="I778" s="374"/>
      <c r="J778" s="374"/>
      <c r="K778" s="374"/>
      <c r="L778" s="374"/>
      <c r="M778" s="374"/>
      <c r="N778" s="374"/>
      <c r="O778" s="374"/>
      <c r="P778" s="374"/>
      <c r="Q778" s="374"/>
      <c r="R778" s="374"/>
      <c r="S778" s="374"/>
      <c r="T778" s="374"/>
      <c r="U778" s="374"/>
      <c r="V778" s="374"/>
      <c r="W778" s="374"/>
      <c r="X778" s="374"/>
      <c r="Y778" s="374"/>
      <c r="Z778" s="374"/>
    </row>
    <row r="779" ht="15.75" customHeight="1">
      <c r="A779" s="374"/>
      <c r="B779" s="374"/>
      <c r="C779" s="374"/>
      <c r="D779" s="374"/>
      <c r="E779" s="374"/>
      <c r="F779" s="374"/>
      <c r="G779" s="388"/>
      <c r="H779" s="388"/>
      <c r="I779" s="374"/>
      <c r="J779" s="374"/>
      <c r="K779" s="374"/>
      <c r="L779" s="374"/>
      <c r="M779" s="374"/>
      <c r="N779" s="374"/>
      <c r="O779" s="374"/>
      <c r="P779" s="374"/>
      <c r="Q779" s="374"/>
      <c r="R779" s="374"/>
      <c r="S779" s="374"/>
      <c r="T779" s="374"/>
      <c r="U779" s="374"/>
      <c r="V779" s="374"/>
      <c r="W779" s="374"/>
      <c r="X779" s="374"/>
      <c r="Y779" s="374"/>
      <c r="Z779" s="374"/>
    </row>
    <row r="780" ht="15.75" customHeight="1">
      <c r="A780" s="374"/>
      <c r="B780" s="374"/>
      <c r="C780" s="374"/>
      <c r="D780" s="374"/>
      <c r="E780" s="374"/>
      <c r="F780" s="374"/>
      <c r="G780" s="388"/>
      <c r="H780" s="388"/>
      <c r="I780" s="374"/>
      <c r="J780" s="374"/>
      <c r="K780" s="374"/>
      <c r="L780" s="374"/>
      <c r="M780" s="374"/>
      <c r="N780" s="374"/>
      <c r="O780" s="374"/>
      <c r="P780" s="374"/>
      <c r="Q780" s="374"/>
      <c r="R780" s="374"/>
      <c r="S780" s="374"/>
      <c r="T780" s="374"/>
      <c r="U780" s="374"/>
      <c r="V780" s="374"/>
      <c r="W780" s="374"/>
      <c r="X780" s="374"/>
      <c r="Y780" s="374"/>
      <c r="Z780" s="374"/>
    </row>
    <row r="781" ht="15.75" customHeight="1">
      <c r="A781" s="374"/>
      <c r="B781" s="374"/>
      <c r="C781" s="374"/>
      <c r="D781" s="374"/>
      <c r="E781" s="374"/>
      <c r="F781" s="374"/>
      <c r="G781" s="388"/>
      <c r="H781" s="388"/>
      <c r="I781" s="374"/>
      <c r="J781" s="374"/>
      <c r="K781" s="374"/>
      <c r="L781" s="374"/>
      <c r="M781" s="374"/>
      <c r="N781" s="374"/>
      <c r="O781" s="374"/>
      <c r="P781" s="374"/>
      <c r="Q781" s="374"/>
      <c r="R781" s="374"/>
      <c r="S781" s="374"/>
      <c r="T781" s="374"/>
      <c r="U781" s="374"/>
      <c r="V781" s="374"/>
      <c r="W781" s="374"/>
      <c r="X781" s="374"/>
      <c r="Y781" s="374"/>
      <c r="Z781" s="374"/>
    </row>
    <row r="782" ht="15.75" customHeight="1">
      <c r="A782" s="374"/>
      <c r="B782" s="374"/>
      <c r="C782" s="374"/>
      <c r="D782" s="374"/>
      <c r="E782" s="374"/>
      <c r="F782" s="374"/>
      <c r="G782" s="388"/>
      <c r="H782" s="388"/>
      <c r="I782" s="374"/>
      <c r="J782" s="374"/>
      <c r="K782" s="374"/>
      <c r="L782" s="374"/>
      <c r="M782" s="374"/>
      <c r="N782" s="374"/>
      <c r="O782" s="374"/>
      <c r="P782" s="374"/>
      <c r="Q782" s="374"/>
      <c r="R782" s="374"/>
      <c r="S782" s="374"/>
      <c r="T782" s="374"/>
      <c r="U782" s="374"/>
      <c r="V782" s="374"/>
      <c r="W782" s="374"/>
      <c r="X782" s="374"/>
      <c r="Y782" s="374"/>
      <c r="Z782" s="374"/>
    </row>
    <row r="783" ht="15.75" customHeight="1">
      <c r="A783" s="374"/>
      <c r="B783" s="374"/>
      <c r="C783" s="374"/>
      <c r="D783" s="374"/>
      <c r="E783" s="374"/>
      <c r="F783" s="374"/>
      <c r="G783" s="388"/>
      <c r="H783" s="388"/>
      <c r="I783" s="374"/>
      <c r="J783" s="374"/>
      <c r="K783" s="374"/>
      <c r="L783" s="374"/>
      <c r="M783" s="374"/>
      <c r="N783" s="374"/>
      <c r="O783" s="374"/>
      <c r="P783" s="374"/>
      <c r="Q783" s="374"/>
      <c r="R783" s="374"/>
      <c r="S783" s="374"/>
      <c r="T783" s="374"/>
      <c r="U783" s="374"/>
      <c r="V783" s="374"/>
      <c r="W783" s="374"/>
      <c r="X783" s="374"/>
      <c r="Y783" s="374"/>
      <c r="Z783" s="374"/>
    </row>
    <row r="784" ht="15.75" customHeight="1">
      <c r="A784" s="374"/>
      <c r="B784" s="374"/>
      <c r="C784" s="374"/>
      <c r="D784" s="374"/>
      <c r="E784" s="374"/>
      <c r="F784" s="374"/>
      <c r="G784" s="388"/>
      <c r="H784" s="388"/>
      <c r="I784" s="374"/>
      <c r="J784" s="374"/>
      <c r="K784" s="374"/>
      <c r="L784" s="374"/>
      <c r="M784" s="374"/>
      <c r="N784" s="374"/>
      <c r="O784" s="374"/>
      <c r="P784" s="374"/>
      <c r="Q784" s="374"/>
      <c r="R784" s="374"/>
      <c r="S784" s="374"/>
      <c r="T784" s="374"/>
      <c r="U784" s="374"/>
      <c r="V784" s="374"/>
      <c r="W784" s="374"/>
      <c r="X784" s="374"/>
      <c r="Y784" s="374"/>
      <c r="Z784" s="374"/>
    </row>
    <row r="785" ht="15.75" customHeight="1">
      <c r="A785" s="374"/>
      <c r="B785" s="374"/>
      <c r="C785" s="374"/>
      <c r="D785" s="374"/>
      <c r="E785" s="374"/>
      <c r="F785" s="374"/>
      <c r="G785" s="388"/>
      <c r="H785" s="388"/>
      <c r="I785" s="374"/>
      <c r="J785" s="374"/>
      <c r="K785" s="374"/>
      <c r="L785" s="374"/>
      <c r="M785" s="374"/>
      <c r="N785" s="374"/>
      <c r="O785" s="374"/>
      <c r="P785" s="374"/>
      <c r="Q785" s="374"/>
      <c r="R785" s="374"/>
      <c r="S785" s="374"/>
      <c r="T785" s="374"/>
      <c r="U785" s="374"/>
      <c r="V785" s="374"/>
      <c r="W785" s="374"/>
      <c r="X785" s="374"/>
      <c r="Y785" s="374"/>
      <c r="Z785" s="374"/>
    </row>
    <row r="786" ht="15.75" customHeight="1">
      <c r="A786" s="374"/>
      <c r="B786" s="374"/>
      <c r="C786" s="374"/>
      <c r="D786" s="374"/>
      <c r="E786" s="374"/>
      <c r="F786" s="374"/>
      <c r="G786" s="388"/>
      <c r="H786" s="388"/>
      <c r="I786" s="374"/>
      <c r="J786" s="374"/>
      <c r="K786" s="374"/>
      <c r="L786" s="374"/>
      <c r="M786" s="374"/>
      <c r="N786" s="374"/>
      <c r="O786" s="374"/>
      <c r="P786" s="374"/>
      <c r="Q786" s="374"/>
      <c r="R786" s="374"/>
      <c r="S786" s="374"/>
      <c r="T786" s="374"/>
      <c r="U786" s="374"/>
      <c r="V786" s="374"/>
      <c r="W786" s="374"/>
      <c r="X786" s="374"/>
      <c r="Y786" s="374"/>
      <c r="Z786" s="374"/>
    </row>
    <row r="787" ht="15.75" customHeight="1">
      <c r="A787" s="374"/>
      <c r="B787" s="374"/>
      <c r="C787" s="374"/>
      <c r="D787" s="374"/>
      <c r="E787" s="374"/>
      <c r="F787" s="374"/>
      <c r="G787" s="388"/>
      <c r="H787" s="388"/>
      <c r="I787" s="374"/>
      <c r="J787" s="374"/>
      <c r="K787" s="374"/>
      <c r="L787" s="374"/>
      <c r="M787" s="374"/>
      <c r="N787" s="374"/>
      <c r="O787" s="374"/>
      <c r="P787" s="374"/>
      <c r="Q787" s="374"/>
      <c r="R787" s="374"/>
      <c r="S787" s="374"/>
      <c r="T787" s="374"/>
      <c r="U787" s="374"/>
      <c r="V787" s="374"/>
      <c r="W787" s="374"/>
      <c r="X787" s="374"/>
      <c r="Y787" s="374"/>
      <c r="Z787" s="374"/>
    </row>
    <row r="788" ht="15.75" customHeight="1">
      <c r="A788" s="374"/>
      <c r="B788" s="374"/>
      <c r="C788" s="374"/>
      <c r="D788" s="374"/>
      <c r="E788" s="374"/>
      <c r="F788" s="374"/>
      <c r="G788" s="388"/>
      <c r="H788" s="388"/>
      <c r="I788" s="374"/>
      <c r="J788" s="374"/>
      <c r="K788" s="374"/>
      <c r="L788" s="374"/>
      <c r="M788" s="374"/>
      <c r="N788" s="374"/>
      <c r="O788" s="374"/>
      <c r="P788" s="374"/>
      <c r="Q788" s="374"/>
      <c r="R788" s="374"/>
      <c r="S788" s="374"/>
      <c r="T788" s="374"/>
      <c r="U788" s="374"/>
      <c r="V788" s="374"/>
      <c r="W788" s="374"/>
      <c r="X788" s="374"/>
      <c r="Y788" s="374"/>
      <c r="Z788" s="374"/>
    </row>
    <row r="789" ht="15.75" customHeight="1">
      <c r="A789" s="374"/>
      <c r="B789" s="374"/>
      <c r="C789" s="374"/>
      <c r="D789" s="374"/>
      <c r="E789" s="374"/>
      <c r="F789" s="374"/>
      <c r="G789" s="388"/>
      <c r="H789" s="388"/>
      <c r="I789" s="374"/>
      <c r="J789" s="374"/>
      <c r="K789" s="374"/>
      <c r="L789" s="374"/>
      <c r="M789" s="374"/>
      <c r="N789" s="374"/>
      <c r="O789" s="374"/>
      <c r="P789" s="374"/>
      <c r="Q789" s="374"/>
      <c r="R789" s="374"/>
      <c r="S789" s="374"/>
      <c r="T789" s="374"/>
      <c r="U789" s="374"/>
      <c r="V789" s="374"/>
      <c r="W789" s="374"/>
      <c r="X789" s="374"/>
      <c r="Y789" s="374"/>
      <c r="Z789" s="374"/>
    </row>
    <row r="790" ht="15.75" customHeight="1">
      <c r="A790" s="374"/>
      <c r="B790" s="374"/>
      <c r="C790" s="374"/>
      <c r="D790" s="374"/>
      <c r="E790" s="374"/>
      <c r="F790" s="374"/>
      <c r="G790" s="388"/>
      <c r="H790" s="388"/>
      <c r="I790" s="374"/>
      <c r="J790" s="374"/>
      <c r="K790" s="374"/>
      <c r="L790" s="374"/>
      <c r="M790" s="374"/>
      <c r="N790" s="374"/>
      <c r="O790" s="374"/>
      <c r="P790" s="374"/>
      <c r="Q790" s="374"/>
      <c r="R790" s="374"/>
      <c r="S790" s="374"/>
      <c r="T790" s="374"/>
      <c r="U790" s="374"/>
      <c r="V790" s="374"/>
      <c r="W790" s="374"/>
      <c r="X790" s="374"/>
      <c r="Y790" s="374"/>
      <c r="Z790" s="374"/>
    </row>
    <row r="791" ht="15.75" customHeight="1">
      <c r="A791" s="374"/>
      <c r="B791" s="374"/>
      <c r="C791" s="374"/>
      <c r="D791" s="374"/>
      <c r="E791" s="374"/>
      <c r="F791" s="374"/>
      <c r="G791" s="388"/>
      <c r="H791" s="388"/>
      <c r="I791" s="374"/>
      <c r="J791" s="374"/>
      <c r="K791" s="374"/>
      <c r="L791" s="374"/>
      <c r="M791" s="374"/>
      <c r="N791" s="374"/>
      <c r="O791" s="374"/>
      <c r="P791" s="374"/>
      <c r="Q791" s="374"/>
      <c r="R791" s="374"/>
      <c r="S791" s="374"/>
      <c r="T791" s="374"/>
      <c r="U791" s="374"/>
      <c r="V791" s="374"/>
      <c r="W791" s="374"/>
      <c r="X791" s="374"/>
      <c r="Y791" s="374"/>
      <c r="Z791" s="374"/>
    </row>
    <row r="792" ht="15.75" customHeight="1">
      <c r="A792" s="374"/>
      <c r="B792" s="374"/>
      <c r="C792" s="374"/>
      <c r="D792" s="374"/>
      <c r="E792" s="374"/>
      <c r="F792" s="374"/>
      <c r="G792" s="388"/>
      <c r="H792" s="388"/>
      <c r="I792" s="374"/>
      <c r="J792" s="374"/>
      <c r="K792" s="374"/>
      <c r="L792" s="374"/>
      <c r="M792" s="374"/>
      <c r="N792" s="374"/>
      <c r="O792" s="374"/>
      <c r="P792" s="374"/>
      <c r="Q792" s="374"/>
      <c r="R792" s="374"/>
      <c r="S792" s="374"/>
      <c r="T792" s="374"/>
      <c r="U792" s="374"/>
      <c r="V792" s="374"/>
      <c r="W792" s="374"/>
      <c r="X792" s="374"/>
      <c r="Y792" s="374"/>
      <c r="Z792" s="374"/>
    </row>
    <row r="793" ht="15.75" customHeight="1">
      <c r="A793" s="374"/>
      <c r="B793" s="374"/>
      <c r="C793" s="374"/>
      <c r="D793" s="374"/>
      <c r="E793" s="374"/>
      <c r="F793" s="374"/>
      <c r="G793" s="388"/>
      <c r="H793" s="388"/>
      <c r="I793" s="374"/>
      <c r="J793" s="374"/>
      <c r="K793" s="374"/>
      <c r="L793" s="374"/>
      <c r="M793" s="374"/>
      <c r="N793" s="374"/>
      <c r="O793" s="374"/>
      <c r="P793" s="374"/>
      <c r="Q793" s="374"/>
      <c r="R793" s="374"/>
      <c r="S793" s="374"/>
      <c r="T793" s="374"/>
      <c r="U793" s="374"/>
      <c r="V793" s="374"/>
      <c r="W793" s="374"/>
      <c r="X793" s="374"/>
      <c r="Y793" s="374"/>
      <c r="Z793" s="374"/>
    </row>
    <row r="794" ht="15.75" customHeight="1">
      <c r="A794" s="374"/>
      <c r="B794" s="374"/>
      <c r="C794" s="374"/>
      <c r="D794" s="374"/>
      <c r="E794" s="374"/>
      <c r="F794" s="374"/>
      <c r="G794" s="388"/>
      <c r="H794" s="388"/>
      <c r="I794" s="374"/>
      <c r="J794" s="374"/>
      <c r="K794" s="374"/>
      <c r="L794" s="374"/>
      <c r="M794" s="374"/>
      <c r="N794" s="374"/>
      <c r="O794" s="374"/>
      <c r="P794" s="374"/>
      <c r="Q794" s="374"/>
      <c r="R794" s="374"/>
      <c r="S794" s="374"/>
      <c r="T794" s="374"/>
      <c r="U794" s="374"/>
      <c r="V794" s="374"/>
      <c r="W794" s="374"/>
      <c r="X794" s="374"/>
      <c r="Y794" s="374"/>
      <c r="Z794" s="374"/>
    </row>
    <row r="795" ht="15.75" customHeight="1">
      <c r="A795" s="374"/>
      <c r="B795" s="374"/>
      <c r="C795" s="374"/>
      <c r="D795" s="374"/>
      <c r="E795" s="374"/>
      <c r="F795" s="374"/>
      <c r="G795" s="388"/>
      <c r="H795" s="388"/>
      <c r="I795" s="374"/>
      <c r="J795" s="374"/>
      <c r="K795" s="374"/>
      <c r="L795" s="374"/>
      <c r="M795" s="374"/>
      <c r="N795" s="374"/>
      <c r="O795" s="374"/>
      <c r="P795" s="374"/>
      <c r="Q795" s="374"/>
      <c r="R795" s="374"/>
      <c r="S795" s="374"/>
      <c r="T795" s="374"/>
      <c r="U795" s="374"/>
      <c r="V795" s="374"/>
      <c r="W795" s="374"/>
      <c r="X795" s="374"/>
      <c r="Y795" s="374"/>
      <c r="Z795" s="374"/>
    </row>
    <row r="796" ht="15.75" customHeight="1">
      <c r="A796" s="374"/>
      <c r="B796" s="374"/>
      <c r="C796" s="374"/>
      <c r="D796" s="374"/>
      <c r="E796" s="374"/>
      <c r="F796" s="374"/>
      <c r="G796" s="388"/>
      <c r="H796" s="388"/>
      <c r="I796" s="374"/>
      <c r="J796" s="374"/>
      <c r="K796" s="374"/>
      <c r="L796" s="374"/>
      <c r="M796" s="374"/>
      <c r="N796" s="374"/>
      <c r="O796" s="374"/>
      <c r="P796" s="374"/>
      <c r="Q796" s="374"/>
      <c r="R796" s="374"/>
      <c r="S796" s="374"/>
      <c r="T796" s="374"/>
      <c r="U796" s="374"/>
      <c r="V796" s="374"/>
      <c r="W796" s="374"/>
      <c r="X796" s="374"/>
      <c r="Y796" s="374"/>
      <c r="Z796" s="374"/>
    </row>
    <row r="797" ht="15.75" customHeight="1">
      <c r="A797" s="374"/>
      <c r="B797" s="374"/>
      <c r="C797" s="374"/>
      <c r="D797" s="374"/>
      <c r="E797" s="374"/>
      <c r="F797" s="374"/>
      <c r="G797" s="388"/>
      <c r="H797" s="388"/>
      <c r="I797" s="374"/>
      <c r="J797" s="374"/>
      <c r="K797" s="374"/>
      <c r="L797" s="374"/>
      <c r="M797" s="374"/>
      <c r="N797" s="374"/>
      <c r="O797" s="374"/>
      <c r="P797" s="374"/>
      <c r="Q797" s="374"/>
      <c r="R797" s="374"/>
      <c r="S797" s="374"/>
      <c r="T797" s="374"/>
      <c r="U797" s="374"/>
      <c r="V797" s="374"/>
      <c r="W797" s="374"/>
      <c r="X797" s="374"/>
      <c r="Y797" s="374"/>
      <c r="Z797" s="374"/>
    </row>
    <row r="798" ht="15.75" customHeight="1">
      <c r="A798" s="374"/>
      <c r="B798" s="374"/>
      <c r="C798" s="374"/>
      <c r="D798" s="374"/>
      <c r="E798" s="374"/>
      <c r="F798" s="374"/>
      <c r="G798" s="388"/>
      <c r="H798" s="388"/>
      <c r="I798" s="374"/>
      <c r="J798" s="374"/>
      <c r="K798" s="374"/>
      <c r="L798" s="374"/>
      <c r="M798" s="374"/>
      <c r="N798" s="374"/>
      <c r="O798" s="374"/>
      <c r="P798" s="374"/>
      <c r="Q798" s="374"/>
      <c r="R798" s="374"/>
      <c r="S798" s="374"/>
      <c r="T798" s="374"/>
      <c r="U798" s="374"/>
      <c r="V798" s="374"/>
      <c r="W798" s="374"/>
      <c r="X798" s="374"/>
      <c r="Y798" s="374"/>
      <c r="Z798" s="374"/>
    </row>
    <row r="799" ht="15.75" customHeight="1">
      <c r="A799" s="374"/>
      <c r="B799" s="374"/>
      <c r="C799" s="374"/>
      <c r="D799" s="374"/>
      <c r="E799" s="374"/>
      <c r="F799" s="374"/>
      <c r="G799" s="388"/>
      <c r="H799" s="388"/>
      <c r="I799" s="374"/>
      <c r="J799" s="374"/>
      <c r="K799" s="374"/>
      <c r="L799" s="374"/>
      <c r="M799" s="374"/>
      <c r="N799" s="374"/>
      <c r="O799" s="374"/>
      <c r="P799" s="374"/>
      <c r="Q799" s="374"/>
      <c r="R799" s="374"/>
      <c r="S799" s="374"/>
      <c r="T799" s="374"/>
      <c r="U799" s="374"/>
      <c r="V799" s="374"/>
      <c r="W799" s="374"/>
      <c r="X799" s="374"/>
      <c r="Y799" s="374"/>
      <c r="Z799" s="374"/>
    </row>
    <row r="800" ht="15.75" customHeight="1">
      <c r="A800" s="374"/>
      <c r="B800" s="374"/>
      <c r="C800" s="374"/>
      <c r="D800" s="374"/>
      <c r="E800" s="374"/>
      <c r="F800" s="374"/>
      <c r="G800" s="388"/>
      <c r="H800" s="388"/>
      <c r="I800" s="374"/>
      <c r="J800" s="374"/>
      <c r="K800" s="374"/>
      <c r="L800" s="374"/>
      <c r="M800" s="374"/>
      <c r="N800" s="374"/>
      <c r="O800" s="374"/>
      <c r="P800" s="374"/>
      <c r="Q800" s="374"/>
      <c r="R800" s="374"/>
      <c r="S800" s="374"/>
      <c r="T800" s="374"/>
      <c r="U800" s="374"/>
      <c r="V800" s="374"/>
      <c r="W800" s="374"/>
      <c r="X800" s="374"/>
      <c r="Y800" s="374"/>
      <c r="Z800" s="374"/>
    </row>
    <row r="801" ht="15.75" customHeight="1">
      <c r="A801" s="374"/>
      <c r="B801" s="374"/>
      <c r="C801" s="374"/>
      <c r="D801" s="374"/>
      <c r="E801" s="374"/>
      <c r="F801" s="374"/>
      <c r="G801" s="388"/>
      <c r="H801" s="388"/>
      <c r="I801" s="374"/>
      <c r="J801" s="374"/>
      <c r="K801" s="374"/>
      <c r="L801" s="374"/>
      <c r="M801" s="374"/>
      <c r="N801" s="374"/>
      <c r="O801" s="374"/>
      <c r="P801" s="374"/>
      <c r="Q801" s="374"/>
      <c r="R801" s="374"/>
      <c r="S801" s="374"/>
      <c r="T801" s="374"/>
      <c r="U801" s="374"/>
      <c r="V801" s="374"/>
      <c r="W801" s="374"/>
      <c r="X801" s="374"/>
      <c r="Y801" s="374"/>
      <c r="Z801" s="374"/>
    </row>
    <row r="802" ht="15.75" customHeight="1">
      <c r="A802" s="374"/>
      <c r="B802" s="374"/>
      <c r="C802" s="374"/>
      <c r="D802" s="374"/>
      <c r="E802" s="374"/>
      <c r="F802" s="374"/>
      <c r="G802" s="388"/>
      <c r="H802" s="388"/>
      <c r="I802" s="374"/>
      <c r="J802" s="374"/>
      <c r="K802" s="374"/>
      <c r="L802" s="374"/>
      <c r="M802" s="374"/>
      <c r="N802" s="374"/>
      <c r="O802" s="374"/>
      <c r="P802" s="374"/>
      <c r="Q802" s="374"/>
      <c r="R802" s="374"/>
      <c r="S802" s="374"/>
      <c r="T802" s="374"/>
      <c r="U802" s="374"/>
      <c r="V802" s="374"/>
      <c r="W802" s="374"/>
      <c r="X802" s="374"/>
      <c r="Y802" s="374"/>
      <c r="Z802" s="374"/>
    </row>
    <row r="803" ht="15.75" customHeight="1">
      <c r="A803" s="374"/>
      <c r="B803" s="374"/>
      <c r="C803" s="374"/>
      <c r="D803" s="374"/>
      <c r="E803" s="374"/>
      <c r="F803" s="374"/>
      <c r="G803" s="388"/>
      <c r="H803" s="388"/>
      <c r="I803" s="374"/>
      <c r="J803" s="374"/>
      <c r="K803" s="374"/>
      <c r="L803" s="374"/>
      <c r="M803" s="374"/>
      <c r="N803" s="374"/>
      <c r="O803" s="374"/>
      <c r="P803" s="374"/>
      <c r="Q803" s="374"/>
      <c r="R803" s="374"/>
      <c r="S803" s="374"/>
      <c r="T803" s="374"/>
      <c r="U803" s="374"/>
      <c r="V803" s="374"/>
      <c r="W803" s="374"/>
      <c r="X803" s="374"/>
      <c r="Y803" s="374"/>
      <c r="Z803" s="374"/>
    </row>
    <row r="804" ht="15.75" customHeight="1">
      <c r="A804" s="374"/>
      <c r="B804" s="374"/>
      <c r="C804" s="374"/>
      <c r="D804" s="374"/>
      <c r="E804" s="374"/>
      <c r="F804" s="374"/>
      <c r="G804" s="388"/>
      <c r="H804" s="388"/>
      <c r="I804" s="374"/>
      <c r="J804" s="374"/>
      <c r="K804" s="374"/>
      <c r="L804" s="374"/>
      <c r="M804" s="374"/>
      <c r="N804" s="374"/>
      <c r="O804" s="374"/>
      <c r="P804" s="374"/>
      <c r="Q804" s="374"/>
      <c r="R804" s="374"/>
      <c r="S804" s="374"/>
      <c r="T804" s="374"/>
      <c r="U804" s="374"/>
      <c r="V804" s="374"/>
      <c r="W804" s="374"/>
      <c r="X804" s="374"/>
      <c r="Y804" s="374"/>
      <c r="Z804" s="374"/>
    </row>
    <row r="805" ht="15.75" customHeight="1">
      <c r="A805" s="374"/>
      <c r="B805" s="374"/>
      <c r="C805" s="374"/>
      <c r="D805" s="374"/>
      <c r="E805" s="374"/>
      <c r="F805" s="374"/>
      <c r="G805" s="388"/>
      <c r="H805" s="388"/>
      <c r="I805" s="374"/>
      <c r="J805" s="374"/>
      <c r="K805" s="374"/>
      <c r="L805" s="374"/>
      <c r="M805" s="374"/>
      <c r="N805" s="374"/>
      <c r="O805" s="374"/>
      <c r="P805" s="374"/>
      <c r="Q805" s="374"/>
      <c r="R805" s="374"/>
      <c r="S805" s="374"/>
      <c r="T805" s="374"/>
      <c r="U805" s="374"/>
      <c r="V805" s="374"/>
      <c r="W805" s="374"/>
      <c r="X805" s="374"/>
      <c r="Y805" s="374"/>
      <c r="Z805" s="374"/>
    </row>
    <row r="806" ht="15.75" customHeight="1">
      <c r="A806" s="374"/>
      <c r="B806" s="374"/>
      <c r="C806" s="374"/>
      <c r="D806" s="374"/>
      <c r="E806" s="374"/>
      <c r="F806" s="374"/>
      <c r="G806" s="388"/>
      <c r="H806" s="388"/>
      <c r="I806" s="374"/>
      <c r="J806" s="374"/>
      <c r="K806" s="374"/>
      <c r="L806" s="374"/>
      <c r="M806" s="374"/>
      <c r="N806" s="374"/>
      <c r="O806" s="374"/>
      <c r="P806" s="374"/>
      <c r="Q806" s="374"/>
      <c r="R806" s="374"/>
      <c r="S806" s="374"/>
      <c r="T806" s="374"/>
      <c r="U806" s="374"/>
      <c r="V806" s="374"/>
      <c r="W806" s="374"/>
      <c r="X806" s="374"/>
      <c r="Y806" s="374"/>
      <c r="Z806" s="374"/>
    </row>
    <row r="807" ht="15.75" customHeight="1">
      <c r="A807" s="374"/>
      <c r="B807" s="374"/>
      <c r="C807" s="374"/>
      <c r="D807" s="374"/>
      <c r="E807" s="374"/>
      <c r="F807" s="374"/>
      <c r="G807" s="388"/>
      <c r="H807" s="388"/>
      <c r="I807" s="374"/>
      <c r="J807" s="374"/>
      <c r="K807" s="374"/>
      <c r="L807" s="374"/>
      <c r="M807" s="374"/>
      <c r="N807" s="374"/>
      <c r="O807" s="374"/>
      <c r="P807" s="374"/>
      <c r="Q807" s="374"/>
      <c r="R807" s="374"/>
      <c r="S807" s="374"/>
      <c r="T807" s="374"/>
      <c r="U807" s="374"/>
      <c r="V807" s="374"/>
      <c r="W807" s="374"/>
      <c r="X807" s="374"/>
      <c r="Y807" s="374"/>
      <c r="Z807" s="374"/>
    </row>
    <row r="808" ht="15.75" customHeight="1">
      <c r="A808" s="374"/>
      <c r="B808" s="374"/>
      <c r="C808" s="374"/>
      <c r="D808" s="374"/>
      <c r="E808" s="374"/>
      <c r="F808" s="374"/>
      <c r="G808" s="388"/>
      <c r="H808" s="388"/>
      <c r="I808" s="374"/>
      <c r="J808" s="374"/>
      <c r="K808" s="374"/>
      <c r="L808" s="374"/>
      <c r="M808" s="374"/>
      <c r="N808" s="374"/>
      <c r="O808" s="374"/>
      <c r="P808" s="374"/>
      <c r="Q808" s="374"/>
      <c r="R808" s="374"/>
      <c r="S808" s="374"/>
      <c r="T808" s="374"/>
      <c r="U808" s="374"/>
      <c r="V808" s="374"/>
      <c r="W808" s="374"/>
      <c r="X808" s="374"/>
      <c r="Y808" s="374"/>
      <c r="Z808" s="374"/>
    </row>
    <row r="809" ht="15.75" customHeight="1">
      <c r="A809" s="374"/>
      <c r="B809" s="374"/>
      <c r="C809" s="374"/>
      <c r="D809" s="374"/>
      <c r="E809" s="374"/>
      <c r="F809" s="374"/>
      <c r="G809" s="388"/>
      <c r="H809" s="388"/>
      <c r="I809" s="374"/>
      <c r="J809" s="374"/>
      <c r="K809" s="374"/>
      <c r="L809" s="374"/>
      <c r="M809" s="374"/>
      <c r="N809" s="374"/>
      <c r="O809" s="374"/>
      <c r="P809" s="374"/>
      <c r="Q809" s="374"/>
      <c r="R809" s="374"/>
      <c r="S809" s="374"/>
      <c r="T809" s="374"/>
      <c r="U809" s="374"/>
      <c r="V809" s="374"/>
      <c r="W809" s="374"/>
      <c r="X809" s="374"/>
      <c r="Y809" s="374"/>
      <c r="Z809" s="374"/>
    </row>
    <row r="810" ht="15.75" customHeight="1">
      <c r="A810" s="374"/>
      <c r="B810" s="374"/>
      <c r="C810" s="374"/>
      <c r="D810" s="374"/>
      <c r="E810" s="374"/>
      <c r="F810" s="374"/>
      <c r="G810" s="388"/>
      <c r="H810" s="388"/>
      <c r="I810" s="374"/>
      <c r="J810" s="374"/>
      <c r="K810" s="374"/>
      <c r="L810" s="374"/>
      <c r="M810" s="374"/>
      <c r="N810" s="374"/>
      <c r="O810" s="374"/>
      <c r="P810" s="374"/>
      <c r="Q810" s="374"/>
      <c r="R810" s="374"/>
      <c r="S810" s="374"/>
      <c r="T810" s="374"/>
      <c r="U810" s="374"/>
      <c r="V810" s="374"/>
      <c r="W810" s="374"/>
      <c r="X810" s="374"/>
      <c r="Y810" s="374"/>
      <c r="Z810" s="374"/>
    </row>
    <row r="811" ht="15.75" customHeight="1">
      <c r="A811" s="374"/>
      <c r="B811" s="374"/>
      <c r="C811" s="374"/>
      <c r="D811" s="374"/>
      <c r="E811" s="374"/>
      <c r="F811" s="374"/>
      <c r="G811" s="388"/>
      <c r="H811" s="388"/>
      <c r="I811" s="374"/>
      <c r="J811" s="374"/>
      <c r="K811" s="374"/>
      <c r="L811" s="374"/>
      <c r="M811" s="374"/>
      <c r="N811" s="374"/>
      <c r="O811" s="374"/>
      <c r="P811" s="374"/>
      <c r="Q811" s="374"/>
      <c r="R811" s="374"/>
      <c r="S811" s="374"/>
      <c r="T811" s="374"/>
      <c r="U811" s="374"/>
      <c r="V811" s="374"/>
      <c r="W811" s="374"/>
      <c r="X811" s="374"/>
      <c r="Y811" s="374"/>
      <c r="Z811" s="374"/>
    </row>
    <row r="812" ht="15.75" customHeight="1">
      <c r="A812" s="374"/>
      <c r="B812" s="374"/>
      <c r="C812" s="374"/>
      <c r="D812" s="374"/>
      <c r="E812" s="374"/>
      <c r="F812" s="374"/>
      <c r="G812" s="388"/>
      <c r="H812" s="388"/>
      <c r="I812" s="374"/>
      <c r="J812" s="374"/>
      <c r="K812" s="374"/>
      <c r="L812" s="374"/>
      <c r="M812" s="374"/>
      <c r="N812" s="374"/>
      <c r="O812" s="374"/>
      <c r="P812" s="374"/>
      <c r="Q812" s="374"/>
      <c r="R812" s="374"/>
      <c r="S812" s="374"/>
      <c r="T812" s="374"/>
      <c r="U812" s="374"/>
      <c r="V812" s="374"/>
      <c r="W812" s="374"/>
      <c r="X812" s="374"/>
      <c r="Y812" s="374"/>
      <c r="Z812" s="374"/>
    </row>
    <row r="813" ht="15.75" customHeight="1">
      <c r="A813" s="374"/>
      <c r="B813" s="374"/>
      <c r="C813" s="374"/>
      <c r="D813" s="374"/>
      <c r="E813" s="374"/>
      <c r="F813" s="374"/>
      <c r="G813" s="388"/>
      <c r="H813" s="388"/>
      <c r="I813" s="374"/>
      <c r="J813" s="374"/>
      <c r="K813" s="374"/>
      <c r="L813" s="374"/>
      <c r="M813" s="374"/>
      <c r="N813" s="374"/>
      <c r="O813" s="374"/>
      <c r="P813" s="374"/>
      <c r="Q813" s="374"/>
      <c r="R813" s="374"/>
      <c r="S813" s="374"/>
      <c r="T813" s="374"/>
      <c r="U813" s="374"/>
      <c r="V813" s="374"/>
      <c r="W813" s="374"/>
      <c r="X813" s="374"/>
      <c r="Y813" s="374"/>
      <c r="Z813" s="374"/>
    </row>
    <row r="814" ht="15.75" customHeight="1">
      <c r="A814" s="374"/>
      <c r="B814" s="374"/>
      <c r="C814" s="374"/>
      <c r="D814" s="374"/>
      <c r="E814" s="374"/>
      <c r="F814" s="374"/>
      <c r="G814" s="388"/>
      <c r="H814" s="388"/>
      <c r="I814" s="374"/>
      <c r="J814" s="374"/>
      <c r="K814" s="374"/>
      <c r="L814" s="374"/>
      <c r="M814" s="374"/>
      <c r="N814" s="374"/>
      <c r="O814" s="374"/>
      <c r="P814" s="374"/>
      <c r="Q814" s="374"/>
      <c r="R814" s="374"/>
      <c r="S814" s="374"/>
      <c r="T814" s="374"/>
      <c r="U814" s="374"/>
      <c r="V814" s="374"/>
      <c r="W814" s="374"/>
      <c r="X814" s="374"/>
      <c r="Y814" s="374"/>
      <c r="Z814" s="374"/>
    </row>
    <row r="815" ht="15.75" customHeight="1">
      <c r="A815" s="374"/>
      <c r="B815" s="374"/>
      <c r="C815" s="374"/>
      <c r="D815" s="374"/>
      <c r="E815" s="374"/>
      <c r="F815" s="374"/>
      <c r="G815" s="388"/>
      <c r="H815" s="388"/>
      <c r="I815" s="374"/>
      <c r="J815" s="374"/>
      <c r="K815" s="374"/>
      <c r="L815" s="374"/>
      <c r="M815" s="374"/>
      <c r="N815" s="374"/>
      <c r="O815" s="374"/>
      <c r="P815" s="374"/>
      <c r="Q815" s="374"/>
      <c r="R815" s="374"/>
      <c r="S815" s="374"/>
      <c r="T815" s="374"/>
      <c r="U815" s="374"/>
      <c r="V815" s="374"/>
      <c r="W815" s="374"/>
      <c r="X815" s="374"/>
      <c r="Y815" s="374"/>
      <c r="Z815" s="374"/>
    </row>
    <row r="816" ht="15.75" customHeight="1">
      <c r="A816" s="374"/>
      <c r="B816" s="374"/>
      <c r="C816" s="374"/>
      <c r="D816" s="374"/>
      <c r="E816" s="374"/>
      <c r="F816" s="374"/>
      <c r="G816" s="388"/>
      <c r="H816" s="388"/>
      <c r="I816" s="374"/>
      <c r="J816" s="374"/>
      <c r="K816" s="374"/>
      <c r="L816" s="374"/>
      <c r="M816" s="374"/>
      <c r="N816" s="374"/>
      <c r="O816" s="374"/>
      <c r="P816" s="374"/>
      <c r="Q816" s="374"/>
      <c r="R816" s="374"/>
      <c r="S816" s="374"/>
      <c r="T816" s="374"/>
      <c r="U816" s="374"/>
      <c r="V816" s="374"/>
      <c r="W816" s="374"/>
      <c r="X816" s="374"/>
      <c r="Y816" s="374"/>
      <c r="Z816" s="374"/>
    </row>
    <row r="817" ht="15.75" customHeight="1">
      <c r="A817" s="374"/>
      <c r="B817" s="374"/>
      <c r="C817" s="374"/>
      <c r="D817" s="374"/>
      <c r="E817" s="374"/>
      <c r="F817" s="374"/>
      <c r="G817" s="388"/>
      <c r="H817" s="388"/>
      <c r="I817" s="374"/>
      <c r="J817" s="374"/>
      <c r="K817" s="374"/>
      <c r="L817" s="374"/>
      <c r="M817" s="374"/>
      <c r="N817" s="374"/>
      <c r="O817" s="374"/>
      <c r="P817" s="374"/>
      <c r="Q817" s="374"/>
      <c r="R817" s="374"/>
      <c r="S817" s="374"/>
      <c r="T817" s="374"/>
      <c r="U817" s="374"/>
      <c r="V817" s="374"/>
      <c r="W817" s="374"/>
      <c r="X817" s="374"/>
      <c r="Y817" s="374"/>
      <c r="Z817" s="374"/>
    </row>
    <row r="818" ht="15.75" customHeight="1">
      <c r="A818" s="374"/>
      <c r="B818" s="374"/>
      <c r="C818" s="374"/>
      <c r="D818" s="374"/>
      <c r="E818" s="374"/>
      <c r="F818" s="374"/>
      <c r="G818" s="388"/>
      <c r="H818" s="388"/>
      <c r="I818" s="374"/>
      <c r="J818" s="374"/>
      <c r="K818" s="374"/>
      <c r="L818" s="374"/>
      <c r="M818" s="374"/>
      <c r="N818" s="374"/>
      <c r="O818" s="374"/>
      <c r="P818" s="374"/>
      <c r="Q818" s="374"/>
      <c r="R818" s="374"/>
      <c r="S818" s="374"/>
      <c r="T818" s="374"/>
      <c r="U818" s="374"/>
      <c r="V818" s="374"/>
      <c r="W818" s="374"/>
      <c r="X818" s="374"/>
      <c r="Y818" s="374"/>
      <c r="Z818" s="374"/>
    </row>
    <row r="819" ht="15.75" customHeight="1">
      <c r="A819" s="374"/>
      <c r="B819" s="374"/>
      <c r="C819" s="374"/>
      <c r="D819" s="374"/>
      <c r="E819" s="374"/>
      <c r="F819" s="374"/>
      <c r="G819" s="388"/>
      <c r="H819" s="388"/>
      <c r="I819" s="374"/>
      <c r="J819" s="374"/>
      <c r="K819" s="374"/>
      <c r="L819" s="374"/>
      <c r="M819" s="374"/>
      <c r="N819" s="374"/>
      <c r="O819" s="374"/>
      <c r="P819" s="374"/>
      <c r="Q819" s="374"/>
      <c r="R819" s="374"/>
      <c r="S819" s="374"/>
      <c r="T819" s="374"/>
      <c r="U819" s="374"/>
      <c r="V819" s="374"/>
      <c r="W819" s="374"/>
      <c r="X819" s="374"/>
      <c r="Y819" s="374"/>
      <c r="Z819" s="374"/>
    </row>
    <row r="820" ht="15.75" customHeight="1">
      <c r="A820" s="374"/>
      <c r="B820" s="374"/>
      <c r="C820" s="374"/>
      <c r="D820" s="374"/>
      <c r="E820" s="374"/>
      <c r="F820" s="374"/>
      <c r="G820" s="388"/>
      <c r="H820" s="388"/>
      <c r="I820" s="374"/>
      <c r="J820" s="374"/>
      <c r="K820" s="374"/>
      <c r="L820" s="374"/>
      <c r="M820" s="374"/>
      <c r="N820" s="374"/>
      <c r="O820" s="374"/>
      <c r="P820" s="374"/>
      <c r="Q820" s="374"/>
      <c r="R820" s="374"/>
      <c r="S820" s="374"/>
      <c r="T820" s="374"/>
      <c r="U820" s="374"/>
      <c r="V820" s="374"/>
      <c r="W820" s="374"/>
      <c r="X820" s="374"/>
      <c r="Y820" s="374"/>
      <c r="Z820" s="374"/>
    </row>
    <row r="821" ht="15.75" customHeight="1">
      <c r="A821" s="374"/>
      <c r="B821" s="374"/>
      <c r="C821" s="374"/>
      <c r="D821" s="374"/>
      <c r="E821" s="374"/>
      <c r="F821" s="374"/>
      <c r="G821" s="388"/>
      <c r="H821" s="388"/>
      <c r="I821" s="374"/>
      <c r="J821" s="374"/>
      <c r="K821" s="374"/>
      <c r="L821" s="374"/>
      <c r="M821" s="374"/>
      <c r="N821" s="374"/>
      <c r="O821" s="374"/>
      <c r="P821" s="374"/>
      <c r="Q821" s="374"/>
      <c r="R821" s="374"/>
      <c r="S821" s="374"/>
      <c r="T821" s="374"/>
      <c r="U821" s="374"/>
      <c r="V821" s="374"/>
      <c r="W821" s="374"/>
      <c r="X821" s="374"/>
      <c r="Y821" s="374"/>
      <c r="Z821" s="374"/>
    </row>
    <row r="822" ht="15.75" customHeight="1">
      <c r="A822" s="374"/>
      <c r="B822" s="374"/>
      <c r="C822" s="374"/>
      <c r="D822" s="374"/>
      <c r="E822" s="374"/>
      <c r="F822" s="374"/>
      <c r="G822" s="388"/>
      <c r="H822" s="388"/>
      <c r="I822" s="374"/>
      <c r="J822" s="374"/>
      <c r="K822" s="374"/>
      <c r="L822" s="374"/>
      <c r="M822" s="374"/>
      <c r="N822" s="374"/>
      <c r="O822" s="374"/>
      <c r="P822" s="374"/>
      <c r="Q822" s="374"/>
      <c r="R822" s="374"/>
      <c r="S822" s="374"/>
      <c r="T822" s="374"/>
      <c r="U822" s="374"/>
      <c r="V822" s="374"/>
      <c r="W822" s="374"/>
      <c r="X822" s="374"/>
      <c r="Y822" s="374"/>
      <c r="Z822" s="374"/>
    </row>
    <row r="823" ht="15.75" customHeight="1">
      <c r="A823" s="374"/>
      <c r="B823" s="374"/>
      <c r="C823" s="374"/>
      <c r="D823" s="374"/>
      <c r="E823" s="374"/>
      <c r="F823" s="374"/>
      <c r="G823" s="388"/>
      <c r="H823" s="388"/>
      <c r="I823" s="374"/>
      <c r="J823" s="374"/>
      <c r="K823" s="374"/>
      <c r="L823" s="374"/>
      <c r="M823" s="374"/>
      <c r="N823" s="374"/>
      <c r="O823" s="374"/>
      <c r="P823" s="374"/>
      <c r="Q823" s="374"/>
      <c r="R823" s="374"/>
      <c r="S823" s="374"/>
      <c r="T823" s="374"/>
      <c r="U823" s="374"/>
      <c r="V823" s="374"/>
      <c r="W823" s="374"/>
      <c r="X823" s="374"/>
      <c r="Y823" s="374"/>
      <c r="Z823" s="374"/>
    </row>
    <row r="824" ht="15.75" customHeight="1">
      <c r="A824" s="374"/>
      <c r="B824" s="374"/>
      <c r="C824" s="374"/>
      <c r="D824" s="374"/>
      <c r="E824" s="374"/>
      <c r="F824" s="374"/>
      <c r="G824" s="388"/>
      <c r="H824" s="388"/>
      <c r="I824" s="374"/>
      <c r="J824" s="374"/>
      <c r="K824" s="374"/>
      <c r="L824" s="374"/>
      <c r="M824" s="374"/>
      <c r="N824" s="374"/>
      <c r="O824" s="374"/>
      <c r="P824" s="374"/>
      <c r="Q824" s="374"/>
      <c r="R824" s="374"/>
      <c r="S824" s="374"/>
      <c r="T824" s="374"/>
      <c r="U824" s="374"/>
      <c r="V824" s="374"/>
      <c r="W824" s="374"/>
      <c r="X824" s="374"/>
      <c r="Y824" s="374"/>
      <c r="Z824" s="374"/>
    </row>
    <row r="825" ht="15.75" customHeight="1">
      <c r="A825" s="374"/>
      <c r="B825" s="374"/>
      <c r="C825" s="374"/>
      <c r="D825" s="374"/>
      <c r="E825" s="374"/>
      <c r="F825" s="374"/>
      <c r="G825" s="388"/>
      <c r="H825" s="388"/>
      <c r="I825" s="374"/>
      <c r="J825" s="374"/>
      <c r="K825" s="374"/>
      <c r="L825" s="374"/>
      <c r="M825" s="374"/>
      <c r="N825" s="374"/>
      <c r="O825" s="374"/>
      <c r="P825" s="374"/>
      <c r="Q825" s="374"/>
      <c r="R825" s="374"/>
      <c r="S825" s="374"/>
      <c r="T825" s="374"/>
      <c r="U825" s="374"/>
      <c r="V825" s="374"/>
      <c r="W825" s="374"/>
      <c r="X825" s="374"/>
      <c r="Y825" s="374"/>
      <c r="Z825" s="374"/>
    </row>
    <row r="826" ht="15.75" customHeight="1">
      <c r="A826" s="374"/>
      <c r="B826" s="374"/>
      <c r="C826" s="374"/>
      <c r="D826" s="374"/>
      <c r="E826" s="374"/>
      <c r="F826" s="374"/>
      <c r="G826" s="388"/>
      <c r="H826" s="388"/>
      <c r="I826" s="374"/>
      <c r="J826" s="374"/>
      <c r="K826" s="374"/>
      <c r="L826" s="374"/>
      <c r="M826" s="374"/>
      <c r="N826" s="374"/>
      <c r="O826" s="374"/>
      <c r="P826" s="374"/>
      <c r="Q826" s="374"/>
      <c r="R826" s="374"/>
      <c r="S826" s="374"/>
      <c r="T826" s="374"/>
      <c r="U826" s="374"/>
      <c r="V826" s="374"/>
      <c r="W826" s="374"/>
      <c r="X826" s="374"/>
      <c r="Y826" s="374"/>
      <c r="Z826" s="374"/>
    </row>
    <row r="827" ht="15.75" customHeight="1">
      <c r="A827" s="374"/>
      <c r="B827" s="374"/>
      <c r="C827" s="374"/>
      <c r="D827" s="374"/>
      <c r="E827" s="374"/>
      <c r="F827" s="374"/>
      <c r="G827" s="388"/>
      <c r="H827" s="388"/>
      <c r="I827" s="374"/>
      <c r="J827" s="374"/>
      <c r="K827" s="374"/>
      <c r="L827" s="374"/>
      <c r="M827" s="374"/>
      <c r="N827" s="374"/>
      <c r="O827" s="374"/>
      <c r="P827" s="374"/>
      <c r="Q827" s="374"/>
      <c r="R827" s="374"/>
      <c r="S827" s="374"/>
      <c r="T827" s="374"/>
      <c r="U827" s="374"/>
      <c r="V827" s="374"/>
      <c r="W827" s="374"/>
      <c r="X827" s="374"/>
      <c r="Y827" s="374"/>
      <c r="Z827" s="374"/>
    </row>
    <row r="828" ht="15.75" customHeight="1">
      <c r="A828" s="374"/>
      <c r="B828" s="374"/>
      <c r="C828" s="374"/>
      <c r="D828" s="374"/>
      <c r="E828" s="374"/>
      <c r="F828" s="374"/>
      <c r="G828" s="388"/>
      <c r="H828" s="388"/>
      <c r="I828" s="374"/>
      <c r="J828" s="374"/>
      <c r="K828" s="374"/>
      <c r="L828" s="374"/>
      <c r="M828" s="374"/>
      <c r="N828" s="374"/>
      <c r="O828" s="374"/>
      <c r="P828" s="374"/>
      <c r="Q828" s="374"/>
      <c r="R828" s="374"/>
      <c r="S828" s="374"/>
      <c r="T828" s="374"/>
      <c r="U828" s="374"/>
      <c r="V828" s="374"/>
      <c r="W828" s="374"/>
      <c r="X828" s="374"/>
      <c r="Y828" s="374"/>
      <c r="Z828" s="374"/>
    </row>
    <row r="829" ht="15.75" customHeight="1">
      <c r="A829" s="374"/>
      <c r="B829" s="374"/>
      <c r="C829" s="374"/>
      <c r="D829" s="374"/>
      <c r="E829" s="374"/>
      <c r="F829" s="374"/>
      <c r="G829" s="388"/>
      <c r="H829" s="388"/>
      <c r="I829" s="374"/>
      <c r="J829" s="374"/>
      <c r="K829" s="374"/>
      <c r="L829" s="374"/>
      <c r="M829" s="374"/>
      <c r="N829" s="374"/>
      <c r="O829" s="374"/>
      <c r="P829" s="374"/>
      <c r="Q829" s="374"/>
      <c r="R829" s="374"/>
      <c r="S829" s="374"/>
      <c r="T829" s="374"/>
      <c r="U829" s="374"/>
      <c r="V829" s="374"/>
      <c r="W829" s="374"/>
      <c r="X829" s="374"/>
      <c r="Y829" s="374"/>
      <c r="Z829" s="374"/>
    </row>
    <row r="830" ht="15.75" customHeight="1">
      <c r="A830" s="374"/>
      <c r="B830" s="374"/>
      <c r="C830" s="374"/>
      <c r="D830" s="374"/>
      <c r="E830" s="374"/>
      <c r="F830" s="374"/>
      <c r="G830" s="388"/>
      <c r="H830" s="388"/>
      <c r="I830" s="374"/>
      <c r="J830" s="374"/>
      <c r="K830" s="374"/>
      <c r="L830" s="374"/>
      <c r="M830" s="374"/>
      <c r="N830" s="374"/>
      <c r="O830" s="374"/>
      <c r="P830" s="374"/>
      <c r="Q830" s="374"/>
      <c r="R830" s="374"/>
      <c r="S830" s="374"/>
      <c r="T830" s="374"/>
      <c r="U830" s="374"/>
      <c r="V830" s="374"/>
      <c r="W830" s="374"/>
      <c r="X830" s="374"/>
      <c r="Y830" s="374"/>
      <c r="Z830" s="374"/>
    </row>
    <row r="831" ht="15.75" customHeight="1">
      <c r="A831" s="374"/>
      <c r="B831" s="374"/>
      <c r="C831" s="374"/>
      <c r="D831" s="374"/>
      <c r="E831" s="374"/>
      <c r="F831" s="374"/>
      <c r="G831" s="388"/>
      <c r="H831" s="388"/>
      <c r="I831" s="374"/>
      <c r="J831" s="374"/>
      <c r="K831" s="374"/>
      <c r="L831" s="374"/>
      <c r="M831" s="374"/>
      <c r="N831" s="374"/>
      <c r="O831" s="374"/>
      <c r="P831" s="374"/>
      <c r="Q831" s="374"/>
      <c r="R831" s="374"/>
      <c r="S831" s="374"/>
      <c r="T831" s="374"/>
      <c r="U831" s="374"/>
      <c r="V831" s="374"/>
      <c r="W831" s="374"/>
      <c r="X831" s="374"/>
      <c r="Y831" s="374"/>
      <c r="Z831" s="374"/>
    </row>
    <row r="832" ht="15.75" customHeight="1">
      <c r="A832" s="374"/>
      <c r="B832" s="374"/>
      <c r="C832" s="374"/>
      <c r="D832" s="374"/>
      <c r="E832" s="374"/>
      <c r="F832" s="374"/>
      <c r="G832" s="388"/>
      <c r="H832" s="388"/>
      <c r="I832" s="374"/>
      <c r="J832" s="374"/>
      <c r="K832" s="374"/>
      <c r="L832" s="374"/>
      <c r="M832" s="374"/>
      <c r="N832" s="374"/>
      <c r="O832" s="374"/>
      <c r="P832" s="374"/>
      <c r="Q832" s="374"/>
      <c r="R832" s="374"/>
      <c r="S832" s="374"/>
      <c r="T832" s="374"/>
      <c r="U832" s="374"/>
      <c r="V832" s="374"/>
      <c r="W832" s="374"/>
      <c r="X832" s="374"/>
      <c r="Y832" s="374"/>
      <c r="Z832" s="374"/>
    </row>
    <row r="833" ht="15.75" customHeight="1">
      <c r="A833" s="374"/>
      <c r="B833" s="374"/>
      <c r="C833" s="374"/>
      <c r="D833" s="374"/>
      <c r="E833" s="374"/>
      <c r="F833" s="374"/>
      <c r="G833" s="388"/>
      <c r="H833" s="388"/>
      <c r="I833" s="374"/>
      <c r="J833" s="374"/>
      <c r="K833" s="374"/>
      <c r="L833" s="374"/>
      <c r="M833" s="374"/>
      <c r="N833" s="374"/>
      <c r="O833" s="374"/>
      <c r="P833" s="374"/>
      <c r="Q833" s="374"/>
      <c r="R833" s="374"/>
      <c r="S833" s="374"/>
      <c r="T833" s="374"/>
      <c r="U833" s="374"/>
      <c r="V833" s="374"/>
      <c r="W833" s="374"/>
      <c r="X833" s="374"/>
      <c r="Y833" s="374"/>
      <c r="Z833" s="374"/>
    </row>
    <row r="834" ht="15.75" customHeight="1">
      <c r="A834" s="374"/>
      <c r="B834" s="374"/>
      <c r="C834" s="374"/>
      <c r="D834" s="374"/>
      <c r="E834" s="374"/>
      <c r="F834" s="374"/>
      <c r="G834" s="388"/>
      <c r="H834" s="388"/>
      <c r="I834" s="374"/>
      <c r="J834" s="374"/>
      <c r="K834" s="374"/>
      <c r="L834" s="374"/>
      <c r="M834" s="374"/>
      <c r="N834" s="374"/>
      <c r="O834" s="374"/>
      <c r="P834" s="374"/>
      <c r="Q834" s="374"/>
      <c r="R834" s="374"/>
      <c r="S834" s="374"/>
      <c r="T834" s="374"/>
      <c r="U834" s="374"/>
      <c r="V834" s="374"/>
      <c r="W834" s="374"/>
      <c r="X834" s="374"/>
      <c r="Y834" s="374"/>
      <c r="Z834" s="374"/>
    </row>
    <row r="835" ht="15.75" customHeight="1">
      <c r="A835" s="374"/>
      <c r="B835" s="374"/>
      <c r="C835" s="374"/>
      <c r="D835" s="374"/>
      <c r="E835" s="374"/>
      <c r="F835" s="374"/>
      <c r="G835" s="388"/>
      <c r="H835" s="388"/>
      <c r="I835" s="374"/>
      <c r="J835" s="374"/>
      <c r="K835" s="374"/>
      <c r="L835" s="374"/>
      <c r="M835" s="374"/>
      <c r="N835" s="374"/>
      <c r="O835" s="374"/>
      <c r="P835" s="374"/>
      <c r="Q835" s="374"/>
      <c r="R835" s="374"/>
      <c r="S835" s="374"/>
      <c r="T835" s="374"/>
      <c r="U835" s="374"/>
      <c r="V835" s="374"/>
      <c r="W835" s="374"/>
      <c r="X835" s="374"/>
      <c r="Y835" s="374"/>
      <c r="Z835" s="374"/>
    </row>
    <row r="836" ht="15.75" customHeight="1">
      <c r="A836" s="374"/>
      <c r="B836" s="374"/>
      <c r="C836" s="374"/>
      <c r="D836" s="374"/>
      <c r="E836" s="374"/>
      <c r="F836" s="374"/>
      <c r="G836" s="388"/>
      <c r="H836" s="388"/>
      <c r="I836" s="374"/>
      <c r="J836" s="374"/>
      <c r="K836" s="374"/>
      <c r="L836" s="374"/>
      <c r="M836" s="374"/>
      <c r="N836" s="374"/>
      <c r="O836" s="374"/>
      <c r="P836" s="374"/>
      <c r="Q836" s="374"/>
      <c r="R836" s="374"/>
      <c r="S836" s="374"/>
      <c r="T836" s="374"/>
      <c r="U836" s="374"/>
      <c r="V836" s="374"/>
      <c r="W836" s="374"/>
      <c r="X836" s="374"/>
      <c r="Y836" s="374"/>
      <c r="Z836" s="374"/>
    </row>
    <row r="837" ht="15.75" customHeight="1">
      <c r="A837" s="374"/>
      <c r="B837" s="374"/>
      <c r="C837" s="374"/>
      <c r="D837" s="374"/>
      <c r="E837" s="374"/>
      <c r="F837" s="374"/>
      <c r="G837" s="388"/>
      <c r="H837" s="388"/>
      <c r="I837" s="374"/>
      <c r="J837" s="374"/>
      <c r="K837" s="374"/>
      <c r="L837" s="374"/>
      <c r="M837" s="374"/>
      <c r="N837" s="374"/>
      <c r="O837" s="374"/>
      <c r="P837" s="374"/>
      <c r="Q837" s="374"/>
      <c r="R837" s="374"/>
      <c r="S837" s="374"/>
      <c r="T837" s="374"/>
      <c r="U837" s="374"/>
      <c r="V837" s="374"/>
      <c r="W837" s="374"/>
      <c r="X837" s="374"/>
      <c r="Y837" s="374"/>
      <c r="Z837" s="374"/>
    </row>
    <row r="838" ht="15.75" customHeight="1">
      <c r="A838" s="374"/>
      <c r="B838" s="374"/>
      <c r="C838" s="374"/>
      <c r="D838" s="374"/>
      <c r="E838" s="374"/>
      <c r="F838" s="374"/>
      <c r="G838" s="388"/>
      <c r="H838" s="388"/>
      <c r="I838" s="374"/>
      <c r="J838" s="374"/>
      <c r="K838" s="374"/>
      <c r="L838" s="374"/>
      <c r="M838" s="374"/>
      <c r="N838" s="374"/>
      <c r="O838" s="374"/>
      <c r="P838" s="374"/>
      <c r="Q838" s="374"/>
      <c r="R838" s="374"/>
      <c r="S838" s="374"/>
      <c r="T838" s="374"/>
      <c r="U838" s="374"/>
      <c r="V838" s="374"/>
      <c r="W838" s="374"/>
      <c r="X838" s="374"/>
      <c r="Y838" s="374"/>
      <c r="Z838" s="374"/>
    </row>
    <row r="839" ht="15.75" customHeight="1">
      <c r="A839" s="374"/>
      <c r="B839" s="374"/>
      <c r="C839" s="374"/>
      <c r="D839" s="374"/>
      <c r="E839" s="374"/>
      <c r="F839" s="374"/>
      <c r="G839" s="388"/>
      <c r="H839" s="388"/>
      <c r="I839" s="374"/>
      <c r="J839" s="374"/>
      <c r="K839" s="374"/>
      <c r="L839" s="374"/>
      <c r="M839" s="374"/>
      <c r="N839" s="374"/>
      <c r="O839" s="374"/>
      <c r="P839" s="374"/>
      <c r="Q839" s="374"/>
      <c r="R839" s="374"/>
      <c r="S839" s="374"/>
      <c r="T839" s="374"/>
      <c r="U839" s="374"/>
      <c r="V839" s="374"/>
      <c r="W839" s="374"/>
      <c r="X839" s="374"/>
      <c r="Y839" s="374"/>
      <c r="Z839" s="374"/>
    </row>
    <row r="840" ht="15.75" customHeight="1">
      <c r="A840" s="374"/>
      <c r="B840" s="374"/>
      <c r="C840" s="374"/>
      <c r="D840" s="374"/>
      <c r="E840" s="374"/>
      <c r="F840" s="374"/>
      <c r="G840" s="388"/>
      <c r="H840" s="388"/>
      <c r="I840" s="374"/>
      <c r="J840" s="374"/>
      <c r="K840" s="374"/>
      <c r="L840" s="374"/>
      <c r="M840" s="374"/>
      <c r="N840" s="374"/>
      <c r="O840" s="374"/>
      <c r="P840" s="374"/>
      <c r="Q840" s="374"/>
      <c r="R840" s="374"/>
      <c r="S840" s="374"/>
      <c r="T840" s="374"/>
      <c r="U840" s="374"/>
      <c r="V840" s="374"/>
      <c r="W840" s="374"/>
      <c r="X840" s="374"/>
      <c r="Y840" s="374"/>
      <c r="Z840" s="374"/>
    </row>
    <row r="841" ht="15.75" customHeight="1">
      <c r="A841" s="374"/>
      <c r="B841" s="374"/>
      <c r="C841" s="374"/>
      <c r="D841" s="374"/>
      <c r="E841" s="374"/>
      <c r="F841" s="374"/>
      <c r="G841" s="388"/>
      <c r="H841" s="388"/>
      <c r="I841" s="374"/>
      <c r="J841" s="374"/>
      <c r="K841" s="374"/>
      <c r="L841" s="374"/>
      <c r="M841" s="374"/>
      <c r="N841" s="374"/>
      <c r="O841" s="374"/>
      <c r="P841" s="374"/>
      <c r="Q841" s="374"/>
      <c r="R841" s="374"/>
      <c r="S841" s="374"/>
      <c r="T841" s="374"/>
      <c r="U841" s="374"/>
      <c r="V841" s="374"/>
      <c r="W841" s="374"/>
      <c r="X841" s="374"/>
      <c r="Y841" s="374"/>
      <c r="Z841" s="374"/>
    </row>
    <row r="842" ht="15.75" customHeight="1">
      <c r="A842" s="374"/>
      <c r="B842" s="374"/>
      <c r="C842" s="374"/>
      <c r="D842" s="374"/>
      <c r="E842" s="374"/>
      <c r="F842" s="374"/>
      <c r="G842" s="388"/>
      <c r="H842" s="388"/>
      <c r="I842" s="374"/>
      <c r="J842" s="374"/>
      <c r="K842" s="374"/>
      <c r="L842" s="374"/>
      <c r="M842" s="374"/>
      <c r="N842" s="374"/>
      <c r="O842" s="374"/>
      <c r="P842" s="374"/>
      <c r="Q842" s="374"/>
      <c r="R842" s="374"/>
      <c r="S842" s="374"/>
      <c r="T842" s="374"/>
      <c r="U842" s="374"/>
      <c r="V842" s="374"/>
      <c r="W842" s="374"/>
      <c r="X842" s="374"/>
      <c r="Y842" s="374"/>
      <c r="Z842" s="374"/>
    </row>
    <row r="843" ht="15.75" customHeight="1">
      <c r="A843" s="374"/>
      <c r="B843" s="374"/>
      <c r="C843" s="374"/>
      <c r="D843" s="374"/>
      <c r="E843" s="374"/>
      <c r="F843" s="374"/>
      <c r="G843" s="388"/>
      <c r="H843" s="388"/>
      <c r="I843" s="374"/>
      <c r="J843" s="374"/>
      <c r="K843" s="374"/>
      <c r="L843" s="374"/>
      <c r="M843" s="374"/>
      <c r="N843" s="374"/>
      <c r="O843" s="374"/>
      <c r="P843" s="374"/>
      <c r="Q843" s="374"/>
      <c r="R843" s="374"/>
      <c r="S843" s="374"/>
      <c r="T843" s="374"/>
      <c r="U843" s="374"/>
      <c r="V843" s="374"/>
      <c r="W843" s="374"/>
      <c r="X843" s="374"/>
      <c r="Y843" s="374"/>
      <c r="Z843" s="374"/>
    </row>
    <row r="844" ht="15.75" customHeight="1">
      <c r="A844" s="374"/>
      <c r="B844" s="374"/>
      <c r="C844" s="374"/>
      <c r="D844" s="374"/>
      <c r="E844" s="374"/>
      <c r="F844" s="374"/>
      <c r="G844" s="388"/>
      <c r="H844" s="388"/>
      <c r="I844" s="374"/>
      <c r="J844" s="374"/>
      <c r="K844" s="374"/>
      <c r="L844" s="374"/>
      <c r="M844" s="374"/>
      <c r="N844" s="374"/>
      <c r="O844" s="374"/>
      <c r="P844" s="374"/>
      <c r="Q844" s="374"/>
      <c r="R844" s="374"/>
      <c r="S844" s="374"/>
      <c r="T844" s="374"/>
      <c r="U844" s="374"/>
      <c r="V844" s="374"/>
      <c r="W844" s="374"/>
      <c r="X844" s="374"/>
      <c r="Y844" s="374"/>
      <c r="Z844" s="374"/>
    </row>
    <row r="845" ht="15.75" customHeight="1">
      <c r="A845" s="374"/>
      <c r="B845" s="374"/>
      <c r="C845" s="374"/>
      <c r="D845" s="374"/>
      <c r="E845" s="374"/>
      <c r="F845" s="374"/>
      <c r="G845" s="388"/>
      <c r="H845" s="388"/>
      <c r="I845" s="374"/>
      <c r="J845" s="374"/>
      <c r="K845" s="374"/>
      <c r="L845" s="374"/>
      <c r="M845" s="374"/>
      <c r="N845" s="374"/>
      <c r="O845" s="374"/>
      <c r="P845" s="374"/>
      <c r="Q845" s="374"/>
      <c r="R845" s="374"/>
      <c r="S845" s="374"/>
      <c r="T845" s="374"/>
      <c r="U845" s="374"/>
      <c r="V845" s="374"/>
      <c r="W845" s="374"/>
      <c r="X845" s="374"/>
      <c r="Y845" s="374"/>
      <c r="Z845" s="374"/>
    </row>
    <row r="846" ht="15.75" customHeight="1">
      <c r="A846" s="374"/>
      <c r="B846" s="374"/>
      <c r="C846" s="374"/>
      <c r="D846" s="374"/>
      <c r="E846" s="374"/>
      <c r="F846" s="374"/>
      <c r="G846" s="388"/>
      <c r="H846" s="388"/>
      <c r="I846" s="374"/>
      <c r="J846" s="374"/>
      <c r="K846" s="374"/>
      <c r="L846" s="374"/>
      <c r="M846" s="374"/>
      <c r="N846" s="374"/>
      <c r="O846" s="374"/>
      <c r="P846" s="374"/>
      <c r="Q846" s="374"/>
      <c r="R846" s="374"/>
      <c r="S846" s="374"/>
      <c r="T846" s="374"/>
      <c r="U846" s="374"/>
      <c r="V846" s="374"/>
      <c r="W846" s="374"/>
      <c r="X846" s="374"/>
      <c r="Y846" s="374"/>
      <c r="Z846" s="374"/>
    </row>
    <row r="847" ht="15.75" customHeight="1">
      <c r="A847" s="374"/>
      <c r="B847" s="374"/>
      <c r="C847" s="374"/>
      <c r="D847" s="374"/>
      <c r="E847" s="374"/>
      <c r="F847" s="374"/>
      <c r="G847" s="388"/>
      <c r="H847" s="388"/>
      <c r="I847" s="374"/>
      <c r="J847" s="374"/>
      <c r="K847" s="374"/>
      <c r="L847" s="374"/>
      <c r="M847" s="374"/>
      <c r="N847" s="374"/>
      <c r="O847" s="374"/>
      <c r="P847" s="374"/>
      <c r="Q847" s="374"/>
      <c r="R847" s="374"/>
      <c r="S847" s="374"/>
      <c r="T847" s="374"/>
      <c r="U847" s="374"/>
      <c r="V847" s="374"/>
      <c r="W847" s="374"/>
      <c r="X847" s="374"/>
      <c r="Y847" s="374"/>
      <c r="Z847" s="374"/>
    </row>
    <row r="848" ht="15.75" customHeight="1">
      <c r="A848" s="374"/>
      <c r="B848" s="374"/>
      <c r="C848" s="374"/>
      <c r="D848" s="374"/>
      <c r="E848" s="374"/>
      <c r="F848" s="374"/>
      <c r="G848" s="388"/>
      <c r="H848" s="388"/>
      <c r="I848" s="374"/>
      <c r="J848" s="374"/>
      <c r="K848" s="374"/>
      <c r="L848" s="374"/>
      <c r="M848" s="374"/>
      <c r="N848" s="374"/>
      <c r="O848" s="374"/>
      <c r="P848" s="374"/>
      <c r="Q848" s="374"/>
      <c r="R848" s="374"/>
      <c r="S848" s="374"/>
      <c r="T848" s="374"/>
      <c r="U848" s="374"/>
      <c r="V848" s="374"/>
      <c r="W848" s="374"/>
      <c r="X848" s="374"/>
      <c r="Y848" s="374"/>
      <c r="Z848" s="374"/>
    </row>
    <row r="849" ht="15.75" customHeight="1">
      <c r="A849" s="374"/>
      <c r="B849" s="374"/>
      <c r="C849" s="374"/>
      <c r="D849" s="374"/>
      <c r="E849" s="374"/>
      <c r="F849" s="374"/>
      <c r="G849" s="388"/>
      <c r="H849" s="388"/>
      <c r="I849" s="374"/>
      <c r="J849" s="374"/>
      <c r="K849" s="374"/>
      <c r="L849" s="374"/>
      <c r="M849" s="374"/>
      <c r="N849" s="374"/>
      <c r="O849" s="374"/>
      <c r="P849" s="374"/>
      <c r="Q849" s="374"/>
      <c r="R849" s="374"/>
      <c r="S849" s="374"/>
      <c r="T849" s="374"/>
      <c r="U849" s="374"/>
      <c r="V849" s="374"/>
      <c r="W849" s="374"/>
      <c r="X849" s="374"/>
      <c r="Y849" s="374"/>
      <c r="Z849" s="374"/>
    </row>
    <row r="850" ht="15.75" customHeight="1">
      <c r="A850" s="374"/>
      <c r="B850" s="374"/>
      <c r="C850" s="374"/>
      <c r="D850" s="374"/>
      <c r="E850" s="374"/>
      <c r="F850" s="374"/>
      <c r="G850" s="388"/>
      <c r="H850" s="388"/>
      <c r="I850" s="374"/>
      <c r="J850" s="374"/>
      <c r="K850" s="374"/>
      <c r="L850" s="374"/>
      <c r="M850" s="374"/>
      <c r="N850" s="374"/>
      <c r="O850" s="374"/>
      <c r="P850" s="374"/>
      <c r="Q850" s="374"/>
      <c r="R850" s="374"/>
      <c r="S850" s="374"/>
      <c r="T850" s="374"/>
      <c r="U850" s="374"/>
      <c r="V850" s="374"/>
      <c r="W850" s="374"/>
      <c r="X850" s="374"/>
      <c r="Y850" s="374"/>
      <c r="Z850" s="374"/>
    </row>
    <row r="851" ht="15.75" customHeight="1">
      <c r="A851" s="374"/>
      <c r="B851" s="374"/>
      <c r="C851" s="374"/>
      <c r="D851" s="374"/>
      <c r="E851" s="374"/>
      <c r="F851" s="374"/>
      <c r="G851" s="388"/>
      <c r="H851" s="388"/>
      <c r="I851" s="374"/>
      <c r="J851" s="374"/>
      <c r="K851" s="374"/>
      <c r="L851" s="374"/>
      <c r="M851" s="374"/>
      <c r="N851" s="374"/>
      <c r="O851" s="374"/>
      <c r="P851" s="374"/>
      <c r="Q851" s="374"/>
      <c r="R851" s="374"/>
      <c r="S851" s="374"/>
      <c r="T851" s="374"/>
      <c r="U851" s="374"/>
      <c r="V851" s="374"/>
      <c r="W851" s="374"/>
      <c r="X851" s="374"/>
      <c r="Y851" s="374"/>
      <c r="Z851" s="374"/>
    </row>
    <row r="852" ht="15.75" customHeight="1">
      <c r="A852" s="374"/>
      <c r="B852" s="374"/>
      <c r="C852" s="374"/>
      <c r="D852" s="374"/>
      <c r="E852" s="374"/>
      <c r="F852" s="374"/>
      <c r="G852" s="388"/>
      <c r="H852" s="388"/>
      <c r="I852" s="374"/>
      <c r="J852" s="374"/>
      <c r="K852" s="374"/>
      <c r="L852" s="374"/>
      <c r="M852" s="374"/>
      <c r="N852" s="374"/>
      <c r="O852" s="374"/>
      <c r="P852" s="374"/>
      <c r="Q852" s="374"/>
      <c r="R852" s="374"/>
      <c r="S852" s="374"/>
      <c r="T852" s="374"/>
      <c r="U852" s="374"/>
      <c r="V852" s="374"/>
      <c r="W852" s="374"/>
      <c r="X852" s="374"/>
      <c r="Y852" s="374"/>
      <c r="Z852" s="374"/>
    </row>
    <row r="853" ht="15.75" customHeight="1">
      <c r="A853" s="374"/>
      <c r="B853" s="374"/>
      <c r="C853" s="374"/>
      <c r="D853" s="374"/>
      <c r="E853" s="374"/>
      <c r="F853" s="374"/>
      <c r="G853" s="388"/>
      <c r="H853" s="388"/>
      <c r="I853" s="374"/>
      <c r="J853" s="374"/>
      <c r="K853" s="374"/>
      <c r="L853" s="374"/>
      <c r="M853" s="374"/>
      <c r="N853" s="374"/>
      <c r="O853" s="374"/>
      <c r="P853" s="374"/>
      <c r="Q853" s="374"/>
      <c r="R853" s="374"/>
      <c r="S853" s="374"/>
      <c r="T853" s="374"/>
      <c r="U853" s="374"/>
      <c r="V853" s="374"/>
      <c r="W853" s="374"/>
      <c r="X853" s="374"/>
      <c r="Y853" s="374"/>
      <c r="Z853" s="374"/>
    </row>
    <row r="854" ht="15.75" customHeight="1">
      <c r="A854" s="374"/>
      <c r="B854" s="374"/>
      <c r="C854" s="374"/>
      <c r="D854" s="374"/>
      <c r="E854" s="374"/>
      <c r="F854" s="374"/>
      <c r="G854" s="388"/>
      <c r="H854" s="388"/>
      <c r="I854" s="374"/>
      <c r="J854" s="374"/>
      <c r="K854" s="374"/>
      <c r="L854" s="374"/>
      <c r="M854" s="374"/>
      <c r="N854" s="374"/>
      <c r="O854" s="374"/>
      <c r="P854" s="374"/>
      <c r="Q854" s="374"/>
      <c r="R854" s="374"/>
      <c r="S854" s="374"/>
      <c r="T854" s="374"/>
      <c r="U854" s="374"/>
      <c r="V854" s="374"/>
      <c r="W854" s="374"/>
      <c r="X854" s="374"/>
      <c r="Y854" s="374"/>
      <c r="Z854" s="374"/>
    </row>
    <row r="855" ht="15.75" customHeight="1">
      <c r="A855" s="374"/>
      <c r="B855" s="374"/>
      <c r="C855" s="374"/>
      <c r="D855" s="374"/>
      <c r="E855" s="374"/>
      <c r="F855" s="374"/>
      <c r="G855" s="388"/>
      <c r="H855" s="388"/>
      <c r="I855" s="374"/>
      <c r="J855" s="374"/>
      <c r="K855" s="374"/>
      <c r="L855" s="374"/>
      <c r="M855" s="374"/>
      <c r="N855" s="374"/>
      <c r="O855" s="374"/>
      <c r="P855" s="374"/>
      <c r="Q855" s="374"/>
      <c r="R855" s="374"/>
      <c r="S855" s="374"/>
      <c r="T855" s="374"/>
      <c r="U855" s="374"/>
      <c r="V855" s="374"/>
      <c r="W855" s="374"/>
      <c r="X855" s="374"/>
      <c r="Y855" s="374"/>
      <c r="Z855" s="374"/>
    </row>
    <row r="856" ht="15.75" customHeight="1">
      <c r="A856" s="374"/>
      <c r="B856" s="374"/>
      <c r="C856" s="374"/>
      <c r="D856" s="374"/>
      <c r="E856" s="374"/>
      <c r="F856" s="374"/>
      <c r="G856" s="388"/>
      <c r="H856" s="388"/>
      <c r="I856" s="374"/>
      <c r="J856" s="374"/>
      <c r="K856" s="374"/>
      <c r="L856" s="374"/>
      <c r="M856" s="374"/>
      <c r="N856" s="374"/>
      <c r="O856" s="374"/>
      <c r="P856" s="374"/>
      <c r="Q856" s="374"/>
      <c r="R856" s="374"/>
      <c r="S856" s="374"/>
      <c r="T856" s="374"/>
      <c r="U856" s="374"/>
      <c r="V856" s="374"/>
      <c r="W856" s="374"/>
      <c r="X856" s="374"/>
      <c r="Y856" s="374"/>
      <c r="Z856" s="374"/>
    </row>
    <row r="857" ht="15.75" customHeight="1">
      <c r="A857" s="374"/>
      <c r="B857" s="374"/>
      <c r="C857" s="374"/>
      <c r="D857" s="374"/>
      <c r="E857" s="374"/>
      <c r="F857" s="374"/>
      <c r="G857" s="388"/>
      <c r="H857" s="388"/>
      <c r="I857" s="374"/>
      <c r="J857" s="374"/>
      <c r="K857" s="374"/>
      <c r="L857" s="374"/>
      <c r="M857" s="374"/>
      <c r="N857" s="374"/>
      <c r="O857" s="374"/>
      <c r="P857" s="374"/>
      <c r="Q857" s="374"/>
      <c r="R857" s="374"/>
      <c r="S857" s="374"/>
      <c r="T857" s="374"/>
      <c r="U857" s="374"/>
      <c r="V857" s="374"/>
      <c r="W857" s="374"/>
      <c r="X857" s="374"/>
      <c r="Y857" s="374"/>
      <c r="Z857" s="374"/>
    </row>
    <row r="858" ht="15.75" customHeight="1">
      <c r="A858" s="374"/>
      <c r="B858" s="374"/>
      <c r="C858" s="374"/>
      <c r="D858" s="374"/>
      <c r="E858" s="374"/>
      <c r="F858" s="374"/>
      <c r="G858" s="388"/>
      <c r="H858" s="388"/>
      <c r="I858" s="374"/>
      <c r="J858" s="374"/>
      <c r="K858" s="374"/>
      <c r="L858" s="374"/>
      <c r="M858" s="374"/>
      <c r="N858" s="374"/>
      <c r="O858" s="374"/>
      <c r="P858" s="374"/>
      <c r="Q858" s="374"/>
      <c r="R858" s="374"/>
      <c r="S858" s="374"/>
      <c r="T858" s="374"/>
      <c r="U858" s="374"/>
      <c r="V858" s="374"/>
      <c r="W858" s="374"/>
      <c r="X858" s="374"/>
      <c r="Y858" s="374"/>
      <c r="Z858" s="374"/>
    </row>
    <row r="859" ht="15.75" customHeight="1">
      <c r="A859" s="374"/>
      <c r="B859" s="374"/>
      <c r="C859" s="374"/>
      <c r="D859" s="374"/>
      <c r="E859" s="374"/>
      <c r="F859" s="374"/>
      <c r="G859" s="388"/>
      <c r="H859" s="388"/>
      <c r="I859" s="374"/>
      <c r="J859" s="374"/>
      <c r="K859" s="374"/>
      <c r="L859" s="374"/>
      <c r="M859" s="374"/>
      <c r="N859" s="374"/>
      <c r="O859" s="374"/>
      <c r="P859" s="374"/>
      <c r="Q859" s="374"/>
      <c r="R859" s="374"/>
      <c r="S859" s="374"/>
      <c r="T859" s="374"/>
      <c r="U859" s="374"/>
      <c r="V859" s="374"/>
      <c r="W859" s="374"/>
      <c r="X859" s="374"/>
      <c r="Y859" s="374"/>
      <c r="Z859" s="374"/>
    </row>
    <row r="860" ht="15.75" customHeight="1">
      <c r="A860" s="374"/>
      <c r="B860" s="374"/>
      <c r="C860" s="374"/>
      <c r="D860" s="374"/>
      <c r="E860" s="374"/>
      <c r="F860" s="374"/>
      <c r="G860" s="388"/>
      <c r="H860" s="388"/>
      <c r="I860" s="374"/>
      <c r="J860" s="374"/>
      <c r="K860" s="374"/>
      <c r="L860" s="374"/>
      <c r="M860" s="374"/>
      <c r="N860" s="374"/>
      <c r="O860" s="374"/>
      <c r="P860" s="374"/>
      <c r="Q860" s="374"/>
      <c r="R860" s="374"/>
      <c r="S860" s="374"/>
      <c r="T860" s="374"/>
      <c r="U860" s="374"/>
      <c r="V860" s="374"/>
      <c r="W860" s="374"/>
      <c r="X860" s="374"/>
      <c r="Y860" s="374"/>
      <c r="Z860" s="374"/>
    </row>
    <row r="861" ht="15.75" customHeight="1">
      <c r="A861" s="374"/>
      <c r="B861" s="374"/>
      <c r="C861" s="374"/>
      <c r="D861" s="374"/>
      <c r="E861" s="374"/>
      <c r="F861" s="374"/>
      <c r="G861" s="388"/>
      <c r="H861" s="388"/>
      <c r="I861" s="374"/>
      <c r="J861" s="374"/>
      <c r="K861" s="374"/>
      <c r="L861" s="374"/>
      <c r="M861" s="374"/>
      <c r="N861" s="374"/>
      <c r="O861" s="374"/>
      <c r="P861" s="374"/>
      <c r="Q861" s="374"/>
      <c r="R861" s="374"/>
      <c r="S861" s="374"/>
      <c r="T861" s="374"/>
      <c r="U861" s="374"/>
      <c r="V861" s="374"/>
      <c r="W861" s="374"/>
      <c r="X861" s="374"/>
      <c r="Y861" s="374"/>
      <c r="Z861" s="374"/>
    </row>
    <row r="862" ht="15.75" customHeight="1">
      <c r="A862" s="374"/>
      <c r="B862" s="374"/>
      <c r="C862" s="374"/>
      <c r="D862" s="374"/>
      <c r="E862" s="374"/>
      <c r="F862" s="374"/>
      <c r="G862" s="388"/>
      <c r="H862" s="388"/>
      <c r="I862" s="374"/>
      <c r="J862" s="374"/>
      <c r="K862" s="374"/>
      <c r="L862" s="374"/>
      <c r="M862" s="374"/>
      <c r="N862" s="374"/>
      <c r="O862" s="374"/>
      <c r="P862" s="374"/>
      <c r="Q862" s="374"/>
      <c r="R862" s="374"/>
      <c r="S862" s="374"/>
      <c r="T862" s="374"/>
      <c r="U862" s="374"/>
      <c r="V862" s="374"/>
      <c r="W862" s="374"/>
      <c r="X862" s="374"/>
      <c r="Y862" s="374"/>
      <c r="Z862" s="374"/>
    </row>
    <row r="863" ht="15.75" customHeight="1">
      <c r="A863" s="374"/>
      <c r="B863" s="374"/>
      <c r="C863" s="374"/>
      <c r="D863" s="374"/>
      <c r="E863" s="374"/>
      <c r="F863" s="374"/>
      <c r="G863" s="388"/>
      <c r="H863" s="388"/>
      <c r="I863" s="374"/>
      <c r="J863" s="374"/>
      <c r="K863" s="374"/>
      <c r="L863" s="374"/>
      <c r="M863" s="374"/>
      <c r="N863" s="374"/>
      <c r="O863" s="374"/>
      <c r="P863" s="374"/>
      <c r="Q863" s="374"/>
      <c r="R863" s="374"/>
      <c r="S863" s="374"/>
      <c r="T863" s="374"/>
      <c r="U863" s="374"/>
      <c r="V863" s="374"/>
      <c r="W863" s="374"/>
      <c r="X863" s="374"/>
      <c r="Y863" s="374"/>
      <c r="Z863" s="374"/>
    </row>
    <row r="864" ht="15.75" customHeight="1">
      <c r="A864" s="374"/>
      <c r="B864" s="374"/>
      <c r="C864" s="374"/>
      <c r="D864" s="374"/>
      <c r="E864" s="374"/>
      <c r="F864" s="374"/>
      <c r="G864" s="388"/>
      <c r="H864" s="388"/>
      <c r="I864" s="374"/>
      <c r="J864" s="374"/>
      <c r="K864" s="374"/>
      <c r="L864" s="374"/>
      <c r="M864" s="374"/>
      <c r="N864" s="374"/>
      <c r="O864" s="374"/>
      <c r="P864" s="374"/>
      <c r="Q864" s="374"/>
      <c r="R864" s="374"/>
      <c r="S864" s="374"/>
      <c r="T864" s="374"/>
      <c r="U864" s="374"/>
      <c r="V864" s="374"/>
      <c r="W864" s="374"/>
      <c r="X864" s="374"/>
      <c r="Y864" s="374"/>
      <c r="Z864" s="374"/>
    </row>
    <row r="865" ht="15.75" customHeight="1">
      <c r="A865" s="374"/>
      <c r="B865" s="374"/>
      <c r="C865" s="374"/>
      <c r="D865" s="374"/>
      <c r="E865" s="374"/>
      <c r="F865" s="374"/>
      <c r="G865" s="388"/>
      <c r="H865" s="388"/>
      <c r="I865" s="374"/>
      <c r="J865" s="374"/>
      <c r="K865" s="374"/>
      <c r="L865" s="374"/>
      <c r="M865" s="374"/>
      <c r="N865" s="374"/>
      <c r="O865" s="374"/>
      <c r="P865" s="374"/>
      <c r="Q865" s="374"/>
      <c r="R865" s="374"/>
      <c r="S865" s="374"/>
      <c r="T865" s="374"/>
      <c r="U865" s="374"/>
      <c r="V865" s="374"/>
      <c r="W865" s="374"/>
      <c r="X865" s="374"/>
      <c r="Y865" s="374"/>
      <c r="Z865" s="374"/>
    </row>
    <row r="866" ht="15.75" customHeight="1">
      <c r="A866" s="374"/>
      <c r="B866" s="374"/>
      <c r="C866" s="374"/>
      <c r="D866" s="374"/>
      <c r="E866" s="374"/>
      <c r="F866" s="374"/>
      <c r="G866" s="388"/>
      <c r="H866" s="388"/>
      <c r="I866" s="374"/>
      <c r="J866" s="374"/>
      <c r="K866" s="374"/>
      <c r="L866" s="374"/>
      <c r="M866" s="374"/>
      <c r="N866" s="374"/>
      <c r="O866" s="374"/>
      <c r="P866" s="374"/>
      <c r="Q866" s="374"/>
      <c r="R866" s="374"/>
      <c r="S866" s="374"/>
      <c r="T866" s="374"/>
      <c r="U866" s="374"/>
      <c r="V866" s="374"/>
      <c r="W866" s="374"/>
      <c r="X866" s="374"/>
      <c r="Y866" s="374"/>
      <c r="Z866" s="374"/>
    </row>
    <row r="867" ht="15.75" customHeight="1">
      <c r="A867" s="374"/>
      <c r="B867" s="374"/>
      <c r="C867" s="374"/>
      <c r="D867" s="374"/>
      <c r="E867" s="374"/>
      <c r="F867" s="374"/>
      <c r="G867" s="388"/>
      <c r="H867" s="388"/>
      <c r="I867" s="374"/>
      <c r="J867" s="374"/>
      <c r="K867" s="374"/>
      <c r="L867" s="374"/>
      <c r="M867" s="374"/>
      <c r="N867" s="374"/>
      <c r="O867" s="374"/>
      <c r="P867" s="374"/>
      <c r="Q867" s="374"/>
      <c r="R867" s="374"/>
      <c r="S867" s="374"/>
      <c r="T867" s="374"/>
      <c r="U867" s="374"/>
      <c r="V867" s="374"/>
      <c r="W867" s="374"/>
      <c r="X867" s="374"/>
      <c r="Y867" s="374"/>
      <c r="Z867" s="374"/>
    </row>
    <row r="868" ht="15.75" customHeight="1">
      <c r="A868" s="374"/>
      <c r="B868" s="374"/>
      <c r="C868" s="374"/>
      <c r="D868" s="374"/>
      <c r="E868" s="374"/>
      <c r="F868" s="374"/>
      <c r="G868" s="388"/>
      <c r="H868" s="388"/>
      <c r="I868" s="374"/>
      <c r="J868" s="374"/>
      <c r="K868" s="374"/>
      <c r="L868" s="374"/>
      <c r="M868" s="374"/>
      <c r="N868" s="374"/>
      <c r="O868" s="374"/>
      <c r="P868" s="374"/>
      <c r="Q868" s="374"/>
      <c r="R868" s="374"/>
      <c r="S868" s="374"/>
      <c r="T868" s="374"/>
      <c r="U868" s="374"/>
      <c r="V868" s="374"/>
      <c r="W868" s="374"/>
      <c r="X868" s="374"/>
      <c r="Y868" s="374"/>
      <c r="Z868" s="374"/>
    </row>
    <row r="869" ht="15.75" customHeight="1">
      <c r="A869" s="374"/>
      <c r="B869" s="374"/>
      <c r="C869" s="374"/>
      <c r="D869" s="374"/>
      <c r="E869" s="374"/>
      <c r="F869" s="374"/>
      <c r="G869" s="388"/>
      <c r="H869" s="388"/>
      <c r="I869" s="374"/>
      <c r="J869" s="374"/>
      <c r="K869" s="374"/>
      <c r="L869" s="374"/>
      <c r="M869" s="374"/>
      <c r="N869" s="374"/>
      <c r="O869" s="374"/>
      <c r="P869" s="374"/>
      <c r="Q869" s="374"/>
      <c r="R869" s="374"/>
      <c r="S869" s="374"/>
      <c r="T869" s="374"/>
      <c r="U869" s="374"/>
      <c r="V869" s="374"/>
      <c r="W869" s="374"/>
      <c r="X869" s="374"/>
      <c r="Y869" s="374"/>
      <c r="Z869" s="374"/>
    </row>
    <row r="870" ht="15.75" customHeight="1">
      <c r="A870" s="374"/>
      <c r="B870" s="374"/>
      <c r="C870" s="374"/>
      <c r="D870" s="374"/>
      <c r="E870" s="374"/>
      <c r="F870" s="374"/>
      <c r="G870" s="388"/>
      <c r="H870" s="388"/>
      <c r="I870" s="374"/>
      <c r="J870" s="374"/>
      <c r="K870" s="374"/>
      <c r="L870" s="374"/>
      <c r="M870" s="374"/>
      <c r="N870" s="374"/>
      <c r="O870" s="374"/>
      <c r="P870" s="374"/>
      <c r="Q870" s="374"/>
      <c r="R870" s="374"/>
      <c r="S870" s="374"/>
      <c r="T870" s="374"/>
      <c r="U870" s="374"/>
      <c r="V870" s="374"/>
      <c r="W870" s="374"/>
      <c r="X870" s="374"/>
      <c r="Y870" s="374"/>
      <c r="Z870" s="374"/>
    </row>
    <row r="871" ht="15.75" customHeight="1">
      <c r="A871" s="374"/>
      <c r="B871" s="374"/>
      <c r="C871" s="374"/>
      <c r="D871" s="374"/>
      <c r="E871" s="374"/>
      <c r="F871" s="374"/>
      <c r="G871" s="388"/>
      <c r="H871" s="388"/>
      <c r="I871" s="374"/>
      <c r="J871" s="374"/>
      <c r="K871" s="374"/>
      <c r="L871" s="374"/>
      <c r="M871" s="374"/>
      <c r="N871" s="374"/>
      <c r="O871" s="374"/>
      <c r="P871" s="374"/>
      <c r="Q871" s="374"/>
      <c r="R871" s="374"/>
      <c r="S871" s="374"/>
      <c r="T871" s="374"/>
      <c r="U871" s="374"/>
      <c r="V871" s="374"/>
      <c r="W871" s="374"/>
      <c r="X871" s="374"/>
      <c r="Y871" s="374"/>
      <c r="Z871" s="374"/>
    </row>
    <row r="872" ht="15.75" customHeight="1">
      <c r="A872" s="374"/>
      <c r="B872" s="374"/>
      <c r="C872" s="374"/>
      <c r="D872" s="374"/>
      <c r="E872" s="374"/>
      <c r="F872" s="374"/>
      <c r="G872" s="388"/>
      <c r="H872" s="388"/>
      <c r="I872" s="374"/>
      <c r="J872" s="374"/>
      <c r="K872" s="374"/>
      <c r="L872" s="374"/>
      <c r="M872" s="374"/>
      <c r="N872" s="374"/>
      <c r="O872" s="374"/>
      <c r="P872" s="374"/>
      <c r="Q872" s="374"/>
      <c r="R872" s="374"/>
      <c r="S872" s="374"/>
      <c r="T872" s="374"/>
      <c r="U872" s="374"/>
      <c r="V872" s="374"/>
      <c r="W872" s="374"/>
      <c r="X872" s="374"/>
      <c r="Y872" s="374"/>
      <c r="Z872" s="374"/>
    </row>
    <row r="873" ht="15.75" customHeight="1">
      <c r="A873" s="374"/>
      <c r="B873" s="374"/>
      <c r="C873" s="374"/>
      <c r="D873" s="374"/>
      <c r="E873" s="374"/>
      <c r="F873" s="374"/>
      <c r="G873" s="388"/>
      <c r="H873" s="388"/>
      <c r="I873" s="374"/>
      <c r="J873" s="374"/>
      <c r="K873" s="374"/>
      <c r="L873" s="374"/>
      <c r="M873" s="374"/>
      <c r="N873" s="374"/>
      <c r="O873" s="374"/>
      <c r="P873" s="374"/>
      <c r="Q873" s="374"/>
      <c r="R873" s="374"/>
      <c r="S873" s="374"/>
      <c r="T873" s="374"/>
      <c r="U873" s="374"/>
      <c r="V873" s="374"/>
      <c r="W873" s="374"/>
      <c r="X873" s="374"/>
      <c r="Y873" s="374"/>
      <c r="Z873" s="374"/>
    </row>
    <row r="874" ht="15.75" customHeight="1">
      <c r="A874" s="374"/>
      <c r="B874" s="374"/>
      <c r="C874" s="374"/>
      <c r="D874" s="374"/>
      <c r="E874" s="374"/>
      <c r="F874" s="374"/>
      <c r="G874" s="388"/>
      <c r="H874" s="388"/>
      <c r="I874" s="374"/>
      <c r="J874" s="374"/>
      <c r="K874" s="374"/>
      <c r="L874" s="374"/>
      <c r="M874" s="374"/>
      <c r="N874" s="374"/>
      <c r="O874" s="374"/>
      <c r="P874" s="374"/>
      <c r="Q874" s="374"/>
      <c r="R874" s="374"/>
      <c r="S874" s="374"/>
      <c r="T874" s="374"/>
      <c r="U874" s="374"/>
      <c r="V874" s="374"/>
      <c r="W874" s="374"/>
      <c r="X874" s="374"/>
      <c r="Y874" s="374"/>
      <c r="Z874" s="374"/>
    </row>
    <row r="875" ht="15.75" customHeight="1">
      <c r="A875" s="374"/>
      <c r="B875" s="374"/>
      <c r="C875" s="374"/>
      <c r="D875" s="374"/>
      <c r="E875" s="374"/>
      <c r="F875" s="374"/>
      <c r="G875" s="388"/>
      <c r="H875" s="388"/>
      <c r="I875" s="374"/>
      <c r="J875" s="374"/>
      <c r="K875" s="374"/>
      <c r="L875" s="374"/>
      <c r="M875" s="374"/>
      <c r="N875" s="374"/>
      <c r="O875" s="374"/>
      <c r="P875" s="374"/>
      <c r="Q875" s="374"/>
      <c r="R875" s="374"/>
      <c r="S875" s="374"/>
      <c r="T875" s="374"/>
      <c r="U875" s="374"/>
      <c r="V875" s="374"/>
      <c r="W875" s="374"/>
      <c r="X875" s="374"/>
      <c r="Y875" s="374"/>
      <c r="Z875" s="374"/>
    </row>
    <row r="876" ht="15.75" customHeight="1">
      <c r="A876" s="374"/>
      <c r="B876" s="374"/>
      <c r="C876" s="374"/>
      <c r="D876" s="374"/>
      <c r="E876" s="374"/>
      <c r="F876" s="374"/>
      <c r="G876" s="388"/>
      <c r="H876" s="388"/>
      <c r="I876" s="374"/>
      <c r="J876" s="374"/>
      <c r="K876" s="374"/>
      <c r="L876" s="374"/>
      <c r="M876" s="374"/>
      <c r="N876" s="374"/>
      <c r="O876" s="374"/>
      <c r="P876" s="374"/>
      <c r="Q876" s="374"/>
      <c r="R876" s="374"/>
      <c r="S876" s="374"/>
      <c r="T876" s="374"/>
      <c r="U876" s="374"/>
      <c r="V876" s="374"/>
      <c r="W876" s="374"/>
      <c r="X876" s="374"/>
      <c r="Y876" s="374"/>
      <c r="Z876" s="374"/>
    </row>
    <row r="877" ht="15.75" customHeight="1">
      <c r="A877" s="374"/>
      <c r="B877" s="374"/>
      <c r="C877" s="374"/>
      <c r="D877" s="374"/>
      <c r="E877" s="374"/>
      <c r="F877" s="374"/>
      <c r="G877" s="388"/>
      <c r="H877" s="388"/>
      <c r="I877" s="374"/>
      <c r="J877" s="374"/>
      <c r="K877" s="374"/>
      <c r="L877" s="374"/>
      <c r="M877" s="374"/>
      <c r="N877" s="374"/>
      <c r="O877" s="374"/>
      <c r="P877" s="374"/>
      <c r="Q877" s="374"/>
      <c r="R877" s="374"/>
      <c r="S877" s="374"/>
      <c r="T877" s="374"/>
      <c r="U877" s="374"/>
      <c r="V877" s="374"/>
      <c r="W877" s="374"/>
      <c r="X877" s="374"/>
      <c r="Y877" s="374"/>
      <c r="Z877" s="374"/>
    </row>
    <row r="878" ht="15.75" customHeight="1">
      <c r="A878" s="374"/>
      <c r="B878" s="374"/>
      <c r="C878" s="374"/>
      <c r="D878" s="374"/>
      <c r="E878" s="374"/>
      <c r="F878" s="374"/>
      <c r="G878" s="388"/>
      <c r="H878" s="388"/>
      <c r="I878" s="374"/>
      <c r="J878" s="374"/>
      <c r="K878" s="374"/>
      <c r="L878" s="374"/>
      <c r="M878" s="374"/>
      <c r="N878" s="374"/>
      <c r="O878" s="374"/>
      <c r="P878" s="374"/>
      <c r="Q878" s="374"/>
      <c r="R878" s="374"/>
      <c r="S878" s="374"/>
      <c r="T878" s="374"/>
      <c r="U878" s="374"/>
      <c r="V878" s="374"/>
      <c r="W878" s="374"/>
      <c r="X878" s="374"/>
      <c r="Y878" s="374"/>
      <c r="Z878" s="374"/>
    </row>
    <row r="879" ht="15.75" customHeight="1">
      <c r="A879" s="374"/>
      <c r="B879" s="374"/>
      <c r="C879" s="374"/>
      <c r="D879" s="374"/>
      <c r="E879" s="374"/>
      <c r="F879" s="374"/>
      <c r="G879" s="388"/>
      <c r="H879" s="388"/>
      <c r="I879" s="374"/>
      <c r="J879" s="374"/>
      <c r="K879" s="374"/>
      <c r="L879" s="374"/>
      <c r="M879" s="374"/>
      <c r="N879" s="374"/>
      <c r="O879" s="374"/>
      <c r="P879" s="374"/>
      <c r="Q879" s="374"/>
      <c r="R879" s="374"/>
      <c r="S879" s="374"/>
      <c r="T879" s="374"/>
      <c r="U879" s="374"/>
      <c r="V879" s="374"/>
      <c r="W879" s="374"/>
      <c r="X879" s="374"/>
      <c r="Y879" s="374"/>
      <c r="Z879" s="374"/>
    </row>
    <row r="880" ht="15.75" customHeight="1">
      <c r="A880" s="374"/>
      <c r="B880" s="374"/>
      <c r="C880" s="374"/>
      <c r="D880" s="374"/>
      <c r="E880" s="374"/>
      <c r="F880" s="374"/>
      <c r="G880" s="388"/>
      <c r="H880" s="388"/>
      <c r="I880" s="374"/>
      <c r="J880" s="374"/>
      <c r="K880" s="374"/>
      <c r="L880" s="374"/>
      <c r="M880" s="374"/>
      <c r="N880" s="374"/>
      <c r="O880" s="374"/>
      <c r="P880" s="374"/>
      <c r="Q880" s="374"/>
      <c r="R880" s="374"/>
      <c r="S880" s="374"/>
      <c r="T880" s="374"/>
      <c r="U880" s="374"/>
      <c r="V880" s="374"/>
      <c r="W880" s="374"/>
      <c r="X880" s="374"/>
      <c r="Y880" s="374"/>
      <c r="Z880" s="374"/>
    </row>
    <row r="881" ht="15.75" customHeight="1">
      <c r="A881" s="374"/>
      <c r="B881" s="374"/>
      <c r="C881" s="374"/>
      <c r="D881" s="374"/>
      <c r="E881" s="374"/>
      <c r="F881" s="374"/>
      <c r="G881" s="388"/>
      <c r="H881" s="388"/>
      <c r="I881" s="374"/>
      <c r="J881" s="374"/>
      <c r="K881" s="374"/>
      <c r="L881" s="374"/>
      <c r="M881" s="374"/>
      <c r="N881" s="374"/>
      <c r="O881" s="374"/>
      <c r="P881" s="374"/>
      <c r="Q881" s="374"/>
      <c r="R881" s="374"/>
      <c r="S881" s="374"/>
      <c r="T881" s="374"/>
      <c r="U881" s="374"/>
      <c r="V881" s="374"/>
      <c r="W881" s="374"/>
      <c r="X881" s="374"/>
      <c r="Y881" s="374"/>
      <c r="Z881" s="374"/>
    </row>
    <row r="882" ht="15.75" customHeight="1">
      <c r="A882" s="374"/>
      <c r="B882" s="374"/>
      <c r="C882" s="374"/>
      <c r="D882" s="374"/>
      <c r="E882" s="374"/>
      <c r="F882" s="374"/>
      <c r="G882" s="388"/>
      <c r="H882" s="388"/>
      <c r="I882" s="374"/>
      <c r="J882" s="374"/>
      <c r="K882" s="374"/>
      <c r="L882" s="374"/>
      <c r="M882" s="374"/>
      <c r="N882" s="374"/>
      <c r="O882" s="374"/>
      <c r="P882" s="374"/>
      <c r="Q882" s="374"/>
      <c r="R882" s="374"/>
      <c r="S882" s="374"/>
      <c r="T882" s="374"/>
      <c r="U882" s="374"/>
      <c r="V882" s="374"/>
      <c r="W882" s="374"/>
      <c r="X882" s="374"/>
      <c r="Y882" s="374"/>
      <c r="Z882" s="374"/>
    </row>
    <row r="883" ht="15.75" customHeight="1">
      <c r="A883" s="374"/>
      <c r="B883" s="374"/>
      <c r="C883" s="374"/>
      <c r="D883" s="374"/>
      <c r="E883" s="374"/>
      <c r="F883" s="374"/>
      <c r="G883" s="388"/>
      <c r="H883" s="388"/>
      <c r="I883" s="374"/>
      <c r="J883" s="374"/>
      <c r="K883" s="374"/>
      <c r="L883" s="374"/>
      <c r="M883" s="374"/>
      <c r="N883" s="374"/>
      <c r="O883" s="374"/>
      <c r="P883" s="374"/>
      <c r="Q883" s="374"/>
      <c r="R883" s="374"/>
      <c r="S883" s="374"/>
      <c r="T883" s="374"/>
      <c r="U883" s="374"/>
      <c r="V883" s="374"/>
      <c r="W883" s="374"/>
      <c r="X883" s="374"/>
      <c r="Y883" s="374"/>
      <c r="Z883" s="374"/>
    </row>
    <row r="884" ht="15.75" customHeight="1">
      <c r="A884" s="374"/>
      <c r="B884" s="374"/>
      <c r="C884" s="374"/>
      <c r="D884" s="374"/>
      <c r="E884" s="374"/>
      <c r="F884" s="374"/>
      <c r="G884" s="388"/>
      <c r="H884" s="388"/>
      <c r="I884" s="374"/>
      <c r="J884" s="374"/>
      <c r="K884" s="374"/>
      <c r="L884" s="374"/>
      <c r="M884" s="374"/>
      <c r="N884" s="374"/>
      <c r="O884" s="374"/>
      <c r="P884" s="374"/>
      <c r="Q884" s="374"/>
      <c r="R884" s="374"/>
      <c r="S884" s="374"/>
      <c r="T884" s="374"/>
      <c r="U884" s="374"/>
      <c r="V884" s="374"/>
      <c r="W884" s="374"/>
      <c r="X884" s="374"/>
      <c r="Y884" s="374"/>
      <c r="Z884" s="374"/>
    </row>
    <row r="885" ht="15.75" customHeight="1">
      <c r="A885" s="374"/>
      <c r="B885" s="374"/>
      <c r="C885" s="374"/>
      <c r="D885" s="374"/>
      <c r="E885" s="374"/>
      <c r="F885" s="374"/>
      <c r="G885" s="388"/>
      <c r="H885" s="388"/>
      <c r="I885" s="374"/>
      <c r="J885" s="374"/>
      <c r="K885" s="374"/>
      <c r="L885" s="374"/>
      <c r="M885" s="374"/>
      <c r="N885" s="374"/>
      <c r="O885" s="374"/>
      <c r="P885" s="374"/>
      <c r="Q885" s="374"/>
      <c r="R885" s="374"/>
      <c r="S885" s="374"/>
      <c r="T885" s="374"/>
      <c r="U885" s="374"/>
      <c r="V885" s="374"/>
      <c r="W885" s="374"/>
      <c r="X885" s="374"/>
      <c r="Y885" s="374"/>
      <c r="Z885" s="374"/>
    </row>
    <row r="886" ht="15.75" customHeight="1">
      <c r="A886" s="374"/>
      <c r="B886" s="374"/>
      <c r="C886" s="374"/>
      <c r="D886" s="374"/>
      <c r="E886" s="374"/>
      <c r="F886" s="374"/>
      <c r="G886" s="388"/>
      <c r="H886" s="388"/>
      <c r="I886" s="374"/>
      <c r="J886" s="374"/>
      <c r="K886" s="374"/>
      <c r="L886" s="374"/>
      <c r="M886" s="374"/>
      <c r="N886" s="374"/>
      <c r="O886" s="374"/>
      <c r="P886" s="374"/>
      <c r="Q886" s="374"/>
      <c r="R886" s="374"/>
      <c r="S886" s="374"/>
      <c r="T886" s="374"/>
      <c r="U886" s="374"/>
      <c r="V886" s="374"/>
      <c r="W886" s="374"/>
      <c r="X886" s="374"/>
      <c r="Y886" s="374"/>
      <c r="Z886" s="374"/>
    </row>
    <row r="887" ht="15.75" customHeight="1">
      <c r="A887" s="374"/>
      <c r="B887" s="374"/>
      <c r="C887" s="374"/>
      <c r="D887" s="374"/>
      <c r="E887" s="374"/>
      <c r="F887" s="374"/>
      <c r="G887" s="388"/>
      <c r="H887" s="388"/>
      <c r="I887" s="374"/>
      <c r="J887" s="374"/>
      <c r="K887" s="374"/>
      <c r="L887" s="374"/>
      <c r="M887" s="374"/>
      <c r="N887" s="374"/>
      <c r="O887" s="374"/>
      <c r="P887" s="374"/>
      <c r="Q887" s="374"/>
      <c r="R887" s="374"/>
      <c r="S887" s="374"/>
      <c r="T887" s="374"/>
      <c r="U887" s="374"/>
      <c r="V887" s="374"/>
      <c r="W887" s="374"/>
      <c r="X887" s="374"/>
      <c r="Y887" s="374"/>
      <c r="Z887" s="374"/>
    </row>
    <row r="888" ht="15.75" customHeight="1">
      <c r="A888" s="374"/>
      <c r="B888" s="374"/>
      <c r="C888" s="374"/>
      <c r="D888" s="374"/>
      <c r="E888" s="374"/>
      <c r="F888" s="374"/>
      <c r="G888" s="388"/>
      <c r="H888" s="388"/>
      <c r="I888" s="374"/>
      <c r="J888" s="374"/>
      <c r="K888" s="374"/>
      <c r="L888" s="374"/>
      <c r="M888" s="374"/>
      <c r="N888" s="374"/>
      <c r="O888" s="374"/>
      <c r="P888" s="374"/>
      <c r="Q888" s="374"/>
      <c r="R888" s="374"/>
      <c r="S888" s="374"/>
      <c r="T888" s="374"/>
      <c r="U888" s="374"/>
      <c r="V888" s="374"/>
      <c r="W888" s="374"/>
      <c r="X888" s="374"/>
      <c r="Y888" s="374"/>
      <c r="Z888" s="374"/>
    </row>
    <row r="889" ht="15.75" customHeight="1">
      <c r="A889" s="374"/>
      <c r="B889" s="374"/>
      <c r="C889" s="374"/>
      <c r="D889" s="374"/>
      <c r="E889" s="374"/>
      <c r="F889" s="374"/>
      <c r="G889" s="388"/>
      <c r="H889" s="388"/>
      <c r="I889" s="374"/>
      <c r="J889" s="374"/>
      <c r="K889" s="374"/>
      <c r="L889" s="374"/>
      <c r="M889" s="374"/>
      <c r="N889" s="374"/>
      <c r="O889" s="374"/>
      <c r="P889" s="374"/>
      <c r="Q889" s="374"/>
      <c r="R889" s="374"/>
      <c r="S889" s="374"/>
      <c r="T889" s="374"/>
      <c r="U889" s="374"/>
      <c r="V889" s="374"/>
      <c r="W889" s="374"/>
      <c r="X889" s="374"/>
      <c r="Y889" s="374"/>
      <c r="Z889" s="374"/>
    </row>
    <row r="890" ht="15.75" customHeight="1">
      <c r="A890" s="374"/>
      <c r="B890" s="374"/>
      <c r="C890" s="374"/>
      <c r="D890" s="374"/>
      <c r="E890" s="374"/>
      <c r="F890" s="374"/>
      <c r="G890" s="388"/>
      <c r="H890" s="388"/>
      <c r="I890" s="374"/>
      <c r="J890" s="374"/>
      <c r="K890" s="374"/>
      <c r="L890" s="374"/>
      <c r="M890" s="374"/>
      <c r="N890" s="374"/>
      <c r="O890" s="374"/>
      <c r="P890" s="374"/>
      <c r="Q890" s="374"/>
      <c r="R890" s="374"/>
      <c r="S890" s="374"/>
      <c r="T890" s="374"/>
      <c r="U890" s="374"/>
      <c r="V890" s="374"/>
      <c r="W890" s="374"/>
      <c r="X890" s="374"/>
      <c r="Y890" s="374"/>
      <c r="Z890" s="374"/>
    </row>
    <row r="891" ht="15.75" customHeight="1">
      <c r="A891" s="374"/>
      <c r="B891" s="374"/>
      <c r="C891" s="374"/>
      <c r="D891" s="374"/>
      <c r="E891" s="374"/>
      <c r="F891" s="374"/>
      <c r="G891" s="388"/>
      <c r="H891" s="388"/>
      <c r="I891" s="374"/>
      <c r="J891" s="374"/>
      <c r="K891" s="374"/>
      <c r="L891" s="374"/>
      <c r="M891" s="374"/>
      <c r="N891" s="374"/>
      <c r="O891" s="374"/>
      <c r="P891" s="374"/>
      <c r="Q891" s="374"/>
      <c r="R891" s="374"/>
      <c r="S891" s="374"/>
      <c r="T891" s="374"/>
      <c r="U891" s="374"/>
      <c r="V891" s="374"/>
      <c r="W891" s="374"/>
      <c r="X891" s="374"/>
      <c r="Y891" s="374"/>
      <c r="Z891" s="374"/>
    </row>
    <row r="892" ht="15.75" customHeight="1">
      <c r="A892" s="374"/>
      <c r="B892" s="374"/>
      <c r="C892" s="374"/>
      <c r="D892" s="374"/>
      <c r="E892" s="374"/>
      <c r="F892" s="374"/>
      <c r="G892" s="388"/>
      <c r="H892" s="388"/>
      <c r="I892" s="374"/>
      <c r="J892" s="374"/>
      <c r="K892" s="374"/>
      <c r="L892" s="374"/>
      <c r="M892" s="374"/>
      <c r="N892" s="374"/>
      <c r="O892" s="374"/>
      <c r="P892" s="374"/>
      <c r="Q892" s="374"/>
      <c r="R892" s="374"/>
      <c r="S892" s="374"/>
      <c r="T892" s="374"/>
      <c r="U892" s="374"/>
      <c r="V892" s="374"/>
      <c r="W892" s="374"/>
      <c r="X892" s="374"/>
      <c r="Y892" s="374"/>
      <c r="Z892" s="374"/>
    </row>
    <row r="893" ht="15.75" customHeight="1">
      <c r="A893" s="374"/>
      <c r="B893" s="374"/>
      <c r="C893" s="374"/>
      <c r="D893" s="374"/>
      <c r="E893" s="374"/>
      <c r="F893" s="374"/>
      <c r="G893" s="388"/>
      <c r="H893" s="388"/>
      <c r="I893" s="374"/>
      <c r="J893" s="374"/>
      <c r="K893" s="374"/>
      <c r="L893" s="374"/>
      <c r="M893" s="374"/>
      <c r="N893" s="374"/>
      <c r="O893" s="374"/>
      <c r="P893" s="374"/>
      <c r="Q893" s="374"/>
      <c r="R893" s="374"/>
      <c r="S893" s="374"/>
      <c r="T893" s="374"/>
      <c r="U893" s="374"/>
      <c r="V893" s="374"/>
      <c r="W893" s="374"/>
      <c r="X893" s="374"/>
      <c r="Y893" s="374"/>
      <c r="Z893" s="374"/>
    </row>
    <row r="894" ht="15.75" customHeight="1">
      <c r="A894" s="374"/>
      <c r="B894" s="374"/>
      <c r="C894" s="374"/>
      <c r="D894" s="374"/>
      <c r="E894" s="374"/>
      <c r="F894" s="374"/>
      <c r="G894" s="388"/>
      <c r="H894" s="388"/>
      <c r="I894" s="374"/>
      <c r="J894" s="374"/>
      <c r="K894" s="374"/>
      <c r="L894" s="374"/>
      <c r="M894" s="374"/>
      <c r="N894" s="374"/>
      <c r="O894" s="374"/>
      <c r="P894" s="374"/>
      <c r="Q894" s="374"/>
      <c r="R894" s="374"/>
      <c r="S894" s="374"/>
      <c r="T894" s="374"/>
      <c r="U894" s="374"/>
      <c r="V894" s="374"/>
      <c r="W894" s="374"/>
      <c r="X894" s="374"/>
      <c r="Y894" s="374"/>
      <c r="Z894" s="374"/>
    </row>
    <row r="895" ht="15.75" customHeight="1">
      <c r="A895" s="374"/>
      <c r="B895" s="374"/>
      <c r="C895" s="374"/>
      <c r="D895" s="374"/>
      <c r="E895" s="374"/>
      <c r="F895" s="374"/>
      <c r="G895" s="388"/>
      <c r="H895" s="388"/>
      <c r="I895" s="374"/>
      <c r="J895" s="374"/>
      <c r="K895" s="374"/>
      <c r="L895" s="374"/>
      <c r="M895" s="374"/>
      <c r="N895" s="374"/>
      <c r="O895" s="374"/>
      <c r="P895" s="374"/>
      <c r="Q895" s="374"/>
      <c r="R895" s="374"/>
      <c r="S895" s="374"/>
      <c r="T895" s="374"/>
      <c r="U895" s="374"/>
      <c r="V895" s="374"/>
      <c r="W895" s="374"/>
      <c r="X895" s="374"/>
      <c r="Y895" s="374"/>
      <c r="Z895" s="374"/>
    </row>
    <row r="896" ht="15.75" customHeight="1">
      <c r="A896" s="374"/>
      <c r="B896" s="374"/>
      <c r="C896" s="374"/>
      <c r="D896" s="374"/>
      <c r="E896" s="374"/>
      <c r="F896" s="374"/>
      <c r="G896" s="388"/>
      <c r="H896" s="388"/>
      <c r="I896" s="374"/>
      <c r="J896" s="374"/>
      <c r="K896" s="374"/>
      <c r="L896" s="374"/>
      <c r="M896" s="374"/>
      <c r="N896" s="374"/>
      <c r="O896" s="374"/>
      <c r="P896" s="374"/>
      <c r="Q896" s="374"/>
      <c r="R896" s="374"/>
      <c r="S896" s="374"/>
      <c r="T896" s="374"/>
      <c r="U896" s="374"/>
      <c r="V896" s="374"/>
      <c r="W896" s="374"/>
      <c r="X896" s="374"/>
      <c r="Y896" s="374"/>
      <c r="Z896" s="374"/>
    </row>
    <row r="897" ht="15.75" customHeight="1">
      <c r="A897" s="374"/>
      <c r="B897" s="374"/>
      <c r="C897" s="374"/>
      <c r="D897" s="374"/>
      <c r="E897" s="374"/>
      <c r="F897" s="374"/>
      <c r="G897" s="388"/>
      <c r="H897" s="388"/>
      <c r="I897" s="374"/>
      <c r="J897" s="374"/>
      <c r="K897" s="374"/>
      <c r="L897" s="374"/>
      <c r="M897" s="374"/>
      <c r="N897" s="374"/>
      <c r="O897" s="374"/>
      <c r="P897" s="374"/>
      <c r="Q897" s="374"/>
      <c r="R897" s="374"/>
      <c r="S897" s="374"/>
      <c r="T897" s="374"/>
      <c r="U897" s="374"/>
      <c r="V897" s="374"/>
      <c r="W897" s="374"/>
      <c r="X897" s="374"/>
      <c r="Y897" s="374"/>
      <c r="Z897" s="374"/>
    </row>
    <row r="898" ht="15.75" customHeight="1">
      <c r="A898" s="374"/>
      <c r="B898" s="374"/>
      <c r="C898" s="374"/>
      <c r="D898" s="374"/>
      <c r="E898" s="374"/>
      <c r="F898" s="374"/>
      <c r="G898" s="388"/>
      <c r="H898" s="388"/>
      <c r="I898" s="374"/>
      <c r="J898" s="374"/>
      <c r="K898" s="374"/>
      <c r="L898" s="374"/>
      <c r="M898" s="374"/>
      <c r="N898" s="374"/>
      <c r="O898" s="374"/>
      <c r="P898" s="374"/>
      <c r="Q898" s="374"/>
      <c r="R898" s="374"/>
      <c r="S898" s="374"/>
      <c r="T898" s="374"/>
      <c r="U898" s="374"/>
      <c r="V898" s="374"/>
      <c r="W898" s="374"/>
      <c r="X898" s="374"/>
      <c r="Y898" s="374"/>
      <c r="Z898" s="374"/>
    </row>
    <row r="899" ht="15.75" customHeight="1">
      <c r="A899" s="374"/>
      <c r="B899" s="374"/>
      <c r="C899" s="374"/>
      <c r="D899" s="374"/>
      <c r="E899" s="374"/>
      <c r="F899" s="374"/>
      <c r="G899" s="388"/>
      <c r="H899" s="388"/>
      <c r="I899" s="374"/>
      <c r="J899" s="374"/>
      <c r="K899" s="374"/>
      <c r="L899" s="374"/>
      <c r="M899" s="374"/>
      <c r="N899" s="374"/>
      <c r="O899" s="374"/>
      <c r="P899" s="374"/>
      <c r="Q899" s="374"/>
      <c r="R899" s="374"/>
      <c r="S899" s="374"/>
      <c r="T899" s="374"/>
      <c r="U899" s="374"/>
      <c r="V899" s="374"/>
      <c r="W899" s="374"/>
      <c r="X899" s="374"/>
      <c r="Y899" s="374"/>
      <c r="Z899" s="374"/>
    </row>
    <row r="900" ht="15.75" customHeight="1">
      <c r="A900" s="374"/>
      <c r="B900" s="374"/>
      <c r="C900" s="374"/>
      <c r="D900" s="374"/>
      <c r="E900" s="374"/>
      <c r="F900" s="374"/>
      <c r="G900" s="388"/>
      <c r="H900" s="388"/>
      <c r="I900" s="374"/>
      <c r="J900" s="374"/>
      <c r="K900" s="374"/>
      <c r="L900" s="374"/>
      <c r="M900" s="374"/>
      <c r="N900" s="374"/>
      <c r="O900" s="374"/>
      <c r="P900" s="374"/>
      <c r="Q900" s="374"/>
      <c r="R900" s="374"/>
      <c r="S900" s="374"/>
      <c r="T900" s="374"/>
      <c r="U900" s="374"/>
      <c r="V900" s="374"/>
      <c r="W900" s="374"/>
      <c r="X900" s="374"/>
      <c r="Y900" s="374"/>
      <c r="Z900" s="374"/>
    </row>
    <row r="901" ht="15.75" customHeight="1">
      <c r="A901" s="374"/>
      <c r="B901" s="374"/>
      <c r="C901" s="374"/>
      <c r="D901" s="374"/>
      <c r="E901" s="374"/>
      <c r="F901" s="374"/>
      <c r="G901" s="388"/>
      <c r="H901" s="388"/>
      <c r="I901" s="374"/>
      <c r="J901" s="374"/>
      <c r="K901" s="374"/>
      <c r="L901" s="374"/>
      <c r="M901" s="374"/>
      <c r="N901" s="374"/>
      <c r="O901" s="374"/>
      <c r="P901" s="374"/>
      <c r="Q901" s="374"/>
      <c r="R901" s="374"/>
      <c r="S901" s="374"/>
      <c r="T901" s="374"/>
      <c r="U901" s="374"/>
      <c r="V901" s="374"/>
      <c r="W901" s="374"/>
      <c r="X901" s="374"/>
      <c r="Y901" s="374"/>
      <c r="Z901" s="374"/>
    </row>
    <row r="902" ht="15.75" customHeight="1">
      <c r="A902" s="374"/>
      <c r="B902" s="374"/>
      <c r="C902" s="374"/>
      <c r="D902" s="374"/>
      <c r="E902" s="374"/>
      <c r="F902" s="374"/>
      <c r="G902" s="388"/>
      <c r="H902" s="388"/>
      <c r="I902" s="374"/>
      <c r="J902" s="374"/>
      <c r="K902" s="374"/>
      <c r="L902" s="374"/>
      <c r="M902" s="374"/>
      <c r="N902" s="374"/>
      <c r="O902" s="374"/>
      <c r="P902" s="374"/>
      <c r="Q902" s="374"/>
      <c r="R902" s="374"/>
      <c r="S902" s="374"/>
      <c r="T902" s="374"/>
      <c r="U902" s="374"/>
      <c r="V902" s="374"/>
      <c r="W902" s="374"/>
      <c r="X902" s="374"/>
      <c r="Y902" s="374"/>
      <c r="Z902" s="374"/>
    </row>
    <row r="903" ht="15.75" customHeight="1">
      <c r="A903" s="374"/>
      <c r="B903" s="374"/>
      <c r="C903" s="374"/>
      <c r="D903" s="374"/>
      <c r="E903" s="374"/>
      <c r="F903" s="374"/>
      <c r="G903" s="388"/>
      <c r="H903" s="388"/>
      <c r="I903" s="374"/>
      <c r="J903" s="374"/>
      <c r="K903" s="374"/>
      <c r="L903" s="374"/>
      <c r="M903" s="374"/>
      <c r="N903" s="374"/>
      <c r="O903" s="374"/>
      <c r="P903" s="374"/>
      <c r="Q903" s="374"/>
      <c r="R903" s="374"/>
      <c r="S903" s="374"/>
      <c r="T903" s="374"/>
      <c r="U903" s="374"/>
      <c r="V903" s="374"/>
      <c r="W903" s="374"/>
      <c r="X903" s="374"/>
      <c r="Y903" s="374"/>
      <c r="Z903" s="374"/>
    </row>
    <row r="904" ht="15.75" customHeight="1">
      <c r="A904" s="374"/>
      <c r="B904" s="374"/>
      <c r="C904" s="374"/>
      <c r="D904" s="374"/>
      <c r="E904" s="374"/>
      <c r="F904" s="374"/>
      <c r="G904" s="388"/>
      <c r="H904" s="388"/>
      <c r="I904" s="374"/>
      <c r="J904" s="374"/>
      <c r="K904" s="374"/>
      <c r="L904" s="374"/>
      <c r="M904" s="374"/>
      <c r="N904" s="374"/>
      <c r="O904" s="374"/>
      <c r="P904" s="374"/>
      <c r="Q904" s="374"/>
      <c r="R904" s="374"/>
      <c r="S904" s="374"/>
      <c r="T904" s="374"/>
      <c r="U904" s="374"/>
      <c r="V904" s="374"/>
      <c r="W904" s="374"/>
      <c r="X904" s="374"/>
      <c r="Y904" s="374"/>
      <c r="Z904" s="374"/>
    </row>
    <row r="905" ht="15.75" customHeight="1">
      <c r="A905" s="374"/>
      <c r="B905" s="374"/>
      <c r="C905" s="374"/>
      <c r="D905" s="374"/>
      <c r="E905" s="374"/>
      <c r="F905" s="374"/>
      <c r="G905" s="388"/>
      <c r="H905" s="388"/>
      <c r="I905" s="374"/>
      <c r="J905" s="374"/>
      <c r="K905" s="374"/>
      <c r="L905" s="374"/>
      <c r="M905" s="374"/>
      <c r="N905" s="374"/>
      <c r="O905" s="374"/>
      <c r="P905" s="374"/>
      <c r="Q905" s="374"/>
      <c r="R905" s="374"/>
      <c r="S905" s="374"/>
      <c r="T905" s="374"/>
      <c r="U905" s="374"/>
      <c r="V905" s="374"/>
      <c r="W905" s="374"/>
      <c r="X905" s="374"/>
      <c r="Y905" s="374"/>
      <c r="Z905" s="374"/>
    </row>
    <row r="906" ht="15.75" customHeight="1">
      <c r="A906" s="374"/>
      <c r="B906" s="374"/>
      <c r="C906" s="374"/>
      <c r="D906" s="374"/>
      <c r="E906" s="374"/>
      <c r="F906" s="374"/>
      <c r="G906" s="388"/>
      <c r="H906" s="388"/>
      <c r="I906" s="374"/>
      <c r="J906" s="374"/>
      <c r="K906" s="374"/>
      <c r="L906" s="374"/>
      <c r="M906" s="374"/>
      <c r="N906" s="374"/>
      <c r="O906" s="374"/>
      <c r="P906" s="374"/>
      <c r="Q906" s="374"/>
      <c r="R906" s="374"/>
      <c r="S906" s="374"/>
      <c r="T906" s="374"/>
      <c r="U906" s="374"/>
      <c r="V906" s="374"/>
      <c r="W906" s="374"/>
      <c r="X906" s="374"/>
      <c r="Y906" s="374"/>
      <c r="Z906" s="374"/>
    </row>
    <row r="907" ht="15.75" customHeight="1">
      <c r="A907" s="374"/>
      <c r="B907" s="374"/>
      <c r="C907" s="374"/>
      <c r="D907" s="374"/>
      <c r="E907" s="374"/>
      <c r="F907" s="374"/>
      <c r="G907" s="388"/>
      <c r="H907" s="388"/>
      <c r="I907" s="374"/>
      <c r="J907" s="374"/>
      <c r="K907" s="374"/>
      <c r="L907" s="374"/>
      <c r="M907" s="374"/>
      <c r="N907" s="374"/>
      <c r="O907" s="374"/>
      <c r="P907" s="374"/>
      <c r="Q907" s="374"/>
      <c r="R907" s="374"/>
      <c r="S907" s="374"/>
      <c r="T907" s="374"/>
      <c r="U907" s="374"/>
      <c r="V907" s="374"/>
      <c r="W907" s="374"/>
      <c r="X907" s="374"/>
      <c r="Y907" s="374"/>
      <c r="Z907" s="374"/>
    </row>
    <row r="908" ht="15.75" customHeight="1">
      <c r="A908" s="374"/>
      <c r="B908" s="374"/>
      <c r="C908" s="374"/>
      <c r="D908" s="374"/>
      <c r="E908" s="374"/>
      <c r="F908" s="374"/>
      <c r="G908" s="388"/>
      <c r="H908" s="388"/>
      <c r="I908" s="374"/>
      <c r="J908" s="374"/>
      <c r="K908" s="374"/>
      <c r="L908" s="374"/>
      <c r="M908" s="374"/>
      <c r="N908" s="374"/>
      <c r="O908" s="374"/>
      <c r="P908" s="374"/>
      <c r="Q908" s="374"/>
      <c r="R908" s="374"/>
      <c r="S908" s="374"/>
      <c r="T908" s="374"/>
      <c r="U908" s="374"/>
      <c r="V908" s="374"/>
      <c r="W908" s="374"/>
      <c r="X908" s="374"/>
      <c r="Y908" s="374"/>
      <c r="Z908" s="374"/>
    </row>
    <row r="909" ht="15.75" customHeight="1">
      <c r="A909" s="374"/>
      <c r="B909" s="374"/>
      <c r="C909" s="374"/>
      <c r="D909" s="374"/>
      <c r="E909" s="374"/>
      <c r="F909" s="374"/>
      <c r="G909" s="388"/>
      <c r="H909" s="388"/>
      <c r="I909" s="374"/>
      <c r="J909" s="374"/>
      <c r="K909" s="374"/>
      <c r="L909" s="374"/>
      <c r="M909" s="374"/>
      <c r="N909" s="374"/>
      <c r="O909" s="374"/>
      <c r="P909" s="374"/>
      <c r="Q909" s="374"/>
      <c r="R909" s="374"/>
      <c r="S909" s="374"/>
      <c r="T909" s="374"/>
      <c r="U909" s="374"/>
      <c r="V909" s="374"/>
      <c r="W909" s="374"/>
      <c r="X909" s="374"/>
      <c r="Y909" s="374"/>
      <c r="Z909" s="374"/>
    </row>
    <row r="910" ht="15.75" customHeight="1">
      <c r="A910" s="374"/>
      <c r="B910" s="374"/>
      <c r="C910" s="374"/>
      <c r="D910" s="374"/>
      <c r="E910" s="374"/>
      <c r="F910" s="374"/>
      <c r="G910" s="388"/>
      <c r="H910" s="388"/>
      <c r="I910" s="374"/>
      <c r="J910" s="374"/>
      <c r="K910" s="374"/>
      <c r="L910" s="374"/>
      <c r="M910" s="374"/>
      <c r="N910" s="374"/>
      <c r="O910" s="374"/>
      <c r="P910" s="374"/>
      <c r="Q910" s="374"/>
      <c r="R910" s="374"/>
      <c r="S910" s="374"/>
      <c r="T910" s="374"/>
      <c r="U910" s="374"/>
      <c r="V910" s="374"/>
      <c r="W910" s="374"/>
      <c r="X910" s="374"/>
      <c r="Y910" s="374"/>
      <c r="Z910" s="374"/>
    </row>
    <row r="911" ht="15.75" customHeight="1">
      <c r="A911" s="374"/>
      <c r="B911" s="374"/>
      <c r="C911" s="374"/>
      <c r="D911" s="374"/>
      <c r="E911" s="374"/>
      <c r="F911" s="374"/>
      <c r="G911" s="388"/>
      <c r="H911" s="388"/>
      <c r="I911" s="374"/>
      <c r="J911" s="374"/>
      <c r="K911" s="374"/>
      <c r="L911" s="374"/>
      <c r="M911" s="374"/>
      <c r="N911" s="374"/>
      <c r="O911" s="374"/>
      <c r="P911" s="374"/>
      <c r="Q911" s="374"/>
      <c r="R911" s="374"/>
      <c r="S911" s="374"/>
      <c r="T911" s="374"/>
      <c r="U911" s="374"/>
      <c r="V911" s="374"/>
      <c r="W911" s="374"/>
      <c r="X911" s="374"/>
      <c r="Y911" s="374"/>
      <c r="Z911" s="374"/>
    </row>
    <row r="912" ht="15.75" customHeight="1">
      <c r="A912" s="374"/>
      <c r="B912" s="374"/>
      <c r="C912" s="374"/>
      <c r="D912" s="374"/>
      <c r="E912" s="374"/>
      <c r="F912" s="374"/>
      <c r="G912" s="388"/>
      <c r="H912" s="388"/>
      <c r="I912" s="374"/>
      <c r="J912" s="374"/>
      <c r="K912" s="374"/>
      <c r="L912" s="374"/>
      <c r="M912" s="374"/>
      <c r="N912" s="374"/>
      <c r="O912" s="374"/>
      <c r="P912" s="374"/>
      <c r="Q912" s="374"/>
      <c r="R912" s="374"/>
      <c r="S912" s="374"/>
      <c r="T912" s="374"/>
      <c r="U912" s="374"/>
      <c r="V912" s="374"/>
      <c r="W912" s="374"/>
      <c r="X912" s="374"/>
      <c r="Y912" s="374"/>
      <c r="Z912" s="374"/>
    </row>
    <row r="913" ht="15.75" customHeight="1">
      <c r="A913" s="374"/>
      <c r="B913" s="374"/>
      <c r="C913" s="374"/>
      <c r="D913" s="374"/>
      <c r="E913" s="374"/>
      <c r="F913" s="374"/>
      <c r="G913" s="388"/>
      <c r="H913" s="388"/>
      <c r="I913" s="374"/>
      <c r="J913" s="374"/>
      <c r="K913" s="374"/>
      <c r="L913" s="374"/>
      <c r="M913" s="374"/>
      <c r="N913" s="374"/>
      <c r="O913" s="374"/>
      <c r="P913" s="374"/>
      <c r="Q913" s="374"/>
      <c r="R913" s="374"/>
      <c r="S913" s="374"/>
      <c r="T913" s="374"/>
      <c r="U913" s="374"/>
      <c r="V913" s="374"/>
      <c r="W913" s="374"/>
      <c r="X913" s="374"/>
      <c r="Y913" s="374"/>
      <c r="Z913" s="374"/>
    </row>
    <row r="914" ht="15.75" customHeight="1">
      <c r="A914" s="374"/>
      <c r="B914" s="374"/>
      <c r="C914" s="374"/>
      <c r="D914" s="374"/>
      <c r="E914" s="374"/>
      <c r="F914" s="374"/>
      <c r="G914" s="388"/>
      <c r="H914" s="388"/>
      <c r="I914" s="374"/>
      <c r="J914" s="374"/>
      <c r="K914" s="374"/>
      <c r="L914" s="374"/>
      <c r="M914" s="374"/>
      <c r="N914" s="374"/>
      <c r="O914" s="374"/>
      <c r="P914" s="374"/>
      <c r="Q914" s="374"/>
      <c r="R914" s="374"/>
      <c r="S914" s="374"/>
      <c r="T914" s="374"/>
      <c r="U914" s="374"/>
      <c r="V914" s="374"/>
      <c r="W914" s="374"/>
      <c r="X914" s="374"/>
      <c r="Y914" s="374"/>
      <c r="Z914" s="374"/>
    </row>
    <row r="915" ht="15.75" customHeight="1">
      <c r="A915" s="374"/>
      <c r="B915" s="374"/>
      <c r="C915" s="374"/>
      <c r="D915" s="374"/>
      <c r="E915" s="374"/>
      <c r="F915" s="374"/>
      <c r="G915" s="388"/>
      <c r="H915" s="388"/>
      <c r="I915" s="374"/>
      <c r="J915" s="374"/>
      <c r="K915" s="374"/>
      <c r="L915" s="374"/>
      <c r="M915" s="374"/>
      <c r="N915" s="374"/>
      <c r="O915" s="374"/>
      <c r="P915" s="374"/>
      <c r="Q915" s="374"/>
      <c r="R915" s="374"/>
      <c r="S915" s="374"/>
      <c r="T915" s="374"/>
      <c r="U915" s="374"/>
      <c r="V915" s="374"/>
      <c r="W915" s="374"/>
      <c r="X915" s="374"/>
      <c r="Y915" s="374"/>
      <c r="Z915" s="374"/>
    </row>
    <row r="916" ht="15.75" customHeight="1">
      <c r="A916" s="374"/>
      <c r="B916" s="374"/>
      <c r="C916" s="374"/>
      <c r="D916" s="374"/>
      <c r="E916" s="374"/>
      <c r="F916" s="374"/>
      <c r="G916" s="388"/>
      <c r="H916" s="388"/>
      <c r="I916" s="374"/>
      <c r="J916" s="374"/>
      <c r="K916" s="374"/>
      <c r="L916" s="374"/>
      <c r="M916" s="374"/>
      <c r="N916" s="374"/>
      <c r="O916" s="374"/>
      <c r="P916" s="374"/>
      <c r="Q916" s="374"/>
      <c r="R916" s="374"/>
      <c r="S916" s="374"/>
      <c r="T916" s="374"/>
      <c r="U916" s="374"/>
      <c r="V916" s="374"/>
      <c r="W916" s="374"/>
      <c r="X916" s="374"/>
      <c r="Y916" s="374"/>
      <c r="Z916" s="374"/>
    </row>
    <row r="917" ht="15.75" customHeight="1">
      <c r="A917" s="374"/>
      <c r="B917" s="374"/>
      <c r="C917" s="374"/>
      <c r="D917" s="374"/>
      <c r="E917" s="374"/>
      <c r="F917" s="374"/>
      <c r="G917" s="388"/>
      <c r="H917" s="388"/>
      <c r="I917" s="374"/>
      <c r="J917" s="374"/>
      <c r="K917" s="374"/>
      <c r="L917" s="374"/>
      <c r="M917" s="374"/>
      <c r="N917" s="374"/>
      <c r="O917" s="374"/>
      <c r="P917" s="374"/>
      <c r="Q917" s="374"/>
      <c r="R917" s="374"/>
      <c r="S917" s="374"/>
      <c r="T917" s="374"/>
      <c r="U917" s="374"/>
      <c r="V917" s="374"/>
      <c r="W917" s="374"/>
      <c r="X917" s="374"/>
      <c r="Y917" s="374"/>
      <c r="Z917" s="374"/>
    </row>
    <row r="918" ht="15.75" customHeight="1">
      <c r="A918" s="374"/>
      <c r="B918" s="374"/>
      <c r="C918" s="374"/>
      <c r="D918" s="374"/>
      <c r="E918" s="374"/>
      <c r="F918" s="374"/>
      <c r="G918" s="388"/>
      <c r="H918" s="388"/>
      <c r="I918" s="374"/>
      <c r="J918" s="374"/>
      <c r="K918" s="374"/>
      <c r="L918" s="374"/>
      <c r="M918" s="374"/>
      <c r="N918" s="374"/>
      <c r="O918" s="374"/>
      <c r="P918" s="374"/>
      <c r="Q918" s="374"/>
      <c r="R918" s="374"/>
      <c r="S918" s="374"/>
      <c r="T918" s="374"/>
      <c r="U918" s="374"/>
      <c r="V918" s="374"/>
      <c r="W918" s="374"/>
      <c r="X918" s="374"/>
      <c r="Y918" s="374"/>
      <c r="Z918" s="374"/>
    </row>
    <row r="919" ht="15.75" customHeight="1">
      <c r="A919" s="374"/>
      <c r="B919" s="374"/>
      <c r="C919" s="374"/>
      <c r="D919" s="374"/>
      <c r="E919" s="374"/>
      <c r="F919" s="374"/>
      <c r="G919" s="388"/>
      <c r="H919" s="388"/>
      <c r="I919" s="374"/>
      <c r="J919" s="374"/>
      <c r="K919" s="374"/>
      <c r="L919" s="374"/>
      <c r="M919" s="374"/>
      <c r="N919" s="374"/>
      <c r="O919" s="374"/>
      <c r="P919" s="374"/>
      <c r="Q919" s="374"/>
      <c r="R919" s="374"/>
      <c r="S919" s="374"/>
      <c r="T919" s="374"/>
      <c r="U919" s="374"/>
      <c r="V919" s="374"/>
      <c r="W919" s="374"/>
      <c r="X919" s="374"/>
      <c r="Y919" s="374"/>
      <c r="Z919" s="374"/>
    </row>
    <row r="920" ht="15.75" customHeight="1">
      <c r="A920" s="374"/>
      <c r="B920" s="374"/>
      <c r="C920" s="374"/>
      <c r="D920" s="374"/>
      <c r="E920" s="374"/>
      <c r="F920" s="374"/>
      <c r="G920" s="388"/>
      <c r="H920" s="388"/>
      <c r="I920" s="374"/>
      <c r="J920" s="374"/>
      <c r="K920" s="374"/>
      <c r="L920" s="374"/>
      <c r="M920" s="374"/>
      <c r="N920" s="374"/>
      <c r="O920" s="374"/>
      <c r="P920" s="374"/>
      <c r="Q920" s="374"/>
      <c r="R920" s="374"/>
      <c r="S920" s="374"/>
      <c r="T920" s="374"/>
      <c r="U920" s="374"/>
      <c r="V920" s="374"/>
      <c r="W920" s="374"/>
      <c r="X920" s="374"/>
      <c r="Y920" s="374"/>
      <c r="Z920" s="374"/>
    </row>
    <row r="921" ht="15.75" customHeight="1">
      <c r="A921" s="374"/>
      <c r="B921" s="374"/>
      <c r="C921" s="374"/>
      <c r="D921" s="374"/>
      <c r="E921" s="374"/>
      <c r="F921" s="374"/>
      <c r="G921" s="388"/>
      <c r="H921" s="388"/>
      <c r="I921" s="374"/>
      <c r="J921" s="374"/>
      <c r="K921" s="374"/>
      <c r="L921" s="374"/>
      <c r="M921" s="374"/>
      <c r="N921" s="374"/>
      <c r="O921" s="374"/>
      <c r="P921" s="374"/>
      <c r="Q921" s="374"/>
      <c r="R921" s="374"/>
      <c r="S921" s="374"/>
      <c r="T921" s="374"/>
      <c r="U921" s="374"/>
      <c r="V921" s="374"/>
      <c r="W921" s="374"/>
      <c r="X921" s="374"/>
      <c r="Y921" s="374"/>
      <c r="Z921" s="374"/>
    </row>
    <row r="922" ht="15.75" customHeight="1">
      <c r="A922" s="374"/>
      <c r="B922" s="374"/>
      <c r="C922" s="374"/>
      <c r="D922" s="374"/>
      <c r="E922" s="374"/>
      <c r="F922" s="374"/>
      <c r="G922" s="388"/>
      <c r="H922" s="388"/>
      <c r="I922" s="374"/>
      <c r="J922" s="374"/>
      <c r="K922" s="374"/>
      <c r="L922" s="374"/>
      <c r="M922" s="374"/>
      <c r="N922" s="374"/>
      <c r="O922" s="374"/>
      <c r="P922" s="374"/>
      <c r="Q922" s="374"/>
      <c r="R922" s="374"/>
      <c r="S922" s="374"/>
      <c r="T922" s="374"/>
      <c r="U922" s="374"/>
      <c r="V922" s="374"/>
      <c r="W922" s="374"/>
      <c r="X922" s="374"/>
      <c r="Y922" s="374"/>
      <c r="Z922" s="374"/>
    </row>
    <row r="923" ht="15.75" customHeight="1">
      <c r="A923" s="374"/>
      <c r="B923" s="374"/>
      <c r="C923" s="374"/>
      <c r="D923" s="374"/>
      <c r="E923" s="374"/>
      <c r="F923" s="374"/>
      <c r="G923" s="388"/>
      <c r="H923" s="388"/>
      <c r="I923" s="374"/>
      <c r="J923" s="374"/>
      <c r="K923" s="374"/>
      <c r="L923" s="374"/>
      <c r="M923" s="374"/>
      <c r="N923" s="374"/>
      <c r="O923" s="374"/>
      <c r="P923" s="374"/>
      <c r="Q923" s="374"/>
      <c r="R923" s="374"/>
      <c r="S923" s="374"/>
      <c r="T923" s="374"/>
      <c r="U923" s="374"/>
      <c r="V923" s="374"/>
      <c r="W923" s="374"/>
      <c r="X923" s="374"/>
      <c r="Y923" s="374"/>
      <c r="Z923" s="374"/>
    </row>
    <row r="924" ht="15.75" customHeight="1">
      <c r="A924" s="374"/>
      <c r="B924" s="374"/>
      <c r="C924" s="374"/>
      <c r="D924" s="374"/>
      <c r="E924" s="374"/>
      <c r="F924" s="374"/>
      <c r="G924" s="388"/>
      <c r="H924" s="388"/>
      <c r="I924" s="374"/>
      <c r="J924" s="374"/>
      <c r="K924" s="374"/>
      <c r="L924" s="374"/>
      <c r="M924" s="374"/>
      <c r="N924" s="374"/>
      <c r="O924" s="374"/>
      <c r="P924" s="374"/>
      <c r="Q924" s="374"/>
      <c r="R924" s="374"/>
      <c r="S924" s="374"/>
      <c r="T924" s="374"/>
      <c r="U924" s="374"/>
      <c r="V924" s="374"/>
      <c r="W924" s="374"/>
      <c r="X924" s="374"/>
      <c r="Y924" s="374"/>
      <c r="Z924" s="374"/>
    </row>
    <row r="925" ht="15.75" customHeight="1">
      <c r="A925" s="374"/>
      <c r="B925" s="374"/>
      <c r="C925" s="374"/>
      <c r="D925" s="374"/>
      <c r="E925" s="374"/>
      <c r="F925" s="374"/>
      <c r="G925" s="388"/>
      <c r="H925" s="388"/>
      <c r="I925" s="374"/>
      <c r="J925" s="374"/>
      <c r="K925" s="374"/>
      <c r="L925" s="374"/>
      <c r="M925" s="374"/>
      <c r="N925" s="374"/>
      <c r="O925" s="374"/>
      <c r="P925" s="374"/>
      <c r="Q925" s="374"/>
      <c r="R925" s="374"/>
      <c r="S925" s="374"/>
      <c r="T925" s="374"/>
      <c r="U925" s="374"/>
      <c r="V925" s="374"/>
      <c r="W925" s="374"/>
      <c r="X925" s="374"/>
      <c r="Y925" s="374"/>
      <c r="Z925" s="374"/>
    </row>
    <row r="926" ht="15.75" customHeight="1">
      <c r="A926" s="374"/>
      <c r="B926" s="374"/>
      <c r="C926" s="374"/>
      <c r="D926" s="374"/>
      <c r="E926" s="374"/>
      <c r="F926" s="374"/>
      <c r="G926" s="388"/>
      <c r="H926" s="388"/>
      <c r="I926" s="374"/>
      <c r="J926" s="374"/>
      <c r="K926" s="374"/>
      <c r="L926" s="374"/>
      <c r="M926" s="374"/>
      <c r="N926" s="374"/>
      <c r="O926" s="374"/>
      <c r="P926" s="374"/>
      <c r="Q926" s="374"/>
      <c r="R926" s="374"/>
      <c r="S926" s="374"/>
      <c r="T926" s="374"/>
      <c r="U926" s="374"/>
      <c r="V926" s="374"/>
      <c r="W926" s="374"/>
      <c r="X926" s="374"/>
      <c r="Y926" s="374"/>
      <c r="Z926" s="374"/>
    </row>
    <row r="927" ht="15.75" customHeight="1">
      <c r="A927" s="374"/>
      <c r="B927" s="374"/>
      <c r="C927" s="374"/>
      <c r="D927" s="374"/>
      <c r="E927" s="374"/>
      <c r="F927" s="374"/>
      <c r="G927" s="388"/>
      <c r="H927" s="388"/>
      <c r="I927" s="374"/>
      <c r="J927" s="374"/>
      <c r="K927" s="374"/>
      <c r="L927" s="374"/>
      <c r="M927" s="374"/>
      <c r="N927" s="374"/>
      <c r="O927" s="374"/>
      <c r="P927" s="374"/>
      <c r="Q927" s="374"/>
      <c r="R927" s="374"/>
      <c r="S927" s="374"/>
      <c r="T927" s="374"/>
      <c r="U927" s="374"/>
      <c r="V927" s="374"/>
      <c r="W927" s="374"/>
      <c r="X927" s="374"/>
      <c r="Y927" s="374"/>
      <c r="Z927" s="374"/>
    </row>
    <row r="928" ht="15.75" customHeight="1">
      <c r="A928" s="374"/>
      <c r="B928" s="374"/>
      <c r="C928" s="374"/>
      <c r="D928" s="374"/>
      <c r="E928" s="374"/>
      <c r="F928" s="374"/>
      <c r="G928" s="388"/>
      <c r="H928" s="388"/>
      <c r="I928" s="374"/>
      <c r="J928" s="374"/>
      <c r="K928" s="374"/>
      <c r="L928" s="374"/>
      <c r="M928" s="374"/>
      <c r="N928" s="374"/>
      <c r="O928" s="374"/>
      <c r="P928" s="374"/>
      <c r="Q928" s="374"/>
      <c r="R928" s="374"/>
      <c r="S928" s="374"/>
      <c r="T928" s="374"/>
      <c r="U928" s="374"/>
      <c r="V928" s="374"/>
      <c r="W928" s="374"/>
      <c r="X928" s="374"/>
      <c r="Y928" s="374"/>
      <c r="Z928" s="374"/>
    </row>
    <row r="929" ht="15.75" customHeight="1">
      <c r="A929" s="374"/>
      <c r="B929" s="374"/>
      <c r="C929" s="374"/>
      <c r="D929" s="374"/>
      <c r="E929" s="374"/>
      <c r="F929" s="374"/>
      <c r="G929" s="388"/>
      <c r="H929" s="388"/>
      <c r="I929" s="374"/>
      <c r="J929" s="374"/>
      <c r="K929" s="374"/>
      <c r="L929" s="374"/>
      <c r="M929" s="374"/>
      <c r="N929" s="374"/>
      <c r="O929" s="374"/>
      <c r="P929" s="374"/>
      <c r="Q929" s="374"/>
      <c r="R929" s="374"/>
      <c r="S929" s="374"/>
      <c r="T929" s="374"/>
      <c r="U929" s="374"/>
      <c r="V929" s="374"/>
      <c r="W929" s="374"/>
      <c r="X929" s="374"/>
      <c r="Y929" s="374"/>
      <c r="Z929" s="374"/>
    </row>
    <row r="930" ht="15.75" customHeight="1">
      <c r="A930" s="374"/>
      <c r="B930" s="374"/>
      <c r="C930" s="374"/>
      <c r="D930" s="374"/>
      <c r="E930" s="374"/>
      <c r="F930" s="374"/>
      <c r="G930" s="388"/>
      <c r="H930" s="388"/>
      <c r="I930" s="374"/>
      <c r="J930" s="374"/>
      <c r="K930" s="374"/>
      <c r="L930" s="374"/>
      <c r="M930" s="374"/>
      <c r="N930" s="374"/>
      <c r="O930" s="374"/>
      <c r="P930" s="374"/>
      <c r="Q930" s="374"/>
      <c r="R930" s="374"/>
      <c r="S930" s="374"/>
      <c r="T930" s="374"/>
      <c r="U930" s="374"/>
      <c r="V930" s="374"/>
      <c r="W930" s="374"/>
      <c r="X930" s="374"/>
      <c r="Y930" s="374"/>
      <c r="Z930" s="374"/>
    </row>
    <row r="931" ht="15.75" customHeight="1">
      <c r="A931" s="374"/>
      <c r="B931" s="374"/>
      <c r="C931" s="374"/>
      <c r="D931" s="374"/>
      <c r="E931" s="374"/>
      <c r="F931" s="374"/>
      <c r="G931" s="388"/>
      <c r="H931" s="388"/>
      <c r="I931" s="374"/>
      <c r="J931" s="374"/>
      <c r="K931" s="374"/>
      <c r="L931" s="374"/>
      <c r="M931" s="374"/>
      <c r="N931" s="374"/>
      <c r="O931" s="374"/>
      <c r="P931" s="374"/>
      <c r="Q931" s="374"/>
      <c r="R931" s="374"/>
      <c r="S931" s="374"/>
      <c r="T931" s="374"/>
      <c r="U931" s="374"/>
      <c r="V931" s="374"/>
      <c r="W931" s="374"/>
      <c r="X931" s="374"/>
      <c r="Y931" s="374"/>
      <c r="Z931" s="374"/>
    </row>
    <row r="932" ht="15.75" customHeight="1">
      <c r="A932" s="374"/>
      <c r="B932" s="374"/>
      <c r="C932" s="374"/>
      <c r="D932" s="374"/>
      <c r="E932" s="374"/>
      <c r="F932" s="374"/>
      <c r="G932" s="388"/>
      <c r="H932" s="388"/>
      <c r="I932" s="374"/>
      <c r="J932" s="374"/>
      <c r="K932" s="374"/>
      <c r="L932" s="374"/>
      <c r="M932" s="374"/>
      <c r="N932" s="374"/>
      <c r="O932" s="374"/>
      <c r="P932" s="374"/>
      <c r="Q932" s="374"/>
      <c r="R932" s="374"/>
      <c r="S932" s="374"/>
      <c r="T932" s="374"/>
      <c r="U932" s="374"/>
      <c r="V932" s="374"/>
      <c r="W932" s="374"/>
      <c r="X932" s="374"/>
      <c r="Y932" s="374"/>
      <c r="Z932" s="374"/>
    </row>
    <row r="933" ht="15.75" customHeight="1">
      <c r="A933" s="374"/>
      <c r="B933" s="374"/>
      <c r="C933" s="374"/>
      <c r="D933" s="374"/>
      <c r="E933" s="374"/>
      <c r="F933" s="374"/>
      <c r="G933" s="388"/>
      <c r="H933" s="388"/>
      <c r="I933" s="374"/>
      <c r="J933" s="374"/>
      <c r="K933" s="374"/>
      <c r="L933" s="374"/>
      <c r="M933" s="374"/>
      <c r="N933" s="374"/>
      <c r="O933" s="374"/>
      <c r="P933" s="374"/>
      <c r="Q933" s="374"/>
      <c r="R933" s="374"/>
      <c r="S933" s="374"/>
      <c r="T933" s="374"/>
      <c r="U933" s="374"/>
      <c r="V933" s="374"/>
      <c r="W933" s="374"/>
      <c r="X933" s="374"/>
      <c r="Y933" s="374"/>
      <c r="Z933" s="374"/>
    </row>
    <row r="934" ht="15.75" customHeight="1">
      <c r="A934" s="374"/>
      <c r="B934" s="374"/>
      <c r="C934" s="374"/>
      <c r="D934" s="374"/>
      <c r="E934" s="374"/>
      <c r="F934" s="374"/>
      <c r="G934" s="388"/>
      <c r="H934" s="388"/>
      <c r="I934" s="374"/>
      <c r="J934" s="374"/>
      <c r="K934" s="374"/>
      <c r="L934" s="374"/>
      <c r="M934" s="374"/>
      <c r="N934" s="374"/>
      <c r="O934" s="374"/>
      <c r="P934" s="374"/>
      <c r="Q934" s="374"/>
      <c r="R934" s="374"/>
      <c r="S934" s="374"/>
      <c r="T934" s="374"/>
      <c r="U934" s="374"/>
      <c r="V934" s="374"/>
      <c r="W934" s="374"/>
      <c r="X934" s="374"/>
      <c r="Y934" s="374"/>
      <c r="Z934" s="374"/>
    </row>
    <row r="935" ht="15.75" customHeight="1">
      <c r="A935" s="374"/>
      <c r="B935" s="374"/>
      <c r="C935" s="374"/>
      <c r="D935" s="374"/>
      <c r="E935" s="374"/>
      <c r="F935" s="374"/>
      <c r="G935" s="388"/>
      <c r="H935" s="388"/>
      <c r="I935" s="374"/>
      <c r="J935" s="374"/>
      <c r="K935" s="374"/>
      <c r="L935" s="374"/>
      <c r="M935" s="374"/>
      <c r="N935" s="374"/>
      <c r="O935" s="374"/>
      <c r="P935" s="374"/>
      <c r="Q935" s="374"/>
      <c r="R935" s="374"/>
      <c r="S935" s="374"/>
      <c r="T935" s="374"/>
      <c r="U935" s="374"/>
      <c r="V935" s="374"/>
      <c r="W935" s="374"/>
      <c r="X935" s="374"/>
      <c r="Y935" s="374"/>
      <c r="Z935" s="374"/>
    </row>
    <row r="936" ht="15.75" customHeight="1">
      <c r="A936" s="374"/>
      <c r="B936" s="374"/>
      <c r="C936" s="374"/>
      <c r="D936" s="374"/>
      <c r="E936" s="374"/>
      <c r="F936" s="374"/>
      <c r="G936" s="388"/>
      <c r="H936" s="388"/>
      <c r="I936" s="374"/>
      <c r="J936" s="374"/>
      <c r="K936" s="374"/>
      <c r="L936" s="374"/>
      <c r="M936" s="374"/>
      <c r="N936" s="374"/>
      <c r="O936" s="374"/>
      <c r="P936" s="374"/>
      <c r="Q936" s="374"/>
      <c r="R936" s="374"/>
      <c r="S936" s="374"/>
      <c r="T936" s="374"/>
      <c r="U936" s="374"/>
      <c r="V936" s="374"/>
      <c r="W936" s="374"/>
      <c r="X936" s="374"/>
      <c r="Y936" s="374"/>
      <c r="Z936" s="374"/>
    </row>
    <row r="937" ht="15.75" customHeight="1">
      <c r="A937" s="374"/>
      <c r="B937" s="374"/>
      <c r="C937" s="374"/>
      <c r="D937" s="374"/>
      <c r="E937" s="374"/>
      <c r="F937" s="374"/>
      <c r="G937" s="388"/>
      <c r="H937" s="388"/>
      <c r="I937" s="374"/>
      <c r="J937" s="374"/>
      <c r="K937" s="374"/>
      <c r="L937" s="374"/>
      <c r="M937" s="374"/>
      <c r="N937" s="374"/>
      <c r="O937" s="374"/>
      <c r="P937" s="374"/>
      <c r="Q937" s="374"/>
      <c r="R937" s="374"/>
      <c r="S937" s="374"/>
      <c r="T937" s="374"/>
      <c r="U937" s="374"/>
      <c r="V937" s="374"/>
      <c r="W937" s="374"/>
      <c r="X937" s="374"/>
      <c r="Y937" s="374"/>
      <c r="Z937" s="374"/>
    </row>
    <row r="938" ht="15.75" customHeight="1">
      <c r="A938" s="374"/>
      <c r="B938" s="374"/>
      <c r="C938" s="374"/>
      <c r="D938" s="374"/>
      <c r="E938" s="374"/>
      <c r="F938" s="374"/>
      <c r="G938" s="388"/>
      <c r="H938" s="388"/>
      <c r="I938" s="374"/>
      <c r="J938" s="374"/>
      <c r="K938" s="374"/>
      <c r="L938" s="374"/>
      <c r="M938" s="374"/>
      <c r="N938" s="374"/>
      <c r="O938" s="374"/>
      <c r="P938" s="374"/>
      <c r="Q938" s="374"/>
      <c r="R938" s="374"/>
      <c r="S938" s="374"/>
      <c r="T938" s="374"/>
      <c r="U938" s="374"/>
      <c r="V938" s="374"/>
      <c r="W938" s="374"/>
      <c r="X938" s="374"/>
      <c r="Y938" s="374"/>
      <c r="Z938" s="374"/>
    </row>
    <row r="939" ht="15.75" customHeight="1">
      <c r="A939" s="374"/>
      <c r="B939" s="374"/>
      <c r="C939" s="374"/>
      <c r="D939" s="374"/>
      <c r="E939" s="374"/>
      <c r="F939" s="374"/>
      <c r="G939" s="388"/>
      <c r="H939" s="388"/>
      <c r="I939" s="374"/>
      <c r="J939" s="374"/>
      <c r="K939" s="374"/>
      <c r="L939" s="374"/>
      <c r="M939" s="374"/>
      <c r="N939" s="374"/>
      <c r="O939" s="374"/>
      <c r="P939" s="374"/>
      <c r="Q939" s="374"/>
      <c r="R939" s="374"/>
      <c r="S939" s="374"/>
      <c r="T939" s="374"/>
      <c r="U939" s="374"/>
      <c r="V939" s="374"/>
      <c r="W939" s="374"/>
      <c r="X939" s="374"/>
      <c r="Y939" s="374"/>
      <c r="Z939" s="374"/>
    </row>
    <row r="940" ht="15.75" customHeight="1">
      <c r="A940" s="374"/>
      <c r="B940" s="374"/>
      <c r="C940" s="374"/>
      <c r="D940" s="374"/>
      <c r="E940" s="374"/>
      <c r="F940" s="374"/>
      <c r="G940" s="388"/>
      <c r="H940" s="388"/>
      <c r="I940" s="374"/>
      <c r="J940" s="374"/>
      <c r="K940" s="374"/>
      <c r="L940" s="374"/>
      <c r="M940" s="374"/>
      <c r="N940" s="374"/>
      <c r="O940" s="374"/>
      <c r="P940" s="374"/>
      <c r="Q940" s="374"/>
      <c r="R940" s="374"/>
      <c r="S940" s="374"/>
      <c r="T940" s="374"/>
      <c r="U940" s="374"/>
      <c r="V940" s="374"/>
      <c r="W940" s="374"/>
      <c r="X940" s="374"/>
      <c r="Y940" s="374"/>
      <c r="Z940" s="374"/>
    </row>
    <row r="941" ht="15.75" customHeight="1">
      <c r="A941" s="374"/>
      <c r="B941" s="374"/>
      <c r="C941" s="374"/>
      <c r="D941" s="374"/>
      <c r="E941" s="374"/>
      <c r="F941" s="374"/>
      <c r="G941" s="388"/>
      <c r="H941" s="388"/>
      <c r="I941" s="374"/>
      <c r="J941" s="374"/>
      <c r="K941" s="374"/>
      <c r="L941" s="374"/>
      <c r="M941" s="374"/>
      <c r="N941" s="374"/>
      <c r="O941" s="374"/>
      <c r="P941" s="374"/>
      <c r="Q941" s="374"/>
      <c r="R941" s="374"/>
      <c r="S941" s="374"/>
      <c r="T941" s="374"/>
      <c r="U941" s="374"/>
      <c r="V941" s="374"/>
      <c r="W941" s="374"/>
      <c r="X941" s="374"/>
      <c r="Y941" s="374"/>
      <c r="Z941" s="374"/>
    </row>
    <row r="942" ht="15.75" customHeight="1">
      <c r="A942" s="374"/>
      <c r="B942" s="374"/>
      <c r="C942" s="374"/>
      <c r="D942" s="374"/>
      <c r="E942" s="374"/>
      <c r="F942" s="374"/>
      <c r="G942" s="388"/>
      <c r="H942" s="388"/>
      <c r="I942" s="374"/>
      <c r="J942" s="374"/>
      <c r="K942" s="374"/>
      <c r="L942" s="374"/>
      <c r="M942" s="374"/>
      <c r="N942" s="374"/>
      <c r="O942" s="374"/>
      <c r="P942" s="374"/>
      <c r="Q942" s="374"/>
      <c r="R942" s="374"/>
      <c r="S942" s="374"/>
      <c r="T942" s="374"/>
      <c r="U942" s="374"/>
      <c r="V942" s="374"/>
      <c r="W942" s="374"/>
      <c r="X942" s="374"/>
      <c r="Y942" s="374"/>
      <c r="Z942" s="374"/>
    </row>
    <row r="943" ht="15.75" customHeight="1">
      <c r="A943" s="374"/>
      <c r="B943" s="374"/>
      <c r="C943" s="374"/>
      <c r="D943" s="374"/>
      <c r="E943" s="374"/>
      <c r="F943" s="374"/>
      <c r="G943" s="388"/>
      <c r="H943" s="388"/>
      <c r="I943" s="374"/>
      <c r="J943" s="374"/>
      <c r="K943" s="374"/>
      <c r="L943" s="374"/>
      <c r="M943" s="374"/>
      <c r="N943" s="374"/>
      <c r="O943" s="374"/>
      <c r="P943" s="374"/>
      <c r="Q943" s="374"/>
      <c r="R943" s="374"/>
      <c r="S943" s="374"/>
      <c r="T943" s="374"/>
      <c r="U943" s="374"/>
      <c r="V943" s="374"/>
      <c r="W943" s="374"/>
      <c r="X943" s="374"/>
      <c r="Y943" s="374"/>
      <c r="Z943" s="374"/>
    </row>
    <row r="944" ht="15.75" customHeight="1">
      <c r="A944" s="374"/>
      <c r="B944" s="374"/>
      <c r="C944" s="374"/>
      <c r="D944" s="374"/>
      <c r="E944" s="374"/>
      <c r="F944" s="374"/>
      <c r="G944" s="388"/>
      <c r="H944" s="388"/>
      <c r="I944" s="374"/>
      <c r="J944" s="374"/>
      <c r="K944" s="374"/>
      <c r="L944" s="374"/>
      <c r="M944" s="374"/>
      <c r="N944" s="374"/>
      <c r="O944" s="374"/>
      <c r="P944" s="374"/>
      <c r="Q944" s="374"/>
      <c r="R944" s="374"/>
      <c r="S944" s="374"/>
      <c r="T944" s="374"/>
      <c r="U944" s="374"/>
      <c r="V944" s="374"/>
      <c r="W944" s="374"/>
      <c r="X944" s="374"/>
      <c r="Y944" s="374"/>
      <c r="Z944" s="374"/>
    </row>
    <row r="945" ht="15.75" customHeight="1">
      <c r="A945" s="374"/>
      <c r="B945" s="374"/>
      <c r="C945" s="374"/>
      <c r="D945" s="374"/>
      <c r="E945" s="374"/>
      <c r="F945" s="374"/>
      <c r="G945" s="388"/>
      <c r="H945" s="388"/>
      <c r="I945" s="374"/>
      <c r="J945" s="374"/>
      <c r="K945" s="374"/>
      <c r="L945" s="374"/>
      <c r="M945" s="374"/>
      <c r="N945" s="374"/>
      <c r="O945" s="374"/>
      <c r="P945" s="374"/>
      <c r="Q945" s="374"/>
      <c r="R945" s="374"/>
      <c r="S945" s="374"/>
      <c r="T945" s="374"/>
      <c r="U945" s="374"/>
      <c r="V945" s="374"/>
      <c r="W945" s="374"/>
      <c r="X945" s="374"/>
      <c r="Y945" s="374"/>
      <c r="Z945" s="374"/>
    </row>
    <row r="946" ht="15.75" customHeight="1">
      <c r="A946" s="374"/>
      <c r="B946" s="374"/>
      <c r="C946" s="374"/>
      <c r="D946" s="374"/>
      <c r="E946" s="374"/>
      <c r="F946" s="374"/>
      <c r="G946" s="388"/>
      <c r="H946" s="388"/>
      <c r="I946" s="374"/>
      <c r="J946" s="374"/>
      <c r="K946" s="374"/>
      <c r="L946" s="374"/>
      <c r="M946" s="374"/>
      <c r="N946" s="374"/>
      <c r="O946" s="374"/>
      <c r="P946" s="374"/>
      <c r="Q946" s="374"/>
      <c r="R946" s="374"/>
      <c r="S946" s="374"/>
      <c r="T946" s="374"/>
      <c r="U946" s="374"/>
      <c r="V946" s="374"/>
      <c r="W946" s="374"/>
      <c r="X946" s="374"/>
      <c r="Y946" s="374"/>
      <c r="Z946" s="374"/>
    </row>
    <row r="947" ht="15.75" customHeight="1">
      <c r="A947" s="374"/>
      <c r="B947" s="374"/>
      <c r="C947" s="374"/>
      <c r="D947" s="374"/>
      <c r="E947" s="374"/>
      <c r="F947" s="374"/>
      <c r="G947" s="388"/>
      <c r="H947" s="388"/>
      <c r="I947" s="374"/>
      <c r="J947" s="374"/>
      <c r="K947" s="374"/>
      <c r="L947" s="374"/>
      <c r="M947" s="374"/>
      <c r="N947" s="374"/>
      <c r="O947" s="374"/>
      <c r="P947" s="374"/>
      <c r="Q947" s="374"/>
      <c r="R947" s="374"/>
      <c r="S947" s="374"/>
      <c r="T947" s="374"/>
      <c r="U947" s="374"/>
      <c r="V947" s="374"/>
      <c r="W947" s="374"/>
      <c r="X947" s="374"/>
      <c r="Y947" s="374"/>
      <c r="Z947" s="374"/>
    </row>
    <row r="948" ht="15.75" customHeight="1">
      <c r="A948" s="374"/>
      <c r="B948" s="374"/>
      <c r="C948" s="374"/>
      <c r="D948" s="374"/>
      <c r="E948" s="374"/>
      <c r="F948" s="374"/>
      <c r="G948" s="388"/>
      <c r="H948" s="388"/>
      <c r="I948" s="374"/>
      <c r="J948" s="374"/>
      <c r="K948" s="374"/>
      <c r="L948" s="374"/>
      <c r="M948" s="374"/>
      <c r="N948" s="374"/>
      <c r="O948" s="374"/>
      <c r="P948" s="374"/>
      <c r="Q948" s="374"/>
      <c r="R948" s="374"/>
      <c r="S948" s="374"/>
      <c r="T948" s="374"/>
      <c r="U948" s="374"/>
      <c r="V948" s="374"/>
      <c r="W948" s="374"/>
      <c r="X948" s="374"/>
      <c r="Y948" s="374"/>
      <c r="Z948" s="374"/>
    </row>
    <row r="949" ht="15.75" customHeight="1">
      <c r="A949" s="374"/>
      <c r="B949" s="374"/>
      <c r="C949" s="374"/>
      <c r="D949" s="374"/>
      <c r="E949" s="374"/>
      <c r="F949" s="374"/>
      <c r="G949" s="388"/>
      <c r="H949" s="388"/>
      <c r="I949" s="374"/>
      <c r="J949" s="374"/>
      <c r="K949" s="374"/>
      <c r="L949" s="374"/>
      <c r="M949" s="374"/>
      <c r="N949" s="374"/>
      <c r="O949" s="374"/>
      <c r="P949" s="374"/>
      <c r="Q949" s="374"/>
      <c r="R949" s="374"/>
      <c r="S949" s="374"/>
      <c r="T949" s="374"/>
      <c r="U949" s="374"/>
      <c r="V949" s="374"/>
      <c r="W949" s="374"/>
      <c r="X949" s="374"/>
      <c r="Y949" s="374"/>
      <c r="Z949" s="374"/>
    </row>
    <row r="950" ht="15.75" customHeight="1">
      <c r="A950" s="374"/>
      <c r="B950" s="374"/>
      <c r="C950" s="374"/>
      <c r="D950" s="374"/>
      <c r="E950" s="374"/>
      <c r="F950" s="374"/>
      <c r="G950" s="388"/>
      <c r="H950" s="388"/>
      <c r="I950" s="374"/>
      <c r="J950" s="374"/>
      <c r="K950" s="374"/>
      <c r="L950" s="374"/>
      <c r="M950" s="374"/>
      <c r="N950" s="374"/>
      <c r="O950" s="374"/>
      <c r="P950" s="374"/>
      <c r="Q950" s="374"/>
      <c r="R950" s="374"/>
      <c r="S950" s="374"/>
      <c r="T950" s="374"/>
      <c r="U950" s="374"/>
      <c r="V950" s="374"/>
      <c r="W950" s="374"/>
      <c r="X950" s="374"/>
      <c r="Y950" s="374"/>
      <c r="Z950" s="374"/>
    </row>
    <row r="951" ht="15.75" customHeight="1">
      <c r="A951" s="374"/>
      <c r="B951" s="374"/>
      <c r="C951" s="374"/>
      <c r="D951" s="374"/>
      <c r="E951" s="374"/>
      <c r="F951" s="374"/>
      <c r="G951" s="388"/>
      <c r="H951" s="388"/>
      <c r="I951" s="374"/>
      <c r="J951" s="374"/>
      <c r="K951" s="374"/>
      <c r="L951" s="374"/>
      <c r="M951" s="374"/>
      <c r="N951" s="374"/>
      <c r="O951" s="374"/>
      <c r="P951" s="374"/>
      <c r="Q951" s="374"/>
      <c r="R951" s="374"/>
      <c r="S951" s="374"/>
      <c r="T951" s="374"/>
      <c r="U951" s="374"/>
      <c r="V951" s="374"/>
      <c r="W951" s="374"/>
      <c r="X951" s="374"/>
      <c r="Y951" s="374"/>
      <c r="Z951" s="374"/>
    </row>
    <row r="952" ht="15.75" customHeight="1">
      <c r="A952" s="374"/>
      <c r="B952" s="374"/>
      <c r="C952" s="374"/>
      <c r="D952" s="374"/>
      <c r="E952" s="374"/>
      <c r="F952" s="374"/>
      <c r="G952" s="388"/>
      <c r="H952" s="388"/>
      <c r="I952" s="374"/>
      <c r="J952" s="374"/>
      <c r="K952" s="374"/>
      <c r="L952" s="374"/>
      <c r="M952" s="374"/>
      <c r="N952" s="374"/>
      <c r="O952" s="374"/>
      <c r="P952" s="374"/>
      <c r="Q952" s="374"/>
      <c r="R952" s="374"/>
      <c r="S952" s="374"/>
      <c r="T952" s="374"/>
      <c r="U952" s="374"/>
      <c r="V952" s="374"/>
      <c r="W952" s="374"/>
      <c r="X952" s="374"/>
      <c r="Y952" s="374"/>
      <c r="Z952" s="374"/>
    </row>
    <row r="953" ht="15.75" customHeight="1">
      <c r="A953" s="374"/>
      <c r="B953" s="374"/>
      <c r="C953" s="374"/>
      <c r="D953" s="374"/>
      <c r="E953" s="374"/>
      <c r="F953" s="374"/>
      <c r="G953" s="388"/>
      <c r="H953" s="388"/>
      <c r="I953" s="374"/>
      <c r="J953" s="374"/>
      <c r="K953" s="374"/>
      <c r="L953" s="374"/>
      <c r="M953" s="374"/>
      <c r="N953" s="374"/>
      <c r="O953" s="374"/>
      <c r="P953" s="374"/>
      <c r="Q953" s="374"/>
      <c r="R953" s="374"/>
      <c r="S953" s="374"/>
      <c r="T953" s="374"/>
      <c r="U953" s="374"/>
      <c r="V953" s="374"/>
      <c r="W953" s="374"/>
      <c r="X953" s="374"/>
      <c r="Y953" s="374"/>
      <c r="Z953" s="374"/>
    </row>
    <row r="954" ht="15.75" customHeight="1">
      <c r="A954" s="374"/>
      <c r="B954" s="374"/>
      <c r="C954" s="374"/>
      <c r="D954" s="374"/>
      <c r="E954" s="374"/>
      <c r="F954" s="374"/>
      <c r="G954" s="388"/>
      <c r="H954" s="388"/>
      <c r="I954" s="374"/>
      <c r="J954" s="374"/>
      <c r="K954" s="374"/>
      <c r="L954" s="374"/>
      <c r="M954" s="374"/>
      <c r="N954" s="374"/>
      <c r="O954" s="374"/>
      <c r="P954" s="374"/>
      <c r="Q954" s="374"/>
      <c r="R954" s="374"/>
      <c r="S954" s="374"/>
      <c r="T954" s="374"/>
      <c r="U954" s="374"/>
      <c r="V954" s="374"/>
      <c r="W954" s="374"/>
      <c r="X954" s="374"/>
      <c r="Y954" s="374"/>
      <c r="Z954" s="374"/>
    </row>
    <row r="955" ht="15.75" customHeight="1">
      <c r="A955" s="374"/>
      <c r="B955" s="374"/>
      <c r="C955" s="374"/>
      <c r="D955" s="374"/>
      <c r="E955" s="374"/>
      <c r="F955" s="374"/>
      <c r="G955" s="388"/>
      <c r="H955" s="388"/>
      <c r="I955" s="374"/>
      <c r="J955" s="374"/>
      <c r="K955" s="374"/>
      <c r="L955" s="374"/>
      <c r="M955" s="374"/>
      <c r="N955" s="374"/>
      <c r="O955" s="374"/>
      <c r="P955" s="374"/>
      <c r="Q955" s="374"/>
      <c r="R955" s="374"/>
      <c r="S955" s="374"/>
      <c r="T955" s="374"/>
      <c r="U955" s="374"/>
      <c r="V955" s="374"/>
      <c r="W955" s="374"/>
      <c r="X955" s="374"/>
      <c r="Y955" s="374"/>
      <c r="Z955" s="374"/>
    </row>
    <row r="956" ht="15.75" customHeight="1">
      <c r="A956" s="374"/>
      <c r="B956" s="374"/>
      <c r="C956" s="374"/>
      <c r="D956" s="374"/>
      <c r="E956" s="374"/>
      <c r="F956" s="374"/>
      <c r="G956" s="388"/>
      <c r="H956" s="388"/>
      <c r="I956" s="374"/>
      <c r="J956" s="374"/>
      <c r="K956" s="374"/>
      <c r="L956" s="374"/>
      <c r="M956" s="374"/>
      <c r="N956" s="374"/>
      <c r="O956" s="374"/>
      <c r="P956" s="374"/>
      <c r="Q956" s="374"/>
      <c r="R956" s="374"/>
      <c r="S956" s="374"/>
      <c r="T956" s="374"/>
      <c r="U956" s="374"/>
      <c r="V956" s="374"/>
      <c r="W956" s="374"/>
      <c r="X956" s="374"/>
      <c r="Y956" s="374"/>
      <c r="Z956" s="374"/>
    </row>
    <row r="957" ht="15.75" customHeight="1">
      <c r="A957" s="374"/>
      <c r="B957" s="374"/>
      <c r="C957" s="374"/>
      <c r="D957" s="374"/>
      <c r="E957" s="374"/>
      <c r="F957" s="374"/>
      <c r="G957" s="388"/>
      <c r="H957" s="388"/>
      <c r="I957" s="374"/>
      <c r="J957" s="374"/>
      <c r="K957" s="374"/>
      <c r="L957" s="374"/>
      <c r="M957" s="374"/>
      <c r="N957" s="374"/>
      <c r="O957" s="374"/>
      <c r="P957" s="374"/>
      <c r="Q957" s="374"/>
      <c r="R957" s="374"/>
      <c r="S957" s="374"/>
      <c r="T957" s="374"/>
      <c r="U957" s="374"/>
      <c r="V957" s="374"/>
      <c r="W957" s="374"/>
      <c r="X957" s="374"/>
      <c r="Y957" s="374"/>
      <c r="Z957" s="374"/>
    </row>
    <row r="958" ht="15.75" customHeight="1">
      <c r="A958" s="374"/>
      <c r="B958" s="374"/>
      <c r="C958" s="374"/>
      <c r="D958" s="374"/>
      <c r="E958" s="374"/>
      <c r="F958" s="374"/>
      <c r="G958" s="388"/>
      <c r="H958" s="388"/>
      <c r="I958" s="374"/>
      <c r="J958" s="374"/>
      <c r="K958" s="374"/>
      <c r="L958" s="374"/>
      <c r="M958" s="374"/>
      <c r="N958" s="374"/>
      <c r="O958" s="374"/>
      <c r="P958" s="374"/>
      <c r="Q958" s="374"/>
      <c r="R958" s="374"/>
      <c r="S958" s="374"/>
      <c r="T958" s="374"/>
      <c r="U958" s="374"/>
      <c r="V958" s="374"/>
      <c r="W958" s="374"/>
      <c r="X958" s="374"/>
      <c r="Y958" s="374"/>
      <c r="Z958" s="374"/>
    </row>
    <row r="959" ht="15.75" customHeight="1">
      <c r="A959" s="374"/>
      <c r="B959" s="374"/>
      <c r="C959" s="374"/>
      <c r="D959" s="374"/>
      <c r="E959" s="374"/>
      <c r="F959" s="374"/>
      <c r="G959" s="388"/>
      <c r="H959" s="388"/>
      <c r="I959" s="374"/>
      <c r="J959" s="374"/>
      <c r="K959" s="374"/>
      <c r="L959" s="374"/>
      <c r="M959" s="374"/>
      <c r="N959" s="374"/>
      <c r="O959" s="374"/>
      <c r="P959" s="374"/>
      <c r="Q959" s="374"/>
      <c r="R959" s="374"/>
      <c r="S959" s="374"/>
      <c r="T959" s="374"/>
      <c r="U959" s="374"/>
      <c r="V959" s="374"/>
      <c r="W959" s="374"/>
      <c r="X959" s="374"/>
      <c r="Y959" s="374"/>
      <c r="Z959" s="374"/>
    </row>
    <row r="960" ht="15.75" customHeight="1">
      <c r="A960" s="374"/>
      <c r="B960" s="374"/>
      <c r="C960" s="374"/>
      <c r="D960" s="374"/>
      <c r="E960" s="374"/>
      <c r="F960" s="374"/>
      <c r="G960" s="388"/>
      <c r="H960" s="388"/>
      <c r="I960" s="374"/>
      <c r="J960" s="374"/>
      <c r="K960" s="374"/>
      <c r="L960" s="374"/>
      <c r="M960" s="374"/>
      <c r="N960" s="374"/>
      <c r="O960" s="374"/>
      <c r="P960" s="374"/>
      <c r="Q960" s="374"/>
      <c r="R960" s="374"/>
      <c r="S960" s="374"/>
      <c r="T960" s="374"/>
      <c r="U960" s="374"/>
      <c r="V960" s="374"/>
      <c r="W960" s="374"/>
      <c r="X960" s="374"/>
      <c r="Y960" s="374"/>
      <c r="Z960" s="374"/>
    </row>
    <row r="961" ht="15.75" customHeight="1">
      <c r="A961" s="374"/>
      <c r="B961" s="374"/>
      <c r="C961" s="374"/>
      <c r="D961" s="374"/>
      <c r="E961" s="374"/>
      <c r="F961" s="374"/>
      <c r="G961" s="388"/>
      <c r="H961" s="388"/>
      <c r="I961" s="374"/>
      <c r="J961" s="374"/>
      <c r="K961" s="374"/>
      <c r="L961" s="374"/>
      <c r="M961" s="374"/>
      <c r="N961" s="374"/>
      <c r="O961" s="374"/>
      <c r="P961" s="374"/>
      <c r="Q961" s="374"/>
      <c r="R961" s="374"/>
      <c r="S961" s="374"/>
      <c r="T961" s="374"/>
      <c r="U961" s="374"/>
      <c r="V961" s="374"/>
      <c r="W961" s="374"/>
      <c r="X961" s="374"/>
      <c r="Y961" s="374"/>
      <c r="Z961" s="374"/>
    </row>
    <row r="962" ht="15.75" customHeight="1">
      <c r="A962" s="374"/>
      <c r="B962" s="374"/>
      <c r="C962" s="374"/>
      <c r="D962" s="374"/>
      <c r="E962" s="374"/>
      <c r="F962" s="374"/>
      <c r="G962" s="388"/>
      <c r="H962" s="388"/>
      <c r="I962" s="374"/>
      <c r="J962" s="374"/>
      <c r="K962" s="374"/>
      <c r="L962" s="374"/>
      <c r="M962" s="374"/>
      <c r="N962" s="374"/>
      <c r="O962" s="374"/>
      <c r="P962" s="374"/>
      <c r="Q962" s="374"/>
      <c r="R962" s="374"/>
      <c r="S962" s="374"/>
      <c r="T962" s="374"/>
      <c r="U962" s="374"/>
      <c r="V962" s="374"/>
      <c r="W962" s="374"/>
      <c r="X962" s="374"/>
      <c r="Y962" s="374"/>
      <c r="Z962" s="374"/>
    </row>
    <row r="963" ht="15.75" customHeight="1">
      <c r="A963" s="374"/>
      <c r="B963" s="374"/>
      <c r="C963" s="374"/>
      <c r="D963" s="374"/>
      <c r="E963" s="374"/>
      <c r="F963" s="374"/>
      <c r="G963" s="388"/>
      <c r="H963" s="388"/>
      <c r="I963" s="374"/>
      <c r="J963" s="374"/>
      <c r="K963" s="374"/>
      <c r="L963" s="374"/>
      <c r="M963" s="374"/>
      <c r="N963" s="374"/>
      <c r="O963" s="374"/>
      <c r="P963" s="374"/>
      <c r="Q963" s="374"/>
      <c r="R963" s="374"/>
      <c r="S963" s="374"/>
      <c r="T963" s="374"/>
      <c r="U963" s="374"/>
      <c r="V963" s="374"/>
      <c r="W963" s="374"/>
      <c r="X963" s="374"/>
      <c r="Y963" s="374"/>
      <c r="Z963" s="374"/>
    </row>
    <row r="964" ht="15.75" customHeight="1">
      <c r="A964" s="374"/>
      <c r="B964" s="374"/>
      <c r="C964" s="374"/>
      <c r="D964" s="374"/>
      <c r="E964" s="374"/>
      <c r="F964" s="374"/>
      <c r="G964" s="388"/>
      <c r="H964" s="388"/>
      <c r="I964" s="374"/>
      <c r="J964" s="374"/>
      <c r="K964" s="374"/>
      <c r="L964" s="374"/>
      <c r="M964" s="374"/>
      <c r="N964" s="374"/>
      <c r="O964" s="374"/>
      <c r="P964" s="374"/>
      <c r="Q964" s="374"/>
      <c r="R964" s="374"/>
      <c r="S964" s="374"/>
      <c r="T964" s="374"/>
      <c r="U964" s="374"/>
      <c r="V964" s="374"/>
      <c r="W964" s="374"/>
      <c r="X964" s="374"/>
      <c r="Y964" s="374"/>
      <c r="Z964" s="374"/>
    </row>
    <row r="965" ht="15.75" customHeight="1">
      <c r="A965" s="374"/>
      <c r="B965" s="374"/>
      <c r="C965" s="374"/>
      <c r="D965" s="374"/>
      <c r="E965" s="374"/>
      <c r="F965" s="374"/>
      <c r="G965" s="388"/>
      <c r="H965" s="388"/>
      <c r="I965" s="374"/>
      <c r="J965" s="374"/>
      <c r="K965" s="374"/>
      <c r="L965" s="374"/>
      <c r="M965" s="374"/>
      <c r="N965" s="374"/>
      <c r="O965" s="374"/>
      <c r="P965" s="374"/>
      <c r="Q965" s="374"/>
      <c r="R965" s="374"/>
      <c r="S965" s="374"/>
      <c r="T965" s="374"/>
      <c r="U965" s="374"/>
      <c r="V965" s="374"/>
      <c r="W965" s="374"/>
      <c r="X965" s="374"/>
      <c r="Y965" s="374"/>
      <c r="Z965" s="374"/>
    </row>
    <row r="966" ht="15.75" customHeight="1">
      <c r="A966" s="374"/>
      <c r="B966" s="374"/>
      <c r="C966" s="374"/>
      <c r="D966" s="374"/>
      <c r="E966" s="374"/>
      <c r="F966" s="374"/>
      <c r="G966" s="388"/>
      <c r="H966" s="388"/>
      <c r="I966" s="374"/>
      <c r="J966" s="374"/>
      <c r="K966" s="374"/>
      <c r="L966" s="374"/>
      <c r="M966" s="374"/>
      <c r="N966" s="374"/>
      <c r="O966" s="374"/>
      <c r="P966" s="374"/>
      <c r="Q966" s="374"/>
      <c r="R966" s="374"/>
      <c r="S966" s="374"/>
      <c r="T966" s="374"/>
      <c r="U966" s="374"/>
      <c r="V966" s="374"/>
      <c r="W966" s="374"/>
      <c r="X966" s="374"/>
      <c r="Y966" s="374"/>
      <c r="Z966" s="374"/>
    </row>
    <row r="967" ht="15.75" customHeight="1">
      <c r="A967" s="374"/>
      <c r="B967" s="374"/>
      <c r="C967" s="374"/>
      <c r="D967" s="374"/>
      <c r="E967" s="374"/>
      <c r="F967" s="374"/>
      <c r="G967" s="388"/>
      <c r="H967" s="388"/>
      <c r="I967" s="374"/>
      <c r="J967" s="374"/>
      <c r="K967" s="374"/>
      <c r="L967" s="374"/>
      <c r="M967" s="374"/>
      <c r="N967" s="374"/>
      <c r="O967" s="374"/>
      <c r="P967" s="374"/>
      <c r="Q967" s="374"/>
      <c r="R967" s="374"/>
      <c r="S967" s="374"/>
      <c r="T967" s="374"/>
      <c r="U967" s="374"/>
      <c r="V967" s="374"/>
      <c r="W967" s="374"/>
      <c r="X967" s="374"/>
      <c r="Y967" s="374"/>
      <c r="Z967" s="374"/>
    </row>
    <row r="968" ht="15.75" customHeight="1">
      <c r="A968" s="374"/>
      <c r="B968" s="374"/>
      <c r="C968" s="374"/>
      <c r="D968" s="374"/>
      <c r="E968" s="374"/>
      <c r="F968" s="374"/>
      <c r="G968" s="388"/>
      <c r="H968" s="388"/>
      <c r="I968" s="374"/>
      <c r="J968" s="374"/>
      <c r="K968" s="374"/>
      <c r="L968" s="374"/>
      <c r="M968" s="374"/>
      <c r="N968" s="374"/>
      <c r="O968" s="374"/>
      <c r="P968" s="374"/>
      <c r="Q968" s="374"/>
      <c r="R968" s="374"/>
      <c r="S968" s="374"/>
      <c r="T968" s="374"/>
      <c r="U968" s="374"/>
      <c r="V968" s="374"/>
      <c r="W968" s="374"/>
      <c r="X968" s="374"/>
      <c r="Y968" s="374"/>
      <c r="Z968" s="374"/>
    </row>
    <row r="969" ht="15.75" customHeight="1">
      <c r="A969" s="374"/>
      <c r="B969" s="374"/>
      <c r="C969" s="374"/>
      <c r="D969" s="374"/>
      <c r="E969" s="374"/>
      <c r="F969" s="374"/>
      <c r="G969" s="388"/>
      <c r="H969" s="388"/>
      <c r="I969" s="374"/>
      <c r="J969" s="374"/>
      <c r="K969" s="374"/>
      <c r="L969" s="374"/>
      <c r="M969" s="374"/>
      <c r="N969" s="374"/>
      <c r="O969" s="374"/>
      <c r="P969" s="374"/>
      <c r="Q969" s="374"/>
      <c r="R969" s="374"/>
      <c r="S969" s="374"/>
      <c r="T969" s="374"/>
      <c r="U969" s="374"/>
      <c r="V969" s="374"/>
      <c r="W969" s="374"/>
      <c r="X969" s="374"/>
      <c r="Y969" s="374"/>
      <c r="Z969" s="374"/>
    </row>
    <row r="970" ht="15.75" customHeight="1">
      <c r="A970" s="374"/>
      <c r="B970" s="374"/>
      <c r="C970" s="374"/>
      <c r="D970" s="374"/>
      <c r="E970" s="374"/>
      <c r="F970" s="374"/>
      <c r="G970" s="388"/>
      <c r="H970" s="388"/>
      <c r="I970" s="374"/>
      <c r="J970" s="374"/>
      <c r="K970" s="374"/>
      <c r="L970" s="374"/>
      <c r="M970" s="374"/>
      <c r="N970" s="374"/>
      <c r="O970" s="374"/>
      <c r="P970" s="374"/>
      <c r="Q970" s="374"/>
      <c r="R970" s="374"/>
      <c r="S970" s="374"/>
      <c r="T970" s="374"/>
      <c r="U970" s="374"/>
      <c r="V970" s="374"/>
      <c r="W970" s="374"/>
      <c r="X970" s="374"/>
      <c r="Y970" s="374"/>
      <c r="Z970" s="374"/>
    </row>
    <row r="971" ht="15.75" customHeight="1">
      <c r="A971" s="374"/>
      <c r="B971" s="374"/>
      <c r="C971" s="374"/>
      <c r="D971" s="374"/>
      <c r="E971" s="374"/>
      <c r="F971" s="374"/>
      <c r="G971" s="388"/>
      <c r="H971" s="388"/>
      <c r="I971" s="374"/>
      <c r="J971" s="374"/>
      <c r="K971" s="374"/>
      <c r="L971" s="374"/>
      <c r="M971" s="374"/>
      <c r="N971" s="374"/>
      <c r="O971" s="374"/>
      <c r="P971" s="374"/>
      <c r="Q971" s="374"/>
      <c r="R971" s="374"/>
      <c r="S971" s="374"/>
      <c r="T971" s="374"/>
      <c r="U971" s="374"/>
      <c r="V971" s="374"/>
      <c r="W971" s="374"/>
      <c r="X971" s="374"/>
      <c r="Y971" s="374"/>
      <c r="Z971" s="374"/>
    </row>
    <row r="972" ht="15.75" customHeight="1">
      <c r="A972" s="374"/>
      <c r="B972" s="374"/>
      <c r="C972" s="374"/>
      <c r="D972" s="374"/>
      <c r="E972" s="374"/>
      <c r="F972" s="374"/>
      <c r="G972" s="388"/>
      <c r="H972" s="388"/>
      <c r="I972" s="374"/>
      <c r="J972" s="374"/>
      <c r="K972" s="374"/>
      <c r="L972" s="374"/>
      <c r="M972" s="374"/>
      <c r="N972" s="374"/>
      <c r="O972" s="374"/>
      <c r="P972" s="374"/>
      <c r="Q972" s="374"/>
      <c r="R972" s="374"/>
      <c r="S972" s="374"/>
      <c r="T972" s="374"/>
      <c r="U972" s="374"/>
      <c r="V972" s="374"/>
      <c r="W972" s="374"/>
      <c r="X972" s="374"/>
      <c r="Y972" s="374"/>
      <c r="Z972" s="374"/>
    </row>
    <row r="973" ht="15.75" customHeight="1">
      <c r="A973" s="374"/>
      <c r="B973" s="374"/>
      <c r="C973" s="374"/>
      <c r="D973" s="374"/>
      <c r="E973" s="374"/>
      <c r="F973" s="374"/>
      <c r="G973" s="388"/>
      <c r="H973" s="388"/>
      <c r="I973" s="374"/>
      <c r="J973" s="374"/>
      <c r="K973" s="374"/>
      <c r="L973" s="374"/>
      <c r="M973" s="374"/>
      <c r="N973" s="374"/>
      <c r="O973" s="374"/>
      <c r="P973" s="374"/>
      <c r="Q973" s="374"/>
      <c r="R973" s="374"/>
      <c r="S973" s="374"/>
      <c r="T973" s="374"/>
      <c r="U973" s="374"/>
      <c r="V973" s="374"/>
      <c r="W973" s="374"/>
      <c r="X973" s="374"/>
      <c r="Y973" s="374"/>
      <c r="Z973" s="374"/>
    </row>
    <row r="974" ht="15.75" customHeight="1">
      <c r="A974" s="374"/>
      <c r="B974" s="374"/>
      <c r="C974" s="374"/>
      <c r="D974" s="374"/>
      <c r="E974" s="374"/>
      <c r="F974" s="374"/>
      <c r="G974" s="388"/>
      <c r="H974" s="388"/>
      <c r="I974" s="374"/>
      <c r="J974" s="374"/>
      <c r="K974" s="374"/>
      <c r="L974" s="374"/>
      <c r="M974" s="374"/>
      <c r="N974" s="374"/>
      <c r="O974" s="374"/>
      <c r="P974" s="374"/>
      <c r="Q974" s="374"/>
      <c r="R974" s="374"/>
      <c r="S974" s="374"/>
      <c r="T974" s="374"/>
      <c r="U974" s="374"/>
      <c r="V974" s="374"/>
      <c r="W974" s="374"/>
      <c r="X974" s="374"/>
      <c r="Y974" s="374"/>
      <c r="Z974" s="374"/>
    </row>
    <row r="975" ht="15.75" customHeight="1">
      <c r="A975" s="374"/>
      <c r="B975" s="374"/>
      <c r="C975" s="374"/>
      <c r="D975" s="374"/>
      <c r="E975" s="374"/>
      <c r="F975" s="374"/>
      <c r="G975" s="388"/>
      <c r="H975" s="388"/>
      <c r="I975" s="374"/>
      <c r="J975" s="374"/>
      <c r="K975" s="374"/>
      <c r="L975" s="374"/>
      <c r="M975" s="374"/>
      <c r="N975" s="374"/>
      <c r="O975" s="374"/>
      <c r="P975" s="374"/>
      <c r="Q975" s="374"/>
      <c r="R975" s="374"/>
      <c r="S975" s="374"/>
      <c r="T975" s="374"/>
      <c r="U975" s="374"/>
      <c r="V975" s="374"/>
      <c r="W975" s="374"/>
      <c r="X975" s="374"/>
      <c r="Y975" s="374"/>
      <c r="Z975" s="374"/>
    </row>
    <row r="976" ht="15.75" customHeight="1">
      <c r="A976" s="374"/>
      <c r="B976" s="374"/>
      <c r="C976" s="374"/>
      <c r="D976" s="374"/>
      <c r="E976" s="374"/>
      <c r="F976" s="374"/>
      <c r="G976" s="388"/>
      <c r="H976" s="388"/>
      <c r="I976" s="374"/>
      <c r="J976" s="374"/>
      <c r="K976" s="374"/>
      <c r="L976" s="374"/>
      <c r="M976" s="374"/>
      <c r="N976" s="374"/>
      <c r="O976" s="374"/>
      <c r="P976" s="374"/>
      <c r="Q976" s="374"/>
      <c r="R976" s="374"/>
      <c r="S976" s="374"/>
      <c r="T976" s="374"/>
      <c r="U976" s="374"/>
      <c r="V976" s="374"/>
      <c r="W976" s="374"/>
      <c r="X976" s="374"/>
      <c r="Y976" s="374"/>
      <c r="Z976" s="374"/>
    </row>
    <row r="977" ht="15.75" customHeight="1">
      <c r="A977" s="374"/>
      <c r="B977" s="374"/>
      <c r="C977" s="374"/>
      <c r="D977" s="374"/>
      <c r="E977" s="374"/>
      <c r="F977" s="374"/>
      <c r="G977" s="388"/>
      <c r="H977" s="388"/>
      <c r="I977" s="374"/>
      <c r="J977" s="374"/>
      <c r="K977" s="374"/>
      <c r="L977" s="374"/>
      <c r="M977" s="374"/>
      <c r="N977" s="374"/>
      <c r="O977" s="374"/>
      <c r="P977" s="374"/>
      <c r="Q977" s="374"/>
      <c r="R977" s="374"/>
      <c r="S977" s="374"/>
      <c r="T977" s="374"/>
      <c r="U977" s="374"/>
      <c r="V977" s="374"/>
      <c r="W977" s="374"/>
      <c r="X977" s="374"/>
      <c r="Y977" s="374"/>
      <c r="Z977" s="374"/>
    </row>
    <row r="978" ht="15.75" customHeight="1">
      <c r="A978" s="374"/>
      <c r="B978" s="374"/>
      <c r="C978" s="374"/>
      <c r="D978" s="374"/>
      <c r="E978" s="374"/>
      <c r="F978" s="374"/>
      <c r="G978" s="388"/>
      <c r="H978" s="388"/>
      <c r="I978" s="374"/>
      <c r="J978" s="374"/>
      <c r="K978" s="374"/>
      <c r="L978" s="374"/>
      <c r="M978" s="374"/>
      <c r="N978" s="374"/>
      <c r="O978" s="374"/>
      <c r="P978" s="374"/>
      <c r="Q978" s="374"/>
      <c r="R978" s="374"/>
      <c r="S978" s="374"/>
      <c r="T978" s="374"/>
      <c r="U978" s="374"/>
      <c r="V978" s="374"/>
      <c r="W978" s="374"/>
      <c r="X978" s="374"/>
      <c r="Y978" s="374"/>
      <c r="Z978" s="374"/>
    </row>
    <row r="979" ht="15.75" customHeight="1">
      <c r="A979" s="374"/>
      <c r="B979" s="374"/>
      <c r="C979" s="374"/>
      <c r="D979" s="374"/>
      <c r="E979" s="374"/>
      <c r="F979" s="374"/>
      <c r="G979" s="388"/>
      <c r="H979" s="388"/>
      <c r="I979" s="374"/>
      <c r="J979" s="374"/>
      <c r="K979" s="374"/>
      <c r="L979" s="374"/>
      <c r="M979" s="374"/>
      <c r="N979" s="374"/>
      <c r="O979" s="374"/>
      <c r="P979" s="374"/>
      <c r="Q979" s="374"/>
      <c r="R979" s="374"/>
      <c r="S979" s="374"/>
      <c r="T979" s="374"/>
      <c r="U979" s="374"/>
      <c r="V979" s="374"/>
      <c r="W979" s="374"/>
      <c r="X979" s="374"/>
      <c r="Y979" s="374"/>
      <c r="Z979" s="374"/>
    </row>
    <row r="980" ht="15.75" customHeight="1">
      <c r="A980" s="374"/>
      <c r="B980" s="374"/>
      <c r="C980" s="374"/>
      <c r="D980" s="374"/>
      <c r="E980" s="374"/>
      <c r="F980" s="374"/>
      <c r="G980" s="388"/>
      <c r="H980" s="388"/>
      <c r="I980" s="374"/>
      <c r="J980" s="374"/>
      <c r="K980" s="374"/>
      <c r="L980" s="374"/>
      <c r="M980" s="374"/>
      <c r="N980" s="374"/>
      <c r="O980" s="374"/>
      <c r="P980" s="374"/>
      <c r="Q980" s="374"/>
      <c r="R980" s="374"/>
      <c r="S980" s="374"/>
      <c r="T980" s="374"/>
      <c r="U980" s="374"/>
      <c r="V980" s="374"/>
      <c r="W980" s="374"/>
      <c r="X980" s="374"/>
      <c r="Y980" s="374"/>
      <c r="Z980" s="374"/>
    </row>
    <row r="981" ht="15.75" customHeight="1">
      <c r="A981" s="374"/>
      <c r="B981" s="374"/>
      <c r="C981" s="374"/>
      <c r="D981" s="374"/>
      <c r="E981" s="374"/>
      <c r="F981" s="374"/>
      <c r="G981" s="388"/>
      <c r="H981" s="388"/>
      <c r="I981" s="374"/>
      <c r="J981" s="374"/>
      <c r="K981" s="374"/>
      <c r="L981" s="374"/>
      <c r="M981" s="374"/>
      <c r="N981" s="374"/>
      <c r="O981" s="374"/>
      <c r="P981" s="374"/>
      <c r="Q981" s="374"/>
      <c r="R981" s="374"/>
      <c r="S981" s="374"/>
      <c r="T981" s="374"/>
      <c r="U981" s="374"/>
      <c r="V981" s="374"/>
      <c r="W981" s="374"/>
      <c r="X981" s="374"/>
      <c r="Y981" s="374"/>
      <c r="Z981" s="374"/>
    </row>
    <row r="982" ht="15.75" customHeight="1">
      <c r="A982" s="374"/>
      <c r="B982" s="374"/>
      <c r="C982" s="374"/>
      <c r="D982" s="374"/>
      <c r="E982" s="374"/>
      <c r="F982" s="374"/>
      <c r="G982" s="388"/>
      <c r="H982" s="388"/>
      <c r="I982" s="374"/>
      <c r="J982" s="374"/>
      <c r="K982" s="374"/>
      <c r="L982" s="374"/>
      <c r="M982" s="374"/>
      <c r="N982" s="374"/>
      <c r="O982" s="374"/>
      <c r="P982" s="374"/>
      <c r="Q982" s="374"/>
      <c r="R982" s="374"/>
      <c r="S982" s="374"/>
      <c r="T982" s="374"/>
      <c r="U982" s="374"/>
      <c r="V982" s="374"/>
      <c r="W982" s="374"/>
      <c r="X982" s="374"/>
      <c r="Y982" s="374"/>
      <c r="Z982" s="374"/>
    </row>
    <row r="983" ht="15.75" customHeight="1">
      <c r="A983" s="374"/>
      <c r="B983" s="374"/>
      <c r="C983" s="374"/>
      <c r="D983" s="374"/>
      <c r="E983" s="374"/>
      <c r="F983" s="374"/>
      <c r="G983" s="388"/>
      <c r="H983" s="388"/>
      <c r="I983" s="374"/>
      <c r="J983" s="374"/>
      <c r="K983" s="374"/>
      <c r="L983" s="374"/>
      <c r="M983" s="374"/>
      <c r="N983" s="374"/>
      <c r="O983" s="374"/>
      <c r="P983" s="374"/>
      <c r="Q983" s="374"/>
      <c r="R983" s="374"/>
      <c r="S983" s="374"/>
      <c r="T983" s="374"/>
      <c r="U983" s="374"/>
      <c r="V983" s="374"/>
      <c r="W983" s="374"/>
      <c r="X983" s="374"/>
      <c r="Y983" s="374"/>
      <c r="Z983" s="374"/>
    </row>
    <row r="984" ht="15.75" customHeight="1">
      <c r="A984" s="374"/>
      <c r="B984" s="374"/>
      <c r="C984" s="374"/>
      <c r="D984" s="374"/>
      <c r="E984" s="374"/>
      <c r="F984" s="374"/>
      <c r="G984" s="388"/>
      <c r="H984" s="388"/>
      <c r="I984" s="374"/>
      <c r="J984" s="374"/>
      <c r="K984" s="374"/>
      <c r="L984" s="374"/>
      <c r="M984" s="374"/>
      <c r="N984" s="374"/>
      <c r="O984" s="374"/>
      <c r="P984" s="374"/>
      <c r="Q984" s="374"/>
      <c r="R984" s="374"/>
      <c r="S984" s="374"/>
      <c r="T984" s="374"/>
      <c r="U984" s="374"/>
      <c r="V984" s="374"/>
      <c r="W984" s="374"/>
      <c r="X984" s="374"/>
      <c r="Y984" s="374"/>
      <c r="Z984" s="374"/>
    </row>
    <row r="985" ht="15.75" customHeight="1">
      <c r="A985" s="374"/>
      <c r="B985" s="374"/>
      <c r="C985" s="374"/>
      <c r="D985" s="374"/>
      <c r="E985" s="374"/>
      <c r="F985" s="374"/>
      <c r="G985" s="388"/>
      <c r="H985" s="388"/>
      <c r="I985" s="374"/>
      <c r="J985" s="374"/>
      <c r="K985" s="374"/>
      <c r="L985" s="374"/>
      <c r="M985" s="374"/>
      <c r="N985" s="374"/>
      <c r="O985" s="374"/>
      <c r="P985" s="374"/>
      <c r="Q985" s="374"/>
      <c r="R985" s="374"/>
      <c r="S985" s="374"/>
      <c r="T985" s="374"/>
      <c r="U985" s="374"/>
      <c r="V985" s="374"/>
      <c r="W985" s="374"/>
      <c r="X985" s="374"/>
      <c r="Y985" s="374"/>
      <c r="Z985" s="374"/>
    </row>
    <row r="986" ht="15.75" customHeight="1">
      <c r="A986" s="374"/>
      <c r="B986" s="374"/>
      <c r="C986" s="374"/>
      <c r="D986" s="374"/>
      <c r="E986" s="374"/>
      <c r="F986" s="374"/>
      <c r="G986" s="388"/>
      <c r="H986" s="388"/>
      <c r="I986" s="374"/>
      <c r="J986" s="374"/>
      <c r="K986" s="374"/>
      <c r="L986" s="374"/>
      <c r="M986" s="374"/>
      <c r="N986" s="374"/>
      <c r="O986" s="374"/>
      <c r="P986" s="374"/>
      <c r="Q986" s="374"/>
      <c r="R986" s="374"/>
      <c r="S986" s="374"/>
      <c r="T986" s="374"/>
      <c r="U986" s="374"/>
      <c r="V986" s="374"/>
      <c r="W986" s="374"/>
      <c r="X986" s="374"/>
      <c r="Y986" s="374"/>
      <c r="Z986" s="374"/>
    </row>
    <row r="987" ht="15.75" customHeight="1">
      <c r="A987" s="374"/>
      <c r="B987" s="374"/>
      <c r="C987" s="374"/>
      <c r="D987" s="374"/>
      <c r="E987" s="374"/>
      <c r="F987" s="374"/>
      <c r="G987" s="388"/>
      <c r="H987" s="388"/>
      <c r="I987" s="374"/>
      <c r="J987" s="374"/>
      <c r="K987" s="374"/>
      <c r="L987" s="374"/>
      <c r="M987" s="374"/>
      <c r="N987" s="374"/>
      <c r="O987" s="374"/>
      <c r="P987" s="374"/>
      <c r="Q987" s="374"/>
      <c r="R987" s="374"/>
      <c r="S987" s="374"/>
      <c r="T987" s="374"/>
      <c r="U987" s="374"/>
      <c r="V987" s="374"/>
      <c r="W987" s="374"/>
      <c r="X987" s="374"/>
      <c r="Y987" s="374"/>
      <c r="Z987" s="374"/>
    </row>
    <row r="988" ht="15.75" customHeight="1">
      <c r="A988" s="374"/>
      <c r="B988" s="374"/>
      <c r="C988" s="374"/>
      <c r="D988" s="374"/>
      <c r="E988" s="374"/>
      <c r="F988" s="374"/>
      <c r="G988" s="388"/>
      <c r="H988" s="388"/>
      <c r="I988" s="374"/>
      <c r="J988" s="374"/>
      <c r="K988" s="374"/>
      <c r="L988" s="374"/>
      <c r="M988" s="374"/>
      <c r="N988" s="374"/>
      <c r="O988" s="374"/>
      <c r="P988" s="374"/>
      <c r="Q988" s="374"/>
      <c r="R988" s="374"/>
      <c r="S988" s="374"/>
      <c r="T988" s="374"/>
      <c r="U988" s="374"/>
      <c r="V988" s="374"/>
      <c r="W988" s="374"/>
      <c r="X988" s="374"/>
      <c r="Y988" s="374"/>
      <c r="Z988" s="374"/>
    </row>
    <row r="989" ht="15.75" customHeight="1">
      <c r="A989" s="374"/>
      <c r="B989" s="374"/>
      <c r="C989" s="374"/>
      <c r="D989" s="374"/>
      <c r="E989" s="374"/>
      <c r="F989" s="374"/>
      <c r="G989" s="388"/>
      <c r="H989" s="388"/>
      <c r="I989" s="374"/>
      <c r="J989" s="374"/>
      <c r="K989" s="374"/>
      <c r="L989" s="374"/>
      <c r="M989" s="374"/>
      <c r="N989" s="374"/>
      <c r="O989" s="374"/>
      <c r="P989" s="374"/>
      <c r="Q989" s="374"/>
      <c r="R989" s="374"/>
      <c r="S989" s="374"/>
      <c r="T989" s="374"/>
      <c r="U989" s="374"/>
      <c r="V989" s="374"/>
      <c r="W989" s="374"/>
      <c r="X989" s="374"/>
      <c r="Y989" s="374"/>
      <c r="Z989" s="374"/>
    </row>
    <row r="990" ht="15.75" customHeight="1">
      <c r="A990" s="374"/>
      <c r="B990" s="374"/>
      <c r="C990" s="374"/>
      <c r="D990" s="374"/>
      <c r="E990" s="374"/>
      <c r="F990" s="374"/>
      <c r="G990" s="388"/>
      <c r="H990" s="388"/>
      <c r="I990" s="374"/>
      <c r="J990" s="374"/>
      <c r="K990" s="374"/>
      <c r="L990" s="374"/>
      <c r="M990" s="374"/>
      <c r="N990" s="374"/>
      <c r="O990" s="374"/>
      <c r="P990" s="374"/>
      <c r="Q990" s="374"/>
      <c r="R990" s="374"/>
      <c r="S990" s="374"/>
      <c r="T990" s="374"/>
      <c r="U990" s="374"/>
      <c r="V990" s="374"/>
      <c r="W990" s="374"/>
      <c r="X990" s="374"/>
      <c r="Y990" s="374"/>
      <c r="Z990" s="374"/>
    </row>
    <row r="991" ht="15.75" customHeight="1">
      <c r="A991" s="374"/>
      <c r="B991" s="374"/>
      <c r="C991" s="374"/>
      <c r="D991" s="374"/>
      <c r="E991" s="374"/>
      <c r="F991" s="374"/>
      <c r="G991" s="388"/>
      <c r="H991" s="388"/>
      <c r="I991" s="374"/>
      <c r="J991" s="374"/>
      <c r="K991" s="374"/>
      <c r="L991" s="374"/>
      <c r="M991" s="374"/>
      <c r="N991" s="374"/>
      <c r="O991" s="374"/>
      <c r="P991" s="374"/>
      <c r="Q991" s="374"/>
      <c r="R991" s="374"/>
      <c r="S991" s="374"/>
      <c r="T991" s="374"/>
      <c r="U991" s="374"/>
      <c r="V991" s="374"/>
      <c r="W991" s="374"/>
      <c r="X991" s="374"/>
      <c r="Y991" s="374"/>
      <c r="Z991" s="374"/>
    </row>
    <row r="992" ht="15.75" customHeight="1">
      <c r="A992" s="374"/>
      <c r="B992" s="374"/>
      <c r="C992" s="374"/>
      <c r="D992" s="374"/>
      <c r="E992" s="374"/>
      <c r="F992" s="374"/>
      <c r="G992" s="388"/>
      <c r="H992" s="388"/>
      <c r="I992" s="374"/>
      <c r="J992" s="374"/>
      <c r="K992" s="374"/>
      <c r="L992" s="374"/>
      <c r="M992" s="374"/>
      <c r="N992" s="374"/>
      <c r="O992" s="374"/>
      <c r="P992" s="374"/>
      <c r="Q992" s="374"/>
      <c r="R992" s="374"/>
      <c r="S992" s="374"/>
      <c r="T992" s="374"/>
      <c r="U992" s="374"/>
      <c r="V992" s="374"/>
      <c r="W992" s="374"/>
      <c r="X992" s="374"/>
      <c r="Y992" s="374"/>
      <c r="Z992" s="374"/>
    </row>
    <row r="993" ht="15.75" customHeight="1">
      <c r="A993" s="374"/>
      <c r="B993" s="374"/>
      <c r="C993" s="374"/>
      <c r="D993" s="374"/>
      <c r="E993" s="374"/>
      <c r="F993" s="374"/>
      <c r="G993" s="388"/>
      <c r="H993" s="388"/>
      <c r="I993" s="374"/>
      <c r="J993" s="374"/>
      <c r="K993" s="374"/>
      <c r="L993" s="374"/>
      <c r="M993" s="374"/>
      <c r="N993" s="374"/>
      <c r="O993" s="374"/>
      <c r="P993" s="374"/>
      <c r="Q993" s="374"/>
      <c r="R993" s="374"/>
      <c r="S993" s="374"/>
      <c r="T993" s="374"/>
      <c r="U993" s="374"/>
      <c r="V993" s="374"/>
      <c r="W993" s="374"/>
      <c r="X993" s="374"/>
      <c r="Y993" s="374"/>
      <c r="Z993" s="374"/>
    </row>
    <row r="994" ht="15.75" customHeight="1">
      <c r="A994" s="374"/>
      <c r="B994" s="374"/>
      <c r="C994" s="374"/>
      <c r="D994" s="374"/>
      <c r="E994" s="374"/>
      <c r="F994" s="374"/>
      <c r="G994" s="388"/>
      <c r="H994" s="388"/>
      <c r="I994" s="374"/>
      <c r="J994" s="374"/>
      <c r="K994" s="374"/>
      <c r="L994" s="374"/>
      <c r="M994" s="374"/>
      <c r="N994" s="374"/>
      <c r="O994" s="374"/>
      <c r="P994" s="374"/>
      <c r="Q994" s="374"/>
      <c r="R994" s="374"/>
      <c r="S994" s="374"/>
      <c r="T994" s="374"/>
      <c r="U994" s="374"/>
      <c r="V994" s="374"/>
      <c r="W994" s="374"/>
      <c r="X994" s="374"/>
      <c r="Y994" s="374"/>
      <c r="Z994" s="374"/>
    </row>
    <row r="995" ht="15.75" customHeight="1">
      <c r="A995" s="374"/>
      <c r="B995" s="374"/>
      <c r="C995" s="374"/>
      <c r="D995" s="374"/>
      <c r="E995" s="374"/>
      <c r="F995" s="374"/>
      <c r="G995" s="388"/>
      <c r="H995" s="388"/>
      <c r="I995" s="374"/>
      <c r="J995" s="374"/>
      <c r="K995" s="374"/>
      <c r="L995" s="374"/>
      <c r="M995" s="374"/>
      <c r="N995" s="374"/>
      <c r="O995" s="374"/>
      <c r="P995" s="374"/>
      <c r="Q995" s="374"/>
      <c r="R995" s="374"/>
      <c r="S995" s="374"/>
      <c r="T995" s="374"/>
      <c r="U995" s="374"/>
      <c r="V995" s="374"/>
      <c r="W995" s="374"/>
      <c r="X995" s="374"/>
      <c r="Y995" s="374"/>
      <c r="Z995" s="374"/>
    </row>
    <row r="996" ht="15.75" customHeight="1">
      <c r="A996" s="374"/>
      <c r="B996" s="374"/>
      <c r="C996" s="374"/>
      <c r="D996" s="374"/>
      <c r="E996" s="374"/>
      <c r="F996" s="374"/>
      <c r="G996" s="388"/>
      <c r="H996" s="388"/>
      <c r="I996" s="374"/>
      <c r="J996" s="374"/>
      <c r="K996" s="374"/>
      <c r="L996" s="374"/>
      <c r="M996" s="374"/>
      <c r="N996" s="374"/>
      <c r="O996" s="374"/>
      <c r="P996" s="374"/>
      <c r="Q996" s="374"/>
      <c r="R996" s="374"/>
      <c r="S996" s="374"/>
      <c r="T996" s="374"/>
      <c r="U996" s="374"/>
      <c r="V996" s="374"/>
      <c r="W996" s="374"/>
      <c r="X996" s="374"/>
      <c r="Y996" s="374"/>
      <c r="Z996" s="374"/>
    </row>
    <row r="997" ht="15.75" customHeight="1">
      <c r="A997" s="374"/>
      <c r="B997" s="374"/>
      <c r="C997" s="374"/>
      <c r="D997" s="374"/>
      <c r="E997" s="374"/>
      <c r="F997" s="374"/>
      <c r="G997" s="388"/>
      <c r="H997" s="388"/>
      <c r="I997" s="374"/>
      <c r="J997" s="374"/>
      <c r="K997" s="374"/>
      <c r="L997" s="374"/>
      <c r="M997" s="374"/>
      <c r="N997" s="374"/>
      <c r="O997" s="374"/>
      <c r="P997" s="374"/>
      <c r="Q997" s="374"/>
      <c r="R997" s="374"/>
      <c r="S997" s="374"/>
      <c r="T997" s="374"/>
      <c r="U997" s="374"/>
      <c r="V997" s="374"/>
      <c r="W997" s="374"/>
      <c r="X997" s="374"/>
      <c r="Y997" s="374"/>
      <c r="Z997" s="374"/>
    </row>
    <row r="998" ht="15.75" customHeight="1">
      <c r="A998" s="374"/>
      <c r="B998" s="374"/>
      <c r="C998" s="374"/>
      <c r="D998" s="374"/>
      <c r="E998" s="374"/>
      <c r="F998" s="374"/>
      <c r="G998" s="388"/>
      <c r="H998" s="388"/>
      <c r="I998" s="374"/>
      <c r="J998" s="374"/>
      <c r="K998" s="374"/>
      <c r="L998" s="374"/>
      <c r="M998" s="374"/>
      <c r="N998" s="374"/>
      <c r="O998" s="374"/>
      <c r="P998" s="374"/>
      <c r="Q998" s="374"/>
      <c r="R998" s="374"/>
      <c r="S998" s="374"/>
      <c r="T998" s="374"/>
      <c r="U998" s="374"/>
      <c r="V998" s="374"/>
      <c r="W998" s="374"/>
      <c r="X998" s="374"/>
      <c r="Y998" s="374"/>
      <c r="Z998" s="374"/>
    </row>
    <row r="999" ht="15.75" customHeight="1">
      <c r="A999" s="374"/>
      <c r="B999" s="374"/>
      <c r="C999" s="374"/>
      <c r="D999" s="374"/>
      <c r="E999" s="374"/>
      <c r="F999" s="374"/>
      <c r="G999" s="388"/>
      <c r="H999" s="388"/>
      <c r="I999" s="374"/>
      <c r="J999" s="374"/>
      <c r="K999" s="374"/>
      <c r="L999" s="374"/>
      <c r="M999" s="374"/>
      <c r="N999" s="374"/>
      <c r="O999" s="374"/>
      <c r="P999" s="374"/>
      <c r="Q999" s="374"/>
      <c r="R999" s="374"/>
      <c r="S999" s="374"/>
      <c r="T999" s="374"/>
      <c r="U999" s="374"/>
      <c r="V999" s="374"/>
      <c r="W999" s="374"/>
      <c r="X999" s="374"/>
      <c r="Y999" s="374"/>
      <c r="Z999" s="374"/>
    </row>
    <row r="1000" ht="15.75" customHeight="1">
      <c r="A1000" s="374"/>
      <c r="B1000" s="374"/>
      <c r="C1000" s="374"/>
      <c r="D1000" s="374"/>
      <c r="E1000" s="374"/>
      <c r="F1000" s="374"/>
      <c r="G1000" s="388"/>
      <c r="H1000" s="388"/>
      <c r="I1000" s="374"/>
      <c r="J1000" s="374"/>
      <c r="K1000" s="374"/>
      <c r="L1000" s="374"/>
      <c r="M1000" s="374"/>
      <c r="N1000" s="374"/>
      <c r="O1000" s="374"/>
      <c r="P1000" s="374"/>
      <c r="Q1000" s="374"/>
      <c r="R1000" s="374"/>
      <c r="S1000" s="374"/>
      <c r="T1000" s="374"/>
      <c r="U1000" s="374"/>
      <c r="V1000" s="374"/>
      <c r="W1000" s="374"/>
      <c r="X1000" s="374"/>
      <c r="Y1000" s="374"/>
      <c r="Z1000" s="374"/>
    </row>
  </sheetData>
  <mergeCells count="1">
    <mergeCell ref="D1:N1"/>
  </mergeCells>
  <conditionalFormatting sqref="F2:F4">
    <cfRule type="cellIs" dxfId="1" priority="1" operator="equal">
      <formula>0</formula>
    </cfRule>
  </conditionalFormatting>
  <hyperlinks>
    <hyperlink r:id="rId1" ref="N3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3.38"/>
    <col customWidth="1" min="3" max="3" width="29.13"/>
    <col customWidth="1" min="4" max="4" width="15.5"/>
    <col customWidth="1" min="5" max="5" width="17.13"/>
    <col customWidth="1" min="6" max="6" width="16.38"/>
    <col customWidth="1" min="7" max="7" width="21.0"/>
    <col customWidth="1" min="8" max="8" width="17.88"/>
    <col customWidth="1" min="9" max="9" width="21.13"/>
    <col customWidth="1" min="10" max="10" width="23.38"/>
    <col customWidth="1" min="11" max="11" width="17.5"/>
    <col customWidth="1" min="12" max="12" width="24.13"/>
    <col customWidth="1" min="13" max="13" width="16.88"/>
    <col customWidth="1" min="14" max="14" width="29.63"/>
    <col customWidth="1" min="15" max="15" width="9.38"/>
    <col customWidth="1" min="16" max="16" width="14.63"/>
    <col customWidth="1" min="17" max="17" width="26.88"/>
    <col customWidth="1" min="18" max="26" width="21.63"/>
  </cols>
  <sheetData>
    <row r="1">
      <c r="A1" s="29" t="s">
        <v>804</v>
      </c>
      <c r="D1" s="279" t="s">
        <v>709</v>
      </c>
      <c r="E1" s="264"/>
      <c r="F1" s="264"/>
      <c r="G1" s="264"/>
      <c r="H1" s="264"/>
      <c r="I1" s="264"/>
      <c r="J1" s="264"/>
      <c r="K1" s="264"/>
      <c r="L1" s="264"/>
      <c r="M1" s="264"/>
      <c r="N1" s="265"/>
      <c r="P1" s="396"/>
      <c r="Q1" s="396"/>
    </row>
    <row r="2">
      <c r="A2" s="397" t="s">
        <v>2</v>
      </c>
      <c r="B2" s="398" t="s">
        <v>3</v>
      </c>
      <c r="C2" s="399" t="s">
        <v>4</v>
      </c>
      <c r="D2" s="398" t="s">
        <v>5</v>
      </c>
      <c r="E2" s="399" t="s">
        <v>6</v>
      </c>
      <c r="F2" s="399" t="s">
        <v>7</v>
      </c>
      <c r="G2" s="400" t="s">
        <v>26</v>
      </c>
      <c r="H2" s="400" t="s">
        <v>27</v>
      </c>
      <c r="I2" s="399" t="s">
        <v>12</v>
      </c>
      <c r="J2" s="399" t="s">
        <v>14</v>
      </c>
      <c r="K2" s="399" t="s">
        <v>15</v>
      </c>
      <c r="L2" s="399" t="s">
        <v>16</v>
      </c>
      <c r="M2" s="399" t="s">
        <v>18</v>
      </c>
      <c r="N2" s="399" t="s">
        <v>19</v>
      </c>
      <c r="O2" s="399" t="s">
        <v>20</v>
      </c>
      <c r="P2" s="401" t="s">
        <v>21</v>
      </c>
      <c r="Q2" s="402" t="s">
        <v>22</v>
      </c>
      <c r="R2" s="19"/>
      <c r="S2" s="19"/>
      <c r="T2" s="19"/>
      <c r="U2" s="19"/>
      <c r="V2" s="19"/>
      <c r="W2" s="19"/>
      <c r="X2" s="19"/>
      <c r="Y2" s="19"/>
      <c r="Z2" s="19"/>
    </row>
    <row r="3">
      <c r="A3" s="403">
        <v>1.0</v>
      </c>
      <c r="B3" s="257" t="s">
        <v>42</v>
      </c>
      <c r="C3" s="44" t="s">
        <v>41</v>
      </c>
      <c r="D3" s="257">
        <v>1.0</v>
      </c>
      <c r="E3" s="44">
        <v>1.0</v>
      </c>
      <c r="F3" s="44">
        <f t="shared" ref="F3:F23" si="1">D3-E3</f>
        <v>0</v>
      </c>
      <c r="G3" s="404">
        <v>305000.0</v>
      </c>
      <c r="H3" s="404">
        <f t="shared" ref="H3:H23" si="2">G3*D3</f>
        <v>305000</v>
      </c>
      <c r="I3" s="44" t="s">
        <v>89</v>
      </c>
      <c r="J3" s="44" t="s">
        <v>90</v>
      </c>
      <c r="K3" s="257" t="s">
        <v>92</v>
      </c>
      <c r="L3" s="44" t="s">
        <v>93</v>
      </c>
      <c r="M3" s="44" t="s">
        <v>95</v>
      </c>
      <c r="N3" s="34" t="s">
        <v>98</v>
      </c>
      <c r="O3" s="257">
        <v>1006.0</v>
      </c>
      <c r="P3" s="405">
        <v>45696.0</v>
      </c>
      <c r="Q3" s="406"/>
    </row>
    <row r="4">
      <c r="A4" s="407">
        <v>1.0</v>
      </c>
      <c r="B4" s="258" t="s">
        <v>42</v>
      </c>
      <c r="C4" s="59" t="s">
        <v>41</v>
      </c>
      <c r="D4" s="258">
        <v>1.0</v>
      </c>
      <c r="E4" s="59">
        <v>1.0</v>
      </c>
      <c r="F4" s="59">
        <f t="shared" si="1"/>
        <v>0</v>
      </c>
      <c r="G4" s="408">
        <v>305000.0</v>
      </c>
      <c r="H4" s="408">
        <f t="shared" si="2"/>
        <v>305000</v>
      </c>
      <c r="I4" s="59" t="s">
        <v>111</v>
      </c>
      <c r="J4" s="59" t="s">
        <v>90</v>
      </c>
      <c r="K4" s="258" t="s">
        <v>92</v>
      </c>
      <c r="L4" s="59" t="s">
        <v>93</v>
      </c>
      <c r="M4" s="59" t="s">
        <v>95</v>
      </c>
      <c r="N4" s="69" t="s">
        <v>98</v>
      </c>
      <c r="O4" s="258">
        <v>1006.0</v>
      </c>
      <c r="P4" s="409">
        <v>45696.0</v>
      </c>
      <c r="Q4" s="410"/>
    </row>
    <row r="5">
      <c r="A5" s="403">
        <v>2.0</v>
      </c>
      <c r="B5" s="44" t="s">
        <v>53</v>
      </c>
      <c r="C5" s="44" t="s">
        <v>121</v>
      </c>
      <c r="D5" s="257">
        <v>1.0</v>
      </c>
      <c r="E5" s="44">
        <v>1.0</v>
      </c>
      <c r="F5" s="44">
        <f t="shared" si="1"/>
        <v>0</v>
      </c>
      <c r="G5" s="404">
        <v>144000.0</v>
      </c>
      <c r="H5" s="404">
        <f t="shared" si="2"/>
        <v>144000</v>
      </c>
      <c r="I5" s="44" t="s">
        <v>126</v>
      </c>
      <c r="J5" s="411" t="s">
        <v>127</v>
      </c>
      <c r="K5" s="257" t="s">
        <v>70</v>
      </c>
      <c r="L5" s="44" t="s">
        <v>129</v>
      </c>
      <c r="M5" s="44" t="s">
        <v>130</v>
      </c>
      <c r="N5" s="34" t="s">
        <v>132</v>
      </c>
      <c r="O5" s="257">
        <v>1326.0</v>
      </c>
      <c r="P5" s="405">
        <v>45654.0</v>
      </c>
      <c r="Q5" s="406"/>
    </row>
    <row r="6">
      <c r="A6" s="407">
        <v>2.0</v>
      </c>
      <c r="B6" s="59" t="s">
        <v>53</v>
      </c>
      <c r="C6" s="59" t="s">
        <v>121</v>
      </c>
      <c r="D6" s="258">
        <v>1.0</v>
      </c>
      <c r="E6" s="59">
        <v>1.0</v>
      </c>
      <c r="F6" s="59">
        <f t="shared" si="1"/>
        <v>0</v>
      </c>
      <c r="G6" s="408">
        <v>144000.0</v>
      </c>
      <c r="H6" s="408">
        <f t="shared" si="2"/>
        <v>144000</v>
      </c>
      <c r="I6" s="59" t="s">
        <v>103</v>
      </c>
      <c r="J6" s="412" t="s">
        <v>127</v>
      </c>
      <c r="K6" s="258" t="s">
        <v>70</v>
      </c>
      <c r="L6" s="59" t="s">
        <v>129</v>
      </c>
      <c r="M6" s="59" t="s">
        <v>130</v>
      </c>
      <c r="N6" s="69" t="s">
        <v>132</v>
      </c>
      <c r="O6" s="258">
        <v>1326.0</v>
      </c>
      <c r="P6" s="409">
        <v>45654.0</v>
      </c>
      <c r="Q6" s="410"/>
    </row>
    <row r="7">
      <c r="A7" s="403">
        <v>2.0</v>
      </c>
      <c r="B7" s="44" t="s">
        <v>53</v>
      </c>
      <c r="C7" s="44" t="s">
        <v>121</v>
      </c>
      <c r="D7" s="257">
        <v>1.0</v>
      </c>
      <c r="E7" s="44">
        <v>1.0</v>
      </c>
      <c r="F7" s="44">
        <f t="shared" si="1"/>
        <v>0</v>
      </c>
      <c r="G7" s="404">
        <v>144000.0</v>
      </c>
      <c r="H7" s="404">
        <f t="shared" si="2"/>
        <v>144000</v>
      </c>
      <c r="I7" s="44" t="s">
        <v>117</v>
      </c>
      <c r="J7" s="411" t="s">
        <v>127</v>
      </c>
      <c r="K7" s="257" t="s">
        <v>70</v>
      </c>
      <c r="L7" s="44" t="s">
        <v>129</v>
      </c>
      <c r="M7" s="44" t="s">
        <v>130</v>
      </c>
      <c r="N7" s="34" t="s">
        <v>132</v>
      </c>
      <c r="O7" s="257">
        <v>1326.0</v>
      </c>
      <c r="P7" s="405">
        <v>45654.0</v>
      </c>
      <c r="Q7" s="406"/>
    </row>
    <row r="8">
      <c r="A8" s="407">
        <v>2.0</v>
      </c>
      <c r="B8" s="59" t="s">
        <v>53</v>
      </c>
      <c r="C8" s="59" t="s">
        <v>121</v>
      </c>
      <c r="D8" s="258">
        <v>3.0</v>
      </c>
      <c r="E8" s="59">
        <v>2.0</v>
      </c>
      <c r="F8" s="59">
        <f t="shared" si="1"/>
        <v>1</v>
      </c>
      <c r="G8" s="408">
        <v>144000.0</v>
      </c>
      <c r="H8" s="408">
        <f t="shared" si="2"/>
        <v>432000</v>
      </c>
      <c r="I8" s="59" t="s">
        <v>167</v>
      </c>
      <c r="J8" s="412" t="s">
        <v>127</v>
      </c>
      <c r="K8" s="258" t="s">
        <v>70</v>
      </c>
      <c r="L8" s="59" t="s">
        <v>129</v>
      </c>
      <c r="M8" s="59" t="s">
        <v>130</v>
      </c>
      <c r="N8" s="413" t="s">
        <v>132</v>
      </c>
      <c r="O8" s="258">
        <v>1326.0</v>
      </c>
      <c r="P8" s="409">
        <v>45654.0</v>
      </c>
      <c r="Q8" s="410"/>
    </row>
    <row r="9">
      <c r="A9" s="403">
        <v>3.0</v>
      </c>
      <c r="B9" s="44" t="s">
        <v>56</v>
      </c>
      <c r="C9" s="44" t="s">
        <v>173</v>
      </c>
      <c r="D9" s="257">
        <v>1.0</v>
      </c>
      <c r="E9" s="44">
        <v>1.0</v>
      </c>
      <c r="F9" s="44">
        <f t="shared" si="1"/>
        <v>0</v>
      </c>
      <c r="G9" s="404">
        <v>253684.0</v>
      </c>
      <c r="H9" s="404">
        <f t="shared" si="2"/>
        <v>253684</v>
      </c>
      <c r="I9" s="44" t="s">
        <v>179</v>
      </c>
      <c r="J9" s="304" t="s">
        <v>182</v>
      </c>
      <c r="K9" s="257" t="s">
        <v>183</v>
      </c>
      <c r="L9" s="44" t="s">
        <v>184</v>
      </c>
      <c r="M9" s="44" t="s">
        <v>186</v>
      </c>
      <c r="N9" s="34" t="s">
        <v>187</v>
      </c>
      <c r="O9" s="257">
        <v>1323.0</v>
      </c>
      <c r="P9" s="405">
        <v>45654.0</v>
      </c>
      <c r="Q9" s="406"/>
    </row>
    <row r="10">
      <c r="A10" s="407">
        <v>3.0</v>
      </c>
      <c r="B10" s="59" t="s">
        <v>56</v>
      </c>
      <c r="C10" s="59" t="s">
        <v>173</v>
      </c>
      <c r="D10" s="258">
        <v>1.0</v>
      </c>
      <c r="E10" s="59">
        <v>1.0</v>
      </c>
      <c r="F10" s="59">
        <f t="shared" si="1"/>
        <v>0</v>
      </c>
      <c r="G10" s="408">
        <v>253684.0</v>
      </c>
      <c r="H10" s="408">
        <f t="shared" si="2"/>
        <v>253684</v>
      </c>
      <c r="I10" s="59" t="s">
        <v>191</v>
      </c>
      <c r="J10" s="305" t="s">
        <v>182</v>
      </c>
      <c r="K10" s="258" t="s">
        <v>183</v>
      </c>
      <c r="L10" s="59" t="s">
        <v>184</v>
      </c>
      <c r="M10" s="59" t="s">
        <v>186</v>
      </c>
      <c r="N10" s="69" t="s">
        <v>187</v>
      </c>
      <c r="O10" s="258">
        <v>1323.0</v>
      </c>
      <c r="P10" s="409">
        <v>45654.0</v>
      </c>
      <c r="Q10" s="410"/>
    </row>
    <row r="11">
      <c r="A11" s="403">
        <v>3.0</v>
      </c>
      <c r="B11" s="44" t="s">
        <v>56</v>
      </c>
      <c r="C11" s="44" t="s">
        <v>173</v>
      </c>
      <c r="D11" s="257">
        <v>1.0</v>
      </c>
      <c r="E11" s="44">
        <v>1.0</v>
      </c>
      <c r="F11" s="44">
        <f t="shared" si="1"/>
        <v>0</v>
      </c>
      <c r="G11" s="404">
        <v>253684.0</v>
      </c>
      <c r="H11" s="404">
        <f t="shared" si="2"/>
        <v>253684</v>
      </c>
      <c r="I11" s="44" t="s">
        <v>111</v>
      </c>
      <c r="J11" s="304" t="s">
        <v>182</v>
      </c>
      <c r="K11" s="257" t="s">
        <v>183</v>
      </c>
      <c r="L11" s="44" t="s">
        <v>184</v>
      </c>
      <c r="M11" s="44" t="s">
        <v>186</v>
      </c>
      <c r="N11" s="34" t="s">
        <v>187</v>
      </c>
      <c r="O11" s="257">
        <v>1323.0</v>
      </c>
      <c r="P11" s="405">
        <v>45654.0</v>
      </c>
      <c r="Q11" s="406"/>
    </row>
    <row r="12">
      <c r="A12" s="407">
        <v>3.0</v>
      </c>
      <c r="B12" s="59" t="s">
        <v>56</v>
      </c>
      <c r="C12" s="59" t="s">
        <v>173</v>
      </c>
      <c r="D12" s="258">
        <v>1.0</v>
      </c>
      <c r="E12" s="59">
        <v>1.0</v>
      </c>
      <c r="F12" s="59">
        <f t="shared" si="1"/>
        <v>0</v>
      </c>
      <c r="G12" s="408">
        <v>253684.0</v>
      </c>
      <c r="H12" s="408">
        <f t="shared" si="2"/>
        <v>253684</v>
      </c>
      <c r="I12" s="59" t="s">
        <v>197</v>
      </c>
      <c r="J12" s="305" t="s">
        <v>182</v>
      </c>
      <c r="K12" s="258" t="s">
        <v>183</v>
      </c>
      <c r="L12" s="59" t="s">
        <v>184</v>
      </c>
      <c r="M12" s="59" t="s">
        <v>186</v>
      </c>
      <c r="N12" s="69" t="s">
        <v>187</v>
      </c>
      <c r="O12" s="258">
        <v>1323.0</v>
      </c>
      <c r="P12" s="409">
        <v>45654.0</v>
      </c>
      <c r="Q12" s="410"/>
    </row>
    <row r="13">
      <c r="A13" s="403">
        <v>4.0</v>
      </c>
      <c r="B13" s="44" t="s">
        <v>805</v>
      </c>
      <c r="C13" s="44" t="s">
        <v>198</v>
      </c>
      <c r="D13" s="257">
        <v>1.0</v>
      </c>
      <c r="E13" s="44">
        <v>1.0</v>
      </c>
      <c r="F13" s="44">
        <f t="shared" si="1"/>
        <v>0</v>
      </c>
      <c r="G13" s="404">
        <v>518980.0</v>
      </c>
      <c r="H13" s="404">
        <f t="shared" si="2"/>
        <v>518980</v>
      </c>
      <c r="I13" s="44" t="s">
        <v>202</v>
      </c>
      <c r="J13" s="44" t="s">
        <v>203</v>
      </c>
      <c r="K13" s="257" t="s">
        <v>204</v>
      </c>
      <c r="L13" s="44" t="s">
        <v>62</v>
      </c>
      <c r="M13" s="44" t="s">
        <v>205</v>
      </c>
      <c r="N13" s="34" t="s">
        <v>206</v>
      </c>
      <c r="O13" s="257">
        <v>1007.0</v>
      </c>
      <c r="P13" s="405">
        <v>45716.0</v>
      </c>
      <c r="Q13" s="406"/>
    </row>
    <row r="14">
      <c r="A14" s="407">
        <v>4.0</v>
      </c>
      <c r="B14" s="59" t="s">
        <v>805</v>
      </c>
      <c r="C14" s="59" t="s">
        <v>198</v>
      </c>
      <c r="D14" s="258">
        <v>1.0</v>
      </c>
      <c r="E14" s="59">
        <v>1.0</v>
      </c>
      <c r="F14" s="59">
        <f t="shared" si="1"/>
        <v>0</v>
      </c>
      <c r="G14" s="408">
        <v>518980.0</v>
      </c>
      <c r="H14" s="408">
        <f t="shared" si="2"/>
        <v>518980</v>
      </c>
      <c r="I14" s="59" t="s">
        <v>191</v>
      </c>
      <c r="J14" s="305" t="s">
        <v>203</v>
      </c>
      <c r="K14" s="258" t="s">
        <v>204</v>
      </c>
      <c r="L14" s="59" t="s">
        <v>62</v>
      </c>
      <c r="M14" s="59" t="s">
        <v>205</v>
      </c>
      <c r="N14" s="69" t="s">
        <v>206</v>
      </c>
      <c r="O14" s="258">
        <v>1007.0</v>
      </c>
      <c r="P14" s="409">
        <v>45716.0</v>
      </c>
      <c r="Q14" s="410"/>
    </row>
    <row r="15">
      <c r="A15" s="403">
        <v>4.0</v>
      </c>
      <c r="B15" s="44" t="s">
        <v>805</v>
      </c>
      <c r="C15" s="44" t="s">
        <v>198</v>
      </c>
      <c r="D15" s="257">
        <v>1.0</v>
      </c>
      <c r="E15" s="44">
        <v>1.0</v>
      </c>
      <c r="F15" s="44">
        <f t="shared" si="1"/>
        <v>0</v>
      </c>
      <c r="G15" s="404">
        <v>518980.0</v>
      </c>
      <c r="H15" s="404">
        <f t="shared" si="2"/>
        <v>518980</v>
      </c>
      <c r="I15" s="44" t="s">
        <v>221</v>
      </c>
      <c r="J15" s="304" t="s">
        <v>203</v>
      </c>
      <c r="K15" s="257" t="s">
        <v>204</v>
      </c>
      <c r="L15" s="44" t="s">
        <v>62</v>
      </c>
      <c r="M15" s="44" t="s">
        <v>205</v>
      </c>
      <c r="N15" s="34" t="s">
        <v>206</v>
      </c>
      <c r="O15" s="257">
        <v>1007.0</v>
      </c>
      <c r="P15" s="405">
        <v>45716.0</v>
      </c>
      <c r="Q15" s="406"/>
    </row>
    <row r="16">
      <c r="A16" s="407">
        <v>5.0</v>
      </c>
      <c r="B16" s="59" t="s">
        <v>64</v>
      </c>
      <c r="C16" s="59" t="s">
        <v>224</v>
      </c>
      <c r="D16" s="52">
        <v>3.0</v>
      </c>
      <c r="E16" s="52">
        <v>2.0</v>
      </c>
      <c r="F16" s="52">
        <f t="shared" si="1"/>
        <v>1</v>
      </c>
      <c r="G16" s="408">
        <v>103229.0</v>
      </c>
      <c r="H16" s="408">
        <f t="shared" si="2"/>
        <v>309687</v>
      </c>
      <c r="I16" s="59" t="s">
        <v>167</v>
      </c>
      <c r="J16" s="305" t="s">
        <v>225</v>
      </c>
      <c r="K16" s="258" t="s">
        <v>183</v>
      </c>
      <c r="L16" s="59" t="s">
        <v>184</v>
      </c>
      <c r="M16" s="59" t="s">
        <v>186</v>
      </c>
      <c r="N16" s="69" t="s">
        <v>187</v>
      </c>
      <c r="O16" s="258">
        <v>1323.0</v>
      </c>
      <c r="P16" s="409">
        <v>45654.0</v>
      </c>
      <c r="Q16" s="410"/>
    </row>
    <row r="17">
      <c r="A17" s="403">
        <v>5.0</v>
      </c>
      <c r="B17" s="44" t="s">
        <v>64</v>
      </c>
      <c r="C17" s="44" t="s">
        <v>224</v>
      </c>
      <c r="D17" s="257">
        <v>1.0</v>
      </c>
      <c r="E17" s="44">
        <v>1.0</v>
      </c>
      <c r="F17" s="44">
        <f t="shared" si="1"/>
        <v>0</v>
      </c>
      <c r="G17" s="404">
        <v>103229.0</v>
      </c>
      <c r="H17" s="404">
        <f t="shared" si="2"/>
        <v>103229</v>
      </c>
      <c r="I17" s="44" t="s">
        <v>228</v>
      </c>
      <c r="J17" s="304" t="s">
        <v>225</v>
      </c>
      <c r="K17" s="257" t="s">
        <v>183</v>
      </c>
      <c r="L17" s="44" t="s">
        <v>184</v>
      </c>
      <c r="M17" s="44" t="s">
        <v>186</v>
      </c>
      <c r="N17" s="34" t="s">
        <v>187</v>
      </c>
      <c r="O17" s="257">
        <v>1323.0</v>
      </c>
      <c r="P17" s="405">
        <v>45654.0</v>
      </c>
      <c r="Q17" s="406"/>
    </row>
    <row r="18">
      <c r="A18" s="407">
        <v>5.0</v>
      </c>
      <c r="B18" s="59" t="s">
        <v>64</v>
      </c>
      <c r="C18" s="59" t="s">
        <v>224</v>
      </c>
      <c r="D18" s="59">
        <v>1.0</v>
      </c>
      <c r="E18" s="59">
        <v>1.0</v>
      </c>
      <c r="F18" s="59">
        <f t="shared" si="1"/>
        <v>0</v>
      </c>
      <c r="G18" s="235">
        <v>103229.0</v>
      </c>
      <c r="H18" s="408">
        <f t="shared" si="2"/>
        <v>103229</v>
      </c>
      <c r="I18" s="59" t="s">
        <v>194</v>
      </c>
      <c r="J18" s="305" t="s">
        <v>225</v>
      </c>
      <c r="K18" s="258" t="s">
        <v>183</v>
      </c>
      <c r="L18" s="59" t="s">
        <v>184</v>
      </c>
      <c r="M18" s="59" t="s">
        <v>186</v>
      </c>
      <c r="N18" s="69" t="s">
        <v>187</v>
      </c>
      <c r="O18" s="258">
        <v>1323.0</v>
      </c>
      <c r="P18" s="409">
        <v>45654.0</v>
      </c>
      <c r="Q18" s="410"/>
    </row>
    <row r="19">
      <c r="A19" s="403">
        <v>6.0</v>
      </c>
      <c r="B19" s="44" t="s">
        <v>73</v>
      </c>
      <c r="C19" s="44" t="s">
        <v>230</v>
      </c>
      <c r="D19" s="44">
        <v>1.0</v>
      </c>
      <c r="E19" s="44">
        <v>1.0</v>
      </c>
      <c r="F19" s="44">
        <f t="shared" si="1"/>
        <v>0</v>
      </c>
      <c r="G19" s="234">
        <v>595000.0</v>
      </c>
      <c r="H19" s="404">
        <f t="shared" si="2"/>
        <v>595000</v>
      </c>
      <c r="I19" s="44" t="s">
        <v>233</v>
      </c>
      <c r="J19" s="304" t="s">
        <v>234</v>
      </c>
      <c r="K19" s="257" t="s">
        <v>235</v>
      </c>
      <c r="L19" s="44" t="s">
        <v>236</v>
      </c>
      <c r="M19" s="44" t="s">
        <v>237</v>
      </c>
      <c r="N19" s="34" t="s">
        <v>238</v>
      </c>
      <c r="O19" s="257">
        <v>1325.0</v>
      </c>
      <c r="P19" s="405">
        <v>45696.0</v>
      </c>
      <c r="Q19" s="406"/>
    </row>
    <row r="20">
      <c r="A20" s="407">
        <v>7.0</v>
      </c>
      <c r="B20" s="59" t="s">
        <v>80</v>
      </c>
      <c r="C20" s="59" t="s">
        <v>239</v>
      </c>
      <c r="D20" s="52">
        <v>4.0</v>
      </c>
      <c r="E20" s="52">
        <v>4.0</v>
      </c>
      <c r="F20" s="52">
        <f t="shared" si="1"/>
        <v>0</v>
      </c>
      <c r="G20" s="235">
        <v>13682.0</v>
      </c>
      <c r="H20" s="408">
        <f t="shared" si="2"/>
        <v>54728</v>
      </c>
      <c r="I20" s="59" t="s">
        <v>167</v>
      </c>
      <c r="J20" s="59" t="s">
        <v>240</v>
      </c>
      <c r="K20" s="258" t="s">
        <v>241</v>
      </c>
      <c r="L20" s="59" t="s">
        <v>242</v>
      </c>
      <c r="M20" s="59" t="s">
        <v>243</v>
      </c>
      <c r="N20" s="69" t="s">
        <v>244</v>
      </c>
      <c r="O20" s="258">
        <v>1005.0</v>
      </c>
      <c r="P20" s="409">
        <v>45696.0</v>
      </c>
      <c r="Q20" s="410"/>
    </row>
    <row r="21" ht="15.75" customHeight="1">
      <c r="A21" s="403">
        <v>8.0</v>
      </c>
      <c r="B21" s="44" t="s">
        <v>122</v>
      </c>
      <c r="C21" s="44" t="s">
        <v>245</v>
      </c>
      <c r="D21" s="415">
        <v>4.0</v>
      </c>
      <c r="E21" s="35">
        <v>3.0</v>
      </c>
      <c r="F21" s="35">
        <f t="shared" si="1"/>
        <v>1</v>
      </c>
      <c r="G21" s="404">
        <v>790000.0</v>
      </c>
      <c r="H21" s="404">
        <f t="shared" si="2"/>
        <v>3160000</v>
      </c>
      <c r="I21" s="44" t="s">
        <v>89</v>
      </c>
      <c r="J21" s="44" t="s">
        <v>248</v>
      </c>
      <c r="K21" s="257" t="s">
        <v>235</v>
      </c>
      <c r="L21" s="44" t="s">
        <v>236</v>
      </c>
      <c r="M21" s="44" t="s">
        <v>237</v>
      </c>
      <c r="N21" s="34" t="s">
        <v>238</v>
      </c>
      <c r="O21" s="257">
        <v>1325.0</v>
      </c>
      <c r="P21" s="405">
        <v>45696.0</v>
      </c>
      <c r="Q21" s="406"/>
    </row>
    <row r="22" ht="15.75" customHeight="1">
      <c r="A22" s="407">
        <v>9.0</v>
      </c>
      <c r="B22" s="59" t="s">
        <v>128</v>
      </c>
      <c r="C22" s="59" t="s">
        <v>249</v>
      </c>
      <c r="D22" s="416">
        <v>1.0</v>
      </c>
      <c r="E22" s="52">
        <v>1.0</v>
      </c>
      <c r="F22" s="52">
        <f t="shared" si="1"/>
        <v>0</v>
      </c>
      <c r="G22" s="408">
        <v>649900.0</v>
      </c>
      <c r="H22" s="408">
        <f t="shared" si="2"/>
        <v>649900</v>
      </c>
      <c r="I22" s="59" t="s">
        <v>179</v>
      </c>
      <c r="J22" s="305" t="s">
        <v>250</v>
      </c>
      <c r="K22" s="258" t="s">
        <v>235</v>
      </c>
      <c r="L22" s="59" t="s">
        <v>236</v>
      </c>
      <c r="M22" s="59" t="s">
        <v>237</v>
      </c>
      <c r="N22" s="69" t="s">
        <v>238</v>
      </c>
      <c r="O22" s="258">
        <v>1325.0</v>
      </c>
      <c r="P22" s="409">
        <v>45696.0</v>
      </c>
      <c r="Q22" s="410"/>
    </row>
    <row r="23" ht="15.75" customHeight="1">
      <c r="A23" s="403">
        <v>9.0</v>
      </c>
      <c r="B23" s="44" t="s">
        <v>128</v>
      </c>
      <c r="C23" s="44" t="s">
        <v>249</v>
      </c>
      <c r="D23" s="257">
        <v>1.0</v>
      </c>
      <c r="E23" s="44">
        <v>0.0</v>
      </c>
      <c r="F23" s="44">
        <f t="shared" si="1"/>
        <v>1</v>
      </c>
      <c r="G23" s="404">
        <v>649900.0</v>
      </c>
      <c r="H23" s="404">
        <f t="shared" si="2"/>
        <v>649900</v>
      </c>
      <c r="I23" s="44" t="s">
        <v>214</v>
      </c>
      <c r="J23" s="304" t="s">
        <v>250</v>
      </c>
      <c r="K23" s="257" t="s">
        <v>235</v>
      </c>
      <c r="L23" s="44" t="s">
        <v>236</v>
      </c>
      <c r="M23" s="44" t="s">
        <v>237</v>
      </c>
      <c r="N23" s="34" t="s">
        <v>238</v>
      </c>
      <c r="O23" s="257">
        <v>1325.0</v>
      </c>
      <c r="P23" s="405">
        <v>45696.0</v>
      </c>
      <c r="Q23" s="406"/>
    </row>
    <row r="24" ht="15.75" customHeight="1">
      <c r="A24" s="407">
        <v>10.0</v>
      </c>
      <c r="B24" s="258" t="s">
        <v>83</v>
      </c>
      <c r="C24" s="59" t="s">
        <v>251</v>
      </c>
      <c r="D24" s="416">
        <v>1.0</v>
      </c>
      <c r="E24" s="52" t="s">
        <v>48</v>
      </c>
      <c r="F24" s="167" t="s">
        <v>48</v>
      </c>
      <c r="G24" s="408" t="s">
        <v>252</v>
      </c>
      <c r="H24" s="408" t="s">
        <v>252</v>
      </c>
      <c r="I24" s="59"/>
      <c r="J24" s="59" t="s">
        <v>48</v>
      </c>
      <c r="K24" s="59" t="s">
        <v>48</v>
      </c>
      <c r="L24" s="59" t="s">
        <v>48</v>
      </c>
      <c r="M24" s="59"/>
      <c r="N24" s="59"/>
      <c r="O24" s="59" t="s">
        <v>48</v>
      </c>
      <c r="P24" s="417" t="s">
        <v>48</v>
      </c>
      <c r="Q24" s="120" t="s">
        <v>48</v>
      </c>
    </row>
    <row r="25" ht="15.75" customHeight="1">
      <c r="A25" s="403">
        <v>10.0</v>
      </c>
      <c r="B25" s="257" t="s">
        <v>83</v>
      </c>
      <c r="C25" s="44" t="s">
        <v>251</v>
      </c>
      <c r="D25" s="415">
        <v>1.0</v>
      </c>
      <c r="E25" s="35" t="s">
        <v>48</v>
      </c>
      <c r="F25" s="35" t="s">
        <v>48</v>
      </c>
      <c r="G25" s="404" t="s">
        <v>252</v>
      </c>
      <c r="H25" s="404" t="s">
        <v>252</v>
      </c>
      <c r="I25" s="44" t="s">
        <v>179</v>
      </c>
      <c r="J25" s="44" t="s">
        <v>48</v>
      </c>
      <c r="K25" s="44" t="s">
        <v>48</v>
      </c>
      <c r="L25" s="44" t="s">
        <v>48</v>
      </c>
      <c r="M25" s="44"/>
      <c r="N25" s="44"/>
      <c r="O25" s="44" t="s">
        <v>48</v>
      </c>
      <c r="P25" s="418" t="s">
        <v>48</v>
      </c>
      <c r="Q25" s="119" t="s">
        <v>48</v>
      </c>
    </row>
    <row r="26" ht="15.75" customHeight="1">
      <c r="A26" s="407">
        <v>10.0</v>
      </c>
      <c r="B26" s="258" t="s">
        <v>83</v>
      </c>
      <c r="C26" s="59" t="s">
        <v>251</v>
      </c>
      <c r="D26" s="52">
        <v>4.0</v>
      </c>
      <c r="E26" s="52" t="s">
        <v>48</v>
      </c>
      <c r="F26" s="52" t="s">
        <v>48</v>
      </c>
      <c r="G26" s="408" t="s">
        <v>252</v>
      </c>
      <c r="H26" s="408" t="s">
        <v>252</v>
      </c>
      <c r="I26" s="59" t="s">
        <v>167</v>
      </c>
      <c r="J26" s="59" t="s">
        <v>48</v>
      </c>
      <c r="K26" s="59" t="s">
        <v>48</v>
      </c>
      <c r="L26" s="59" t="s">
        <v>48</v>
      </c>
      <c r="M26" s="59"/>
      <c r="N26" s="59"/>
      <c r="O26" s="59" t="s">
        <v>48</v>
      </c>
      <c r="P26" s="417" t="s">
        <v>48</v>
      </c>
      <c r="Q26" s="120" t="s">
        <v>48</v>
      </c>
    </row>
    <row r="27" ht="15.75" customHeight="1">
      <c r="A27" s="403">
        <v>10.0</v>
      </c>
      <c r="B27" s="257" t="s">
        <v>83</v>
      </c>
      <c r="C27" s="44" t="s">
        <v>251</v>
      </c>
      <c r="D27" s="35">
        <v>1.0</v>
      </c>
      <c r="E27" s="35" t="s">
        <v>48</v>
      </c>
      <c r="F27" s="35" t="s">
        <v>48</v>
      </c>
      <c r="G27" s="404" t="s">
        <v>252</v>
      </c>
      <c r="H27" s="404" t="s">
        <v>252</v>
      </c>
      <c r="I27" s="44" t="s">
        <v>202</v>
      </c>
      <c r="J27" s="44" t="s">
        <v>48</v>
      </c>
      <c r="K27" s="44" t="s">
        <v>48</v>
      </c>
      <c r="L27" s="44" t="s">
        <v>48</v>
      </c>
      <c r="M27" s="44"/>
      <c r="N27" s="44"/>
      <c r="O27" s="44" t="s">
        <v>48</v>
      </c>
      <c r="P27" s="418" t="s">
        <v>48</v>
      </c>
      <c r="Q27" s="119" t="s">
        <v>48</v>
      </c>
    </row>
    <row r="28" ht="15.75" customHeight="1">
      <c r="A28" s="407">
        <v>10.0</v>
      </c>
      <c r="B28" s="258" t="s">
        <v>83</v>
      </c>
      <c r="C28" s="59" t="s">
        <v>251</v>
      </c>
      <c r="D28" s="416">
        <v>1.0</v>
      </c>
      <c r="E28" s="52" t="s">
        <v>48</v>
      </c>
      <c r="F28" s="52" t="s">
        <v>48</v>
      </c>
      <c r="G28" s="408" t="s">
        <v>252</v>
      </c>
      <c r="H28" s="408" t="s">
        <v>252</v>
      </c>
      <c r="I28" s="59" t="s">
        <v>111</v>
      </c>
      <c r="J28" s="59" t="s">
        <v>48</v>
      </c>
      <c r="K28" s="59" t="s">
        <v>48</v>
      </c>
      <c r="L28" s="59" t="s">
        <v>48</v>
      </c>
      <c r="M28" s="59"/>
      <c r="N28" s="59"/>
      <c r="O28" s="59" t="s">
        <v>48</v>
      </c>
      <c r="P28" s="417" t="s">
        <v>48</v>
      </c>
      <c r="Q28" s="120" t="s">
        <v>48</v>
      </c>
    </row>
    <row r="29" ht="15.75" customHeight="1">
      <c r="A29" s="403">
        <v>11.0</v>
      </c>
      <c r="B29" s="44" t="s">
        <v>94</v>
      </c>
      <c r="C29" s="44" t="s">
        <v>261</v>
      </c>
      <c r="D29" s="257">
        <v>1.0</v>
      </c>
      <c r="E29" s="35" t="s">
        <v>48</v>
      </c>
      <c r="F29" s="35" t="s">
        <v>48</v>
      </c>
      <c r="G29" s="404" t="s">
        <v>499</v>
      </c>
      <c r="H29" s="404" t="s">
        <v>499</v>
      </c>
      <c r="I29" s="419" t="s">
        <v>264</v>
      </c>
      <c r="J29" s="44" t="s">
        <v>48</v>
      </c>
      <c r="K29" s="44" t="s">
        <v>48</v>
      </c>
      <c r="L29" s="44" t="s">
        <v>48</v>
      </c>
      <c r="M29" s="44"/>
      <c r="N29" s="44"/>
      <c r="O29" s="44" t="s">
        <v>48</v>
      </c>
      <c r="P29" s="418" t="s">
        <v>48</v>
      </c>
      <c r="Q29" s="119" t="s">
        <v>48</v>
      </c>
    </row>
    <row r="30" ht="15.75" customHeight="1">
      <c r="A30" s="407">
        <v>11.0</v>
      </c>
      <c r="B30" s="59" t="s">
        <v>94</v>
      </c>
      <c r="C30" s="59" t="s">
        <v>261</v>
      </c>
      <c r="D30" s="52">
        <v>4.0</v>
      </c>
      <c r="E30" s="52" t="s">
        <v>48</v>
      </c>
      <c r="F30" s="52" t="s">
        <v>48</v>
      </c>
      <c r="G30" s="408" t="s">
        <v>499</v>
      </c>
      <c r="H30" s="408" t="s">
        <v>499</v>
      </c>
      <c r="I30" s="59" t="s">
        <v>167</v>
      </c>
      <c r="J30" s="59" t="s">
        <v>48</v>
      </c>
      <c r="K30" s="59" t="s">
        <v>48</v>
      </c>
      <c r="L30" s="59" t="s">
        <v>48</v>
      </c>
      <c r="M30" s="59"/>
      <c r="N30" s="59"/>
      <c r="O30" s="59" t="s">
        <v>48</v>
      </c>
      <c r="P30" s="417" t="s">
        <v>48</v>
      </c>
      <c r="Q30" s="120" t="s">
        <v>48</v>
      </c>
    </row>
    <row r="31" ht="15.75" customHeight="1">
      <c r="A31" s="403">
        <v>11.0</v>
      </c>
      <c r="B31" s="44" t="s">
        <v>94</v>
      </c>
      <c r="C31" s="44" t="s">
        <v>261</v>
      </c>
      <c r="D31" s="257">
        <v>1.0</v>
      </c>
      <c r="E31" s="35" t="s">
        <v>48</v>
      </c>
      <c r="F31" s="35" t="s">
        <v>48</v>
      </c>
      <c r="G31" s="404" t="s">
        <v>499</v>
      </c>
      <c r="H31" s="404" t="s">
        <v>499</v>
      </c>
      <c r="I31" s="44" t="s">
        <v>272</v>
      </c>
      <c r="J31" s="44" t="s">
        <v>48</v>
      </c>
      <c r="K31" s="44" t="s">
        <v>48</v>
      </c>
      <c r="L31" s="44" t="s">
        <v>48</v>
      </c>
      <c r="M31" s="44"/>
      <c r="N31" s="44"/>
      <c r="O31" s="44" t="s">
        <v>48</v>
      </c>
      <c r="P31" s="418" t="s">
        <v>48</v>
      </c>
      <c r="Q31" s="119" t="s">
        <v>48</v>
      </c>
    </row>
    <row r="32" ht="15.75" customHeight="1">
      <c r="A32" s="407">
        <v>12.0</v>
      </c>
      <c r="B32" s="258" t="s">
        <v>99</v>
      </c>
      <c r="C32" s="59" t="s">
        <v>275</v>
      </c>
      <c r="D32" s="258">
        <v>1.0</v>
      </c>
      <c r="E32" s="59">
        <v>0.0</v>
      </c>
      <c r="F32" s="59">
        <v>1.0</v>
      </c>
      <c r="G32" s="408">
        <v>1189999.78</v>
      </c>
      <c r="H32" s="408">
        <f>G32*D32</f>
        <v>1189999.78</v>
      </c>
      <c r="I32" s="59" t="s">
        <v>276</v>
      </c>
      <c r="J32" s="59" t="s">
        <v>277</v>
      </c>
      <c r="K32" s="258"/>
      <c r="L32" s="59"/>
      <c r="M32" s="59"/>
      <c r="N32" s="59"/>
      <c r="O32" s="258"/>
      <c r="P32" s="409"/>
      <c r="Q32" s="410" t="s">
        <v>296</v>
      </c>
    </row>
    <row r="33" ht="15.75" customHeight="1">
      <c r="A33" s="403">
        <v>13.0</v>
      </c>
      <c r="B33" s="44" t="s">
        <v>101</v>
      </c>
      <c r="C33" s="44" t="s">
        <v>278</v>
      </c>
      <c r="D33" s="35">
        <v>13.0</v>
      </c>
      <c r="E33" s="35" t="s">
        <v>48</v>
      </c>
      <c r="F33" s="35" t="s">
        <v>48</v>
      </c>
      <c r="G33" s="234" t="s">
        <v>499</v>
      </c>
      <c r="H33" s="234" t="s">
        <v>499</v>
      </c>
      <c r="I33" s="419" t="s">
        <v>264</v>
      </c>
      <c r="J33" s="44" t="s">
        <v>48</v>
      </c>
      <c r="K33" s="44" t="s">
        <v>48</v>
      </c>
      <c r="L33" s="44" t="s">
        <v>48</v>
      </c>
      <c r="M33" s="44"/>
      <c r="N33" s="44"/>
      <c r="O33" s="44" t="s">
        <v>48</v>
      </c>
      <c r="P33" s="418" t="s">
        <v>48</v>
      </c>
      <c r="Q33" s="119" t="s">
        <v>48</v>
      </c>
    </row>
    <row r="34" ht="15.75" customHeight="1">
      <c r="A34" s="407">
        <v>14.0</v>
      </c>
      <c r="B34" s="59" t="s">
        <v>104</v>
      </c>
      <c r="C34" s="59" t="s">
        <v>279</v>
      </c>
      <c r="D34" s="416">
        <v>1.0</v>
      </c>
      <c r="E34" s="52">
        <v>1.0</v>
      </c>
      <c r="F34" s="52">
        <f t="shared" ref="F34:F39" si="3">D34-E34</f>
        <v>0</v>
      </c>
      <c r="G34" s="408">
        <v>979980.0</v>
      </c>
      <c r="H34" s="408">
        <f t="shared" ref="H34:H50" si="4">G34*D34</f>
        <v>979980</v>
      </c>
      <c r="I34" s="59" t="s">
        <v>89</v>
      </c>
      <c r="J34" s="59" t="s">
        <v>280</v>
      </c>
      <c r="K34" s="258" t="s">
        <v>204</v>
      </c>
      <c r="L34" s="59" t="s">
        <v>62</v>
      </c>
      <c r="M34" s="59" t="s">
        <v>205</v>
      </c>
      <c r="N34" s="69" t="s">
        <v>206</v>
      </c>
      <c r="O34" s="258">
        <v>1007.0</v>
      </c>
      <c r="P34" s="409">
        <v>45716.0</v>
      </c>
      <c r="Q34" s="410"/>
    </row>
    <row r="35" ht="15.75" customHeight="1">
      <c r="A35" s="403">
        <v>14.0</v>
      </c>
      <c r="B35" s="44" t="s">
        <v>104</v>
      </c>
      <c r="C35" s="44" t="s">
        <v>279</v>
      </c>
      <c r="D35" s="415">
        <v>1.0</v>
      </c>
      <c r="E35" s="35">
        <v>1.0</v>
      </c>
      <c r="F35" s="35">
        <f t="shared" si="3"/>
        <v>0</v>
      </c>
      <c r="G35" s="404">
        <v>979980.0</v>
      </c>
      <c r="H35" s="404">
        <f t="shared" si="4"/>
        <v>979980</v>
      </c>
      <c r="I35" s="44" t="s">
        <v>179</v>
      </c>
      <c r="J35" s="44" t="s">
        <v>280</v>
      </c>
      <c r="K35" s="257" t="s">
        <v>204</v>
      </c>
      <c r="L35" s="44" t="s">
        <v>62</v>
      </c>
      <c r="M35" s="44" t="s">
        <v>205</v>
      </c>
      <c r="N35" s="34" t="s">
        <v>206</v>
      </c>
      <c r="O35" s="257">
        <v>1007.0</v>
      </c>
      <c r="P35" s="405">
        <v>45716.0</v>
      </c>
      <c r="Q35" s="406"/>
    </row>
    <row r="36" ht="15.75" customHeight="1">
      <c r="A36" s="407">
        <v>14.0</v>
      </c>
      <c r="B36" s="59" t="s">
        <v>104</v>
      </c>
      <c r="C36" s="59" t="s">
        <v>279</v>
      </c>
      <c r="D36" s="52">
        <v>1.0</v>
      </c>
      <c r="E36" s="52">
        <v>1.0</v>
      </c>
      <c r="F36" s="52">
        <f t="shared" si="3"/>
        <v>0</v>
      </c>
      <c r="G36" s="408">
        <v>979980.0</v>
      </c>
      <c r="H36" s="408">
        <f t="shared" si="4"/>
        <v>979980</v>
      </c>
      <c r="I36" s="59" t="s">
        <v>167</v>
      </c>
      <c r="J36" s="59" t="s">
        <v>280</v>
      </c>
      <c r="K36" s="258" t="s">
        <v>204</v>
      </c>
      <c r="L36" s="59" t="s">
        <v>62</v>
      </c>
      <c r="M36" s="59" t="s">
        <v>205</v>
      </c>
      <c r="N36" s="69" t="s">
        <v>206</v>
      </c>
      <c r="O36" s="258">
        <v>1007.0</v>
      </c>
      <c r="P36" s="409">
        <v>45716.0</v>
      </c>
      <c r="Q36" s="410"/>
    </row>
    <row r="37" ht="15.75" customHeight="1">
      <c r="A37" s="403">
        <v>14.0</v>
      </c>
      <c r="B37" s="44" t="s">
        <v>104</v>
      </c>
      <c r="C37" s="44" t="s">
        <v>279</v>
      </c>
      <c r="D37" s="257">
        <v>1.0</v>
      </c>
      <c r="E37" s="44">
        <v>1.0</v>
      </c>
      <c r="F37" s="35">
        <f t="shared" si="3"/>
        <v>0</v>
      </c>
      <c r="G37" s="404">
        <v>979980.0</v>
      </c>
      <c r="H37" s="404">
        <f t="shared" si="4"/>
        <v>979980</v>
      </c>
      <c r="I37" s="44" t="s">
        <v>160</v>
      </c>
      <c r="J37" s="44" t="s">
        <v>280</v>
      </c>
      <c r="K37" s="257" t="s">
        <v>204</v>
      </c>
      <c r="L37" s="44" t="s">
        <v>62</v>
      </c>
      <c r="M37" s="44" t="s">
        <v>205</v>
      </c>
      <c r="N37" s="34" t="s">
        <v>206</v>
      </c>
      <c r="O37" s="257">
        <v>1007.0</v>
      </c>
      <c r="P37" s="405">
        <v>45716.0</v>
      </c>
      <c r="Q37" s="406"/>
    </row>
    <row r="38" ht="15.75" customHeight="1">
      <c r="A38" s="407">
        <v>14.0</v>
      </c>
      <c r="B38" s="59" t="s">
        <v>104</v>
      </c>
      <c r="C38" s="59" t="s">
        <v>279</v>
      </c>
      <c r="D38" s="258">
        <v>1.0</v>
      </c>
      <c r="E38" s="59">
        <v>1.0</v>
      </c>
      <c r="F38" s="52">
        <f t="shared" si="3"/>
        <v>0</v>
      </c>
      <c r="G38" s="408">
        <v>979980.0</v>
      </c>
      <c r="H38" s="408">
        <f t="shared" si="4"/>
        <v>979980</v>
      </c>
      <c r="I38" s="59" t="s">
        <v>210</v>
      </c>
      <c r="J38" s="59" t="s">
        <v>280</v>
      </c>
      <c r="K38" s="258" t="s">
        <v>204</v>
      </c>
      <c r="L38" s="59" t="s">
        <v>62</v>
      </c>
      <c r="M38" s="59" t="s">
        <v>205</v>
      </c>
      <c r="N38" s="69" t="s">
        <v>206</v>
      </c>
      <c r="O38" s="258">
        <v>1007.0</v>
      </c>
      <c r="P38" s="409">
        <v>45716.0</v>
      </c>
      <c r="Q38" s="410"/>
    </row>
    <row r="39" ht="15.75" customHeight="1">
      <c r="A39" s="403">
        <v>15.0</v>
      </c>
      <c r="B39" s="44" t="s">
        <v>107</v>
      </c>
      <c r="C39" s="44" t="s">
        <v>285</v>
      </c>
      <c r="D39" s="257">
        <v>1.0</v>
      </c>
      <c r="E39" s="44">
        <v>1.0</v>
      </c>
      <c r="F39" s="35">
        <f t="shared" si="3"/>
        <v>0</v>
      </c>
      <c r="G39" s="404">
        <v>592400.0</v>
      </c>
      <c r="H39" s="404">
        <f t="shared" si="4"/>
        <v>592400</v>
      </c>
      <c r="I39" s="44" t="s">
        <v>210</v>
      </c>
      <c r="J39" s="304" t="s">
        <v>292</v>
      </c>
      <c r="K39" s="257" t="s">
        <v>235</v>
      </c>
      <c r="L39" s="44" t="s">
        <v>236</v>
      </c>
      <c r="M39" s="44" t="s">
        <v>237</v>
      </c>
      <c r="N39" s="34" t="s">
        <v>238</v>
      </c>
      <c r="O39" s="257">
        <v>1325.0</v>
      </c>
      <c r="P39" s="405">
        <v>45696.0</v>
      </c>
      <c r="Q39" s="406"/>
    </row>
    <row r="40" ht="15.75" customHeight="1">
      <c r="A40" s="407">
        <v>16.0</v>
      </c>
      <c r="B40" s="59" t="s">
        <v>109</v>
      </c>
      <c r="C40" s="59" t="s">
        <v>293</v>
      </c>
      <c r="D40" s="258">
        <v>1.0</v>
      </c>
      <c r="E40" s="59" t="s">
        <v>496</v>
      </c>
      <c r="F40" s="52" t="s">
        <v>496</v>
      </c>
      <c r="G40" s="408">
        <v>474000.0</v>
      </c>
      <c r="H40" s="408">
        <f t="shared" si="4"/>
        <v>474000</v>
      </c>
      <c r="I40" s="59" t="s">
        <v>58</v>
      </c>
      <c r="J40" s="59"/>
      <c r="K40" s="258"/>
      <c r="L40" s="59"/>
      <c r="M40" s="59"/>
      <c r="N40" s="59"/>
      <c r="O40" s="258"/>
      <c r="P40" s="409"/>
      <c r="Q40" s="410" t="s">
        <v>296</v>
      </c>
    </row>
    <row r="41" ht="15.75" customHeight="1">
      <c r="A41" s="403">
        <v>16.0</v>
      </c>
      <c r="B41" s="44" t="s">
        <v>109</v>
      </c>
      <c r="C41" s="44" t="s">
        <v>293</v>
      </c>
      <c r="D41" s="257">
        <v>1.0</v>
      </c>
      <c r="E41" s="44" t="s">
        <v>496</v>
      </c>
      <c r="F41" s="35" t="s">
        <v>496</v>
      </c>
      <c r="G41" s="404">
        <v>474000.0</v>
      </c>
      <c r="H41" s="404">
        <f t="shared" si="4"/>
        <v>474000</v>
      </c>
      <c r="I41" s="44" t="s">
        <v>103</v>
      </c>
      <c r="J41" s="44"/>
      <c r="K41" s="257"/>
      <c r="L41" s="44"/>
      <c r="M41" s="44"/>
      <c r="N41" s="44"/>
      <c r="O41" s="257"/>
      <c r="P41" s="405"/>
      <c r="Q41" s="406" t="s">
        <v>296</v>
      </c>
    </row>
    <row r="42" ht="15.75" customHeight="1">
      <c r="A42" s="407">
        <v>16.0</v>
      </c>
      <c r="B42" s="59" t="s">
        <v>109</v>
      </c>
      <c r="C42" s="59" t="s">
        <v>293</v>
      </c>
      <c r="D42" s="258">
        <v>1.0</v>
      </c>
      <c r="E42" s="59" t="s">
        <v>496</v>
      </c>
      <c r="F42" s="52" t="s">
        <v>496</v>
      </c>
      <c r="G42" s="408">
        <v>474000.0</v>
      </c>
      <c r="H42" s="408">
        <f t="shared" si="4"/>
        <v>474000</v>
      </c>
      <c r="I42" s="59" t="s">
        <v>96</v>
      </c>
      <c r="J42" s="59"/>
      <c r="K42" s="258"/>
      <c r="L42" s="59"/>
      <c r="M42" s="59"/>
      <c r="N42" s="59"/>
      <c r="O42" s="258"/>
      <c r="P42" s="409"/>
      <c r="Q42" s="410" t="s">
        <v>296</v>
      </c>
    </row>
    <row r="43" ht="15.75" customHeight="1">
      <c r="A43" s="403">
        <v>16.0</v>
      </c>
      <c r="B43" s="44" t="s">
        <v>109</v>
      </c>
      <c r="C43" s="44" t="s">
        <v>293</v>
      </c>
      <c r="D43" s="257">
        <v>1.0</v>
      </c>
      <c r="E43" s="44" t="s">
        <v>496</v>
      </c>
      <c r="F43" s="35" t="s">
        <v>496</v>
      </c>
      <c r="G43" s="404">
        <v>474000.0</v>
      </c>
      <c r="H43" s="404">
        <f t="shared" si="4"/>
        <v>474000</v>
      </c>
      <c r="I43" s="44" t="s">
        <v>276</v>
      </c>
      <c r="J43" s="44"/>
      <c r="K43" s="257"/>
      <c r="L43" s="44"/>
      <c r="M43" s="44"/>
      <c r="N43" s="44"/>
      <c r="O43" s="257"/>
      <c r="P43" s="405"/>
      <c r="Q43" s="406" t="s">
        <v>296</v>
      </c>
    </row>
    <row r="44" ht="15.75" customHeight="1">
      <c r="A44" s="407">
        <v>17.0</v>
      </c>
      <c r="B44" s="59" t="s">
        <v>110</v>
      </c>
      <c r="C44" s="59" t="s">
        <v>297</v>
      </c>
      <c r="D44" s="258">
        <v>1.0</v>
      </c>
      <c r="E44" s="59">
        <v>0.0</v>
      </c>
      <c r="F44" s="52">
        <f t="shared" ref="F44:F50" si="5">D44-E44</f>
        <v>1</v>
      </c>
      <c r="G44" s="408">
        <v>590000.0</v>
      </c>
      <c r="H44" s="408">
        <f t="shared" si="4"/>
        <v>590000</v>
      </c>
      <c r="I44" s="59" t="s">
        <v>160</v>
      </c>
      <c r="J44" s="59" t="s">
        <v>298</v>
      </c>
      <c r="K44" s="258" t="s">
        <v>299</v>
      </c>
      <c r="L44" s="59" t="s">
        <v>300</v>
      </c>
      <c r="M44" s="59" t="s">
        <v>301</v>
      </c>
      <c r="N44" s="69" t="s">
        <v>302</v>
      </c>
      <c r="O44" s="258">
        <v>1322.0</v>
      </c>
      <c r="P44" s="409">
        <v>45654.0</v>
      </c>
      <c r="Q44" s="410"/>
    </row>
    <row r="45" ht="15.75" customHeight="1">
      <c r="A45" s="403">
        <v>18.0</v>
      </c>
      <c r="B45" s="44" t="s">
        <v>116</v>
      </c>
      <c r="C45" s="44" t="s">
        <v>305</v>
      </c>
      <c r="D45" s="257">
        <v>1.0</v>
      </c>
      <c r="E45" s="44">
        <v>0.0</v>
      </c>
      <c r="F45" s="35">
        <f t="shared" si="5"/>
        <v>1</v>
      </c>
      <c r="G45" s="404">
        <v>390000.0</v>
      </c>
      <c r="H45" s="404">
        <f t="shared" si="4"/>
        <v>390000</v>
      </c>
      <c r="I45" s="44" t="s">
        <v>160</v>
      </c>
      <c r="J45" s="44" t="s">
        <v>306</v>
      </c>
      <c r="K45" s="257" t="s">
        <v>92</v>
      </c>
      <c r="L45" s="44" t="s">
        <v>93</v>
      </c>
      <c r="M45" s="44" t="s">
        <v>95</v>
      </c>
      <c r="N45" s="34" t="s">
        <v>98</v>
      </c>
      <c r="O45" s="257">
        <v>1006.0</v>
      </c>
      <c r="P45" s="405">
        <v>45696.0</v>
      </c>
      <c r="Q45" s="406"/>
    </row>
    <row r="46" ht="15.75" customHeight="1">
      <c r="A46" s="407">
        <v>19.0</v>
      </c>
      <c r="B46" s="59" t="s">
        <v>120</v>
      </c>
      <c r="C46" s="59" t="s">
        <v>310</v>
      </c>
      <c r="D46" s="258">
        <v>3.0</v>
      </c>
      <c r="E46" s="59">
        <v>3.0</v>
      </c>
      <c r="F46" s="52">
        <f t="shared" si="5"/>
        <v>0</v>
      </c>
      <c r="G46" s="408">
        <v>136701.0</v>
      </c>
      <c r="H46" s="408">
        <f t="shared" si="4"/>
        <v>410103</v>
      </c>
      <c r="I46" s="59" t="s">
        <v>160</v>
      </c>
      <c r="J46" s="59" t="s">
        <v>316</v>
      </c>
      <c r="K46" s="258" t="s">
        <v>183</v>
      </c>
      <c r="L46" s="59" t="s">
        <v>184</v>
      </c>
      <c r="M46" s="59" t="s">
        <v>186</v>
      </c>
      <c r="N46" s="69" t="s">
        <v>187</v>
      </c>
      <c r="O46" s="258">
        <v>1318.0</v>
      </c>
      <c r="P46" s="409">
        <v>45653.0</v>
      </c>
      <c r="Q46" s="420" t="s">
        <v>317</v>
      </c>
    </row>
    <row r="47" ht="15.75" customHeight="1">
      <c r="A47" s="403">
        <v>19.0</v>
      </c>
      <c r="B47" s="44" t="s">
        <v>120</v>
      </c>
      <c r="C47" s="44" t="s">
        <v>310</v>
      </c>
      <c r="D47" s="257">
        <v>3.0</v>
      </c>
      <c r="E47" s="44">
        <v>3.0</v>
      </c>
      <c r="F47" s="35">
        <f t="shared" si="5"/>
        <v>0</v>
      </c>
      <c r="G47" s="404">
        <v>136701.0</v>
      </c>
      <c r="H47" s="404">
        <f t="shared" si="4"/>
        <v>410103</v>
      </c>
      <c r="I47" s="44" t="s">
        <v>189</v>
      </c>
      <c r="J47" s="44" t="s">
        <v>316</v>
      </c>
      <c r="K47" s="257" t="s">
        <v>183</v>
      </c>
      <c r="L47" s="44" t="s">
        <v>184</v>
      </c>
      <c r="M47" s="44" t="s">
        <v>186</v>
      </c>
      <c r="N47" s="34" t="s">
        <v>187</v>
      </c>
      <c r="O47" s="257">
        <v>1318.0</v>
      </c>
      <c r="P47" s="405">
        <v>45653.0</v>
      </c>
      <c r="Q47" s="406"/>
    </row>
    <row r="48" ht="15.75" customHeight="1">
      <c r="A48" s="407">
        <v>19.0</v>
      </c>
      <c r="B48" s="59" t="s">
        <v>120</v>
      </c>
      <c r="C48" s="59" t="s">
        <v>310</v>
      </c>
      <c r="D48" s="258">
        <v>1.0</v>
      </c>
      <c r="E48" s="59">
        <v>1.0</v>
      </c>
      <c r="F48" s="52">
        <f t="shared" si="5"/>
        <v>0</v>
      </c>
      <c r="G48" s="408">
        <v>136701.0</v>
      </c>
      <c r="H48" s="408">
        <f t="shared" si="4"/>
        <v>136701</v>
      </c>
      <c r="I48" s="59" t="s">
        <v>192</v>
      </c>
      <c r="J48" s="59" t="s">
        <v>316</v>
      </c>
      <c r="K48" s="258" t="s">
        <v>183</v>
      </c>
      <c r="L48" s="59" t="s">
        <v>184</v>
      </c>
      <c r="M48" s="59" t="s">
        <v>186</v>
      </c>
      <c r="N48" s="69" t="s">
        <v>187</v>
      </c>
      <c r="O48" s="258">
        <v>1318.0</v>
      </c>
      <c r="P48" s="409">
        <v>45653.0</v>
      </c>
      <c r="Q48" s="410"/>
    </row>
    <row r="49" ht="15.75" customHeight="1">
      <c r="A49" s="403">
        <v>19.0</v>
      </c>
      <c r="B49" s="44" t="s">
        <v>120</v>
      </c>
      <c r="C49" s="44" t="s">
        <v>310</v>
      </c>
      <c r="D49" s="257">
        <v>1.0</v>
      </c>
      <c r="E49" s="44">
        <v>1.0</v>
      </c>
      <c r="F49" s="35">
        <f t="shared" si="5"/>
        <v>0</v>
      </c>
      <c r="G49" s="404">
        <v>136701.0</v>
      </c>
      <c r="H49" s="404">
        <f t="shared" si="4"/>
        <v>136701</v>
      </c>
      <c r="I49" s="44" t="s">
        <v>199</v>
      </c>
      <c r="J49" s="44" t="s">
        <v>316</v>
      </c>
      <c r="K49" s="257" t="s">
        <v>183</v>
      </c>
      <c r="L49" s="44" t="s">
        <v>184</v>
      </c>
      <c r="M49" s="44" t="s">
        <v>186</v>
      </c>
      <c r="N49" s="34" t="s">
        <v>187</v>
      </c>
      <c r="O49" s="257">
        <v>1318.0</v>
      </c>
      <c r="P49" s="405">
        <v>45653.0</v>
      </c>
      <c r="Q49" s="406"/>
    </row>
    <row r="50" ht="15.75" customHeight="1">
      <c r="A50" s="407">
        <v>19.0</v>
      </c>
      <c r="B50" s="59" t="s">
        <v>120</v>
      </c>
      <c r="C50" s="59" t="s">
        <v>310</v>
      </c>
      <c r="D50" s="258">
        <v>1.0</v>
      </c>
      <c r="E50" s="59">
        <v>1.0</v>
      </c>
      <c r="F50" s="52">
        <f t="shared" si="5"/>
        <v>0</v>
      </c>
      <c r="G50" s="408">
        <v>136701.0</v>
      </c>
      <c r="H50" s="408">
        <f t="shared" si="4"/>
        <v>136701</v>
      </c>
      <c r="I50" s="59" t="s">
        <v>214</v>
      </c>
      <c r="J50" s="59" t="s">
        <v>316</v>
      </c>
      <c r="K50" s="258" t="s">
        <v>183</v>
      </c>
      <c r="L50" s="59" t="s">
        <v>184</v>
      </c>
      <c r="M50" s="59" t="s">
        <v>186</v>
      </c>
      <c r="N50" s="69" t="s">
        <v>187</v>
      </c>
      <c r="O50" s="258">
        <v>1318.0</v>
      </c>
      <c r="P50" s="409">
        <v>45653.0</v>
      </c>
      <c r="Q50" s="410"/>
    </row>
    <row r="51" ht="15.75" customHeight="1">
      <c r="A51" s="403">
        <v>20.0</v>
      </c>
      <c r="B51" s="44" t="s">
        <v>144</v>
      </c>
      <c r="C51" s="44" t="s">
        <v>49</v>
      </c>
      <c r="D51" s="35">
        <v>1.0</v>
      </c>
      <c r="E51" s="35" t="s">
        <v>496</v>
      </c>
      <c r="F51" s="35" t="s">
        <v>496</v>
      </c>
      <c r="G51" s="234" t="s">
        <v>499</v>
      </c>
      <c r="H51" s="234" t="s">
        <v>499</v>
      </c>
      <c r="I51" s="419" t="s">
        <v>264</v>
      </c>
      <c r="J51" s="44" t="s">
        <v>48</v>
      </c>
      <c r="K51" s="257" t="s">
        <v>48</v>
      </c>
      <c r="L51" s="44" t="s">
        <v>48</v>
      </c>
      <c r="M51" s="44"/>
      <c r="N51" s="44"/>
      <c r="O51" s="257" t="s">
        <v>48</v>
      </c>
      <c r="P51" s="405" t="s">
        <v>48</v>
      </c>
      <c r="Q51" s="406"/>
    </row>
    <row r="52" ht="15.75" customHeight="1">
      <c r="A52" s="407">
        <v>20.0</v>
      </c>
      <c r="B52" s="59" t="s">
        <v>144</v>
      </c>
      <c r="C52" s="59" t="s">
        <v>49</v>
      </c>
      <c r="D52" s="416">
        <v>1.0</v>
      </c>
      <c r="E52" s="52" t="s">
        <v>496</v>
      </c>
      <c r="F52" s="52" t="s">
        <v>496</v>
      </c>
      <c r="G52" s="235" t="s">
        <v>499</v>
      </c>
      <c r="H52" s="235" t="s">
        <v>499</v>
      </c>
      <c r="I52" s="59" t="s">
        <v>111</v>
      </c>
      <c r="J52" s="59" t="s">
        <v>48</v>
      </c>
      <c r="K52" s="258" t="s">
        <v>48</v>
      </c>
      <c r="L52" s="59" t="s">
        <v>48</v>
      </c>
      <c r="M52" s="59"/>
      <c r="N52" s="59"/>
      <c r="O52" s="258" t="s">
        <v>48</v>
      </c>
      <c r="P52" s="409" t="s">
        <v>48</v>
      </c>
      <c r="Q52" s="410"/>
    </row>
    <row r="53" ht="15.75" customHeight="1">
      <c r="A53" s="403">
        <v>20.0</v>
      </c>
      <c r="B53" s="44" t="s">
        <v>144</v>
      </c>
      <c r="C53" s="44" t="s">
        <v>49</v>
      </c>
      <c r="D53" s="257">
        <v>1.0</v>
      </c>
      <c r="E53" s="35" t="s">
        <v>496</v>
      </c>
      <c r="F53" s="35" t="s">
        <v>496</v>
      </c>
      <c r="G53" s="234" t="s">
        <v>499</v>
      </c>
      <c r="H53" s="234" t="s">
        <v>499</v>
      </c>
      <c r="I53" s="44" t="s">
        <v>178</v>
      </c>
      <c r="J53" s="44" t="s">
        <v>48</v>
      </c>
      <c r="K53" s="257" t="s">
        <v>48</v>
      </c>
      <c r="L53" s="44" t="s">
        <v>48</v>
      </c>
      <c r="M53" s="44"/>
      <c r="N53" s="44"/>
      <c r="O53" s="257" t="s">
        <v>48</v>
      </c>
      <c r="P53" s="405" t="s">
        <v>48</v>
      </c>
      <c r="Q53" s="406"/>
    </row>
    <row r="54" ht="15.75" customHeight="1">
      <c r="A54" s="407">
        <v>20.0</v>
      </c>
      <c r="B54" s="59" t="s">
        <v>144</v>
      </c>
      <c r="C54" s="59" t="s">
        <v>49</v>
      </c>
      <c r="D54" s="258">
        <v>1.0</v>
      </c>
      <c r="E54" s="52" t="s">
        <v>496</v>
      </c>
      <c r="F54" s="52" t="s">
        <v>496</v>
      </c>
      <c r="G54" s="235" t="s">
        <v>499</v>
      </c>
      <c r="H54" s="235" t="s">
        <v>499</v>
      </c>
      <c r="I54" s="59" t="s">
        <v>272</v>
      </c>
      <c r="J54" s="59" t="s">
        <v>48</v>
      </c>
      <c r="K54" s="258" t="s">
        <v>48</v>
      </c>
      <c r="L54" s="59" t="s">
        <v>48</v>
      </c>
      <c r="M54" s="59"/>
      <c r="N54" s="59"/>
      <c r="O54" s="258" t="s">
        <v>48</v>
      </c>
      <c r="P54" s="409" t="s">
        <v>48</v>
      </c>
      <c r="Q54" s="410"/>
    </row>
    <row r="55" ht="15.75" hidden="1" customHeight="1">
      <c r="A55" s="403">
        <v>21.0</v>
      </c>
      <c r="B55" s="44" t="s">
        <v>166</v>
      </c>
      <c r="C55" s="44" t="s">
        <v>327</v>
      </c>
      <c r="D55" s="257">
        <v>1.0</v>
      </c>
      <c r="E55" s="44">
        <v>1.0</v>
      </c>
      <c r="F55" s="35">
        <f t="shared" ref="F55:F64" si="6">D55-E55</f>
        <v>0</v>
      </c>
      <c r="G55" s="234">
        <v>81572.0</v>
      </c>
      <c r="H55" s="404">
        <f t="shared" ref="H55:H64" si="7">G55*D55</f>
        <v>81572</v>
      </c>
      <c r="I55" s="44" t="s">
        <v>85</v>
      </c>
      <c r="J55" s="44" t="s">
        <v>330</v>
      </c>
      <c r="K55" s="257" t="s">
        <v>183</v>
      </c>
      <c r="L55" s="44" t="s">
        <v>184</v>
      </c>
      <c r="M55" s="44" t="s">
        <v>186</v>
      </c>
      <c r="N55" s="34" t="s">
        <v>187</v>
      </c>
      <c r="O55" s="257">
        <v>1008.0</v>
      </c>
      <c r="P55" s="405">
        <v>45696.0</v>
      </c>
      <c r="Q55" s="406"/>
    </row>
    <row r="56" ht="15.75" hidden="1" customHeight="1">
      <c r="A56" s="407">
        <v>21.0</v>
      </c>
      <c r="B56" s="59" t="s">
        <v>166</v>
      </c>
      <c r="C56" s="59" t="s">
        <v>327</v>
      </c>
      <c r="D56" s="258">
        <v>1.0</v>
      </c>
      <c r="E56" s="59">
        <v>1.0</v>
      </c>
      <c r="F56" s="52">
        <f t="shared" si="6"/>
        <v>0</v>
      </c>
      <c r="G56" s="235">
        <v>81572.0</v>
      </c>
      <c r="H56" s="408">
        <f t="shared" si="7"/>
        <v>81572</v>
      </c>
      <c r="I56" s="59" t="s">
        <v>117</v>
      </c>
      <c r="J56" s="59" t="s">
        <v>330</v>
      </c>
      <c r="K56" s="258" t="s">
        <v>183</v>
      </c>
      <c r="L56" s="59" t="s">
        <v>184</v>
      </c>
      <c r="M56" s="59" t="s">
        <v>186</v>
      </c>
      <c r="N56" s="69" t="s">
        <v>187</v>
      </c>
      <c r="O56" s="258">
        <v>1008.0</v>
      </c>
      <c r="P56" s="409">
        <v>45696.0</v>
      </c>
      <c r="Q56" s="410"/>
    </row>
    <row r="57" ht="15.75" hidden="1" customHeight="1">
      <c r="A57" s="403">
        <v>21.0</v>
      </c>
      <c r="B57" s="44" t="s">
        <v>166</v>
      </c>
      <c r="C57" s="44" t="s">
        <v>327</v>
      </c>
      <c r="D57" s="257">
        <v>1.0</v>
      </c>
      <c r="E57" s="44">
        <v>1.0</v>
      </c>
      <c r="F57" s="35">
        <f t="shared" si="6"/>
        <v>0</v>
      </c>
      <c r="G57" s="234">
        <v>81572.0</v>
      </c>
      <c r="H57" s="404">
        <f t="shared" si="7"/>
        <v>81572</v>
      </c>
      <c r="I57" s="44" t="s">
        <v>161</v>
      </c>
      <c r="J57" s="44" t="s">
        <v>330</v>
      </c>
      <c r="K57" s="257" t="s">
        <v>183</v>
      </c>
      <c r="L57" s="44" t="s">
        <v>184</v>
      </c>
      <c r="M57" s="44" t="s">
        <v>186</v>
      </c>
      <c r="N57" s="34" t="s">
        <v>187</v>
      </c>
      <c r="O57" s="257">
        <v>1008.0</v>
      </c>
      <c r="P57" s="405">
        <v>45696.0</v>
      </c>
      <c r="Q57" s="406"/>
    </row>
    <row r="58" ht="15.75" hidden="1" customHeight="1">
      <c r="A58" s="407">
        <v>21.0</v>
      </c>
      <c r="B58" s="59" t="s">
        <v>166</v>
      </c>
      <c r="C58" s="59" t="s">
        <v>327</v>
      </c>
      <c r="D58" s="416">
        <v>2.0</v>
      </c>
      <c r="E58" s="52">
        <v>2.0</v>
      </c>
      <c r="F58" s="52">
        <f t="shared" si="6"/>
        <v>0</v>
      </c>
      <c r="G58" s="235">
        <v>81572.0</v>
      </c>
      <c r="H58" s="408">
        <f t="shared" si="7"/>
        <v>163144</v>
      </c>
      <c r="I58" s="59" t="s">
        <v>89</v>
      </c>
      <c r="J58" s="59" t="s">
        <v>330</v>
      </c>
      <c r="K58" s="258" t="s">
        <v>183</v>
      </c>
      <c r="L58" s="59" t="s">
        <v>184</v>
      </c>
      <c r="M58" s="59" t="s">
        <v>186</v>
      </c>
      <c r="N58" s="69" t="s">
        <v>187</v>
      </c>
      <c r="O58" s="258">
        <v>1008.0</v>
      </c>
      <c r="P58" s="409">
        <v>45696.0</v>
      </c>
      <c r="Q58" s="410"/>
    </row>
    <row r="59" ht="15.75" hidden="1" customHeight="1">
      <c r="A59" s="403">
        <v>21.0</v>
      </c>
      <c r="B59" s="44" t="s">
        <v>166</v>
      </c>
      <c r="C59" s="44" t="s">
        <v>327</v>
      </c>
      <c r="D59" s="415">
        <v>9.0</v>
      </c>
      <c r="E59" s="35">
        <v>9.0</v>
      </c>
      <c r="F59" s="35">
        <f t="shared" si="6"/>
        <v>0</v>
      </c>
      <c r="G59" s="234">
        <v>81572.0</v>
      </c>
      <c r="H59" s="404">
        <f t="shared" si="7"/>
        <v>734148</v>
      </c>
      <c r="I59" s="44" t="s">
        <v>179</v>
      </c>
      <c r="J59" s="44" t="s">
        <v>330</v>
      </c>
      <c r="K59" s="257" t="s">
        <v>183</v>
      </c>
      <c r="L59" s="44" t="s">
        <v>184</v>
      </c>
      <c r="M59" s="44" t="s">
        <v>186</v>
      </c>
      <c r="N59" s="34" t="s">
        <v>187</v>
      </c>
      <c r="O59" s="257">
        <v>1008.0</v>
      </c>
      <c r="P59" s="405">
        <v>45696.0</v>
      </c>
      <c r="Q59" s="406"/>
    </row>
    <row r="60" ht="15.75" hidden="1" customHeight="1">
      <c r="A60" s="407">
        <v>21.0</v>
      </c>
      <c r="B60" s="59" t="s">
        <v>166</v>
      </c>
      <c r="C60" s="59" t="s">
        <v>327</v>
      </c>
      <c r="D60" s="416">
        <v>2.0</v>
      </c>
      <c r="E60" s="52">
        <v>2.0</v>
      </c>
      <c r="F60" s="52">
        <f t="shared" si="6"/>
        <v>0</v>
      </c>
      <c r="G60" s="235">
        <v>81572.0</v>
      </c>
      <c r="H60" s="408">
        <f t="shared" si="7"/>
        <v>163144</v>
      </c>
      <c r="I60" s="59" t="s">
        <v>111</v>
      </c>
      <c r="J60" s="59" t="s">
        <v>330</v>
      </c>
      <c r="K60" s="258" t="s">
        <v>183</v>
      </c>
      <c r="L60" s="59" t="s">
        <v>184</v>
      </c>
      <c r="M60" s="59" t="s">
        <v>186</v>
      </c>
      <c r="N60" s="69" t="s">
        <v>187</v>
      </c>
      <c r="O60" s="258">
        <v>1008.0</v>
      </c>
      <c r="P60" s="409">
        <v>45696.0</v>
      </c>
      <c r="Q60" s="410"/>
    </row>
    <row r="61" ht="15.75" hidden="1" customHeight="1">
      <c r="A61" s="403">
        <v>21.0</v>
      </c>
      <c r="B61" s="44" t="s">
        <v>166</v>
      </c>
      <c r="C61" s="44" t="s">
        <v>327</v>
      </c>
      <c r="D61" s="257">
        <v>1.0</v>
      </c>
      <c r="E61" s="44">
        <v>1.0</v>
      </c>
      <c r="F61" s="35">
        <f t="shared" si="6"/>
        <v>0</v>
      </c>
      <c r="G61" s="234">
        <v>81572.0</v>
      </c>
      <c r="H61" s="404">
        <f t="shared" si="7"/>
        <v>81572</v>
      </c>
      <c r="I61" s="44" t="s">
        <v>175</v>
      </c>
      <c r="J61" s="44" t="s">
        <v>330</v>
      </c>
      <c r="K61" s="257" t="s">
        <v>183</v>
      </c>
      <c r="L61" s="44" t="s">
        <v>184</v>
      </c>
      <c r="M61" s="44" t="s">
        <v>186</v>
      </c>
      <c r="N61" s="34" t="s">
        <v>187</v>
      </c>
      <c r="O61" s="257">
        <v>1008.0</v>
      </c>
      <c r="P61" s="405">
        <v>45696.0</v>
      </c>
      <c r="Q61" s="406"/>
    </row>
    <row r="62" ht="15.75" hidden="1" customHeight="1">
      <c r="A62" s="407">
        <v>21.0</v>
      </c>
      <c r="B62" s="59" t="s">
        <v>166</v>
      </c>
      <c r="C62" s="59" t="s">
        <v>327</v>
      </c>
      <c r="D62" s="258">
        <v>1.0</v>
      </c>
      <c r="E62" s="59">
        <v>1.0</v>
      </c>
      <c r="F62" s="52">
        <f t="shared" si="6"/>
        <v>0</v>
      </c>
      <c r="G62" s="235">
        <v>81572.0</v>
      </c>
      <c r="H62" s="408">
        <f t="shared" si="7"/>
        <v>81572</v>
      </c>
      <c r="I62" s="59" t="s">
        <v>160</v>
      </c>
      <c r="J62" s="59" t="s">
        <v>330</v>
      </c>
      <c r="K62" s="258" t="s">
        <v>183</v>
      </c>
      <c r="L62" s="59" t="s">
        <v>184</v>
      </c>
      <c r="M62" s="59" t="s">
        <v>186</v>
      </c>
      <c r="N62" s="69" t="s">
        <v>187</v>
      </c>
      <c r="O62" s="258">
        <v>1008.0</v>
      </c>
      <c r="P62" s="409">
        <v>45696.0</v>
      </c>
      <c r="Q62" s="410"/>
    </row>
    <row r="63" ht="15.75" hidden="1" customHeight="1">
      <c r="A63" s="403">
        <v>21.0</v>
      </c>
      <c r="B63" s="44" t="s">
        <v>166</v>
      </c>
      <c r="C63" s="44" t="s">
        <v>327</v>
      </c>
      <c r="D63" s="257">
        <v>1.0</v>
      </c>
      <c r="E63" s="44">
        <v>1.0</v>
      </c>
      <c r="F63" s="35">
        <f t="shared" si="6"/>
        <v>0</v>
      </c>
      <c r="G63" s="234">
        <v>81572.0</v>
      </c>
      <c r="H63" s="404">
        <f t="shared" si="7"/>
        <v>81572</v>
      </c>
      <c r="I63" s="44" t="s">
        <v>189</v>
      </c>
      <c r="J63" s="44" t="s">
        <v>330</v>
      </c>
      <c r="K63" s="257" t="s">
        <v>183</v>
      </c>
      <c r="L63" s="44" t="s">
        <v>184</v>
      </c>
      <c r="M63" s="44" t="s">
        <v>186</v>
      </c>
      <c r="N63" s="34" t="s">
        <v>187</v>
      </c>
      <c r="O63" s="257">
        <v>1008.0</v>
      </c>
      <c r="P63" s="405">
        <v>45696.0</v>
      </c>
      <c r="Q63" s="406"/>
    </row>
    <row r="64" ht="15.75" hidden="1" customHeight="1">
      <c r="A64" s="407">
        <v>21.0</v>
      </c>
      <c r="B64" s="59" t="s">
        <v>166</v>
      </c>
      <c r="C64" s="59" t="s">
        <v>327</v>
      </c>
      <c r="D64" s="258">
        <v>1.0</v>
      </c>
      <c r="E64" s="59">
        <v>1.0</v>
      </c>
      <c r="F64" s="52">
        <f t="shared" si="6"/>
        <v>0</v>
      </c>
      <c r="G64" s="235">
        <v>81572.0</v>
      </c>
      <c r="H64" s="408">
        <f t="shared" si="7"/>
        <v>81572</v>
      </c>
      <c r="I64" s="59" t="s">
        <v>199</v>
      </c>
      <c r="J64" s="59" t="s">
        <v>330</v>
      </c>
      <c r="K64" s="258" t="s">
        <v>183</v>
      </c>
      <c r="L64" s="59" t="s">
        <v>184</v>
      </c>
      <c r="M64" s="59" t="s">
        <v>186</v>
      </c>
      <c r="N64" s="69" t="s">
        <v>187</v>
      </c>
      <c r="O64" s="258">
        <v>1008.0</v>
      </c>
      <c r="P64" s="409">
        <v>45696.0</v>
      </c>
      <c r="Q64" s="410"/>
    </row>
    <row r="65" ht="15.75" hidden="1" customHeight="1">
      <c r="A65" s="403">
        <v>22.0</v>
      </c>
      <c r="B65" s="44" t="s">
        <v>169</v>
      </c>
      <c r="C65" s="44" t="s">
        <v>347</v>
      </c>
      <c r="D65" s="415">
        <v>5.0</v>
      </c>
      <c r="E65" s="35" t="s">
        <v>496</v>
      </c>
      <c r="F65" s="35" t="s">
        <v>496</v>
      </c>
      <c r="G65" s="404" t="s">
        <v>499</v>
      </c>
      <c r="H65" s="404" t="s">
        <v>499</v>
      </c>
      <c r="I65" s="419" t="s">
        <v>264</v>
      </c>
      <c r="J65" s="44" t="s">
        <v>48</v>
      </c>
      <c r="K65" s="257" t="s">
        <v>48</v>
      </c>
      <c r="L65" s="44" t="s">
        <v>48</v>
      </c>
      <c r="M65" s="44"/>
      <c r="N65" s="44"/>
      <c r="O65" s="257" t="s">
        <v>48</v>
      </c>
      <c r="P65" s="405" t="s">
        <v>48</v>
      </c>
      <c r="Q65" s="406" t="s">
        <v>48</v>
      </c>
    </row>
    <row r="66" ht="15.75" hidden="1" customHeight="1">
      <c r="A66" s="407">
        <v>22.0</v>
      </c>
      <c r="B66" s="59" t="s">
        <v>169</v>
      </c>
      <c r="C66" s="59" t="s">
        <v>347</v>
      </c>
      <c r="D66" s="258">
        <v>1.0</v>
      </c>
      <c r="E66" s="52" t="s">
        <v>496</v>
      </c>
      <c r="F66" s="52" t="s">
        <v>496</v>
      </c>
      <c r="G66" s="408" t="s">
        <v>499</v>
      </c>
      <c r="H66" s="408" t="s">
        <v>499</v>
      </c>
      <c r="I66" s="59" t="s">
        <v>85</v>
      </c>
      <c r="J66" s="59" t="s">
        <v>48</v>
      </c>
      <c r="K66" s="258" t="s">
        <v>48</v>
      </c>
      <c r="L66" s="59" t="s">
        <v>48</v>
      </c>
      <c r="M66" s="59"/>
      <c r="N66" s="59"/>
      <c r="O66" s="258" t="s">
        <v>48</v>
      </c>
      <c r="P66" s="409" t="s">
        <v>48</v>
      </c>
      <c r="Q66" s="410" t="s">
        <v>48</v>
      </c>
    </row>
    <row r="67" ht="15.75" hidden="1" customHeight="1">
      <c r="A67" s="403">
        <v>22.0</v>
      </c>
      <c r="B67" s="44" t="s">
        <v>169</v>
      </c>
      <c r="C67" s="44" t="s">
        <v>347</v>
      </c>
      <c r="D67" s="257">
        <v>1.0</v>
      </c>
      <c r="E67" s="35" t="s">
        <v>496</v>
      </c>
      <c r="F67" s="35" t="s">
        <v>496</v>
      </c>
      <c r="G67" s="404" t="s">
        <v>499</v>
      </c>
      <c r="H67" s="404" t="s">
        <v>499</v>
      </c>
      <c r="I67" s="44" t="s">
        <v>113</v>
      </c>
      <c r="J67" s="44" t="s">
        <v>48</v>
      </c>
      <c r="K67" s="257" t="s">
        <v>48</v>
      </c>
      <c r="L67" s="44" t="s">
        <v>48</v>
      </c>
      <c r="M67" s="44"/>
      <c r="N67" s="44"/>
      <c r="O67" s="257" t="s">
        <v>48</v>
      </c>
      <c r="P67" s="405" t="s">
        <v>48</v>
      </c>
      <c r="Q67" s="406" t="s">
        <v>48</v>
      </c>
    </row>
    <row r="68" ht="15.75" hidden="1" customHeight="1">
      <c r="A68" s="407">
        <v>22.0</v>
      </c>
      <c r="B68" s="59" t="s">
        <v>169</v>
      </c>
      <c r="C68" s="59" t="s">
        <v>347</v>
      </c>
      <c r="D68" s="258">
        <v>1.0</v>
      </c>
      <c r="E68" s="52" t="s">
        <v>496</v>
      </c>
      <c r="F68" s="52" t="s">
        <v>496</v>
      </c>
      <c r="G68" s="408" t="s">
        <v>499</v>
      </c>
      <c r="H68" s="408" t="s">
        <v>499</v>
      </c>
      <c r="I68" s="59" t="s">
        <v>161</v>
      </c>
      <c r="J68" s="59" t="s">
        <v>48</v>
      </c>
      <c r="K68" s="258" t="s">
        <v>48</v>
      </c>
      <c r="L68" s="59" t="s">
        <v>48</v>
      </c>
      <c r="M68" s="59"/>
      <c r="N68" s="59"/>
      <c r="O68" s="258" t="s">
        <v>48</v>
      </c>
      <c r="P68" s="409" t="s">
        <v>48</v>
      </c>
      <c r="Q68" s="410" t="s">
        <v>48</v>
      </c>
    </row>
    <row r="69" ht="15.75" hidden="1" customHeight="1">
      <c r="A69" s="403">
        <v>22.0</v>
      </c>
      <c r="B69" s="44" t="s">
        <v>169</v>
      </c>
      <c r="C69" s="44" t="s">
        <v>347</v>
      </c>
      <c r="D69" s="415">
        <v>5.0</v>
      </c>
      <c r="E69" s="35" t="s">
        <v>496</v>
      </c>
      <c r="F69" s="35" t="s">
        <v>496</v>
      </c>
      <c r="G69" s="404" t="s">
        <v>499</v>
      </c>
      <c r="H69" s="404" t="s">
        <v>499</v>
      </c>
      <c r="I69" s="44" t="s">
        <v>89</v>
      </c>
      <c r="J69" s="44" t="s">
        <v>48</v>
      </c>
      <c r="K69" s="257" t="s">
        <v>48</v>
      </c>
      <c r="L69" s="44" t="s">
        <v>48</v>
      </c>
      <c r="M69" s="44"/>
      <c r="N69" s="44"/>
      <c r="O69" s="257" t="s">
        <v>48</v>
      </c>
      <c r="P69" s="405" t="s">
        <v>48</v>
      </c>
      <c r="Q69" s="406" t="s">
        <v>48</v>
      </c>
    </row>
    <row r="70" ht="15.75" hidden="1" customHeight="1">
      <c r="A70" s="407">
        <v>22.0</v>
      </c>
      <c r="B70" s="59" t="s">
        <v>169</v>
      </c>
      <c r="C70" s="59" t="s">
        <v>347</v>
      </c>
      <c r="D70" s="416">
        <v>2.0</v>
      </c>
      <c r="E70" s="52" t="s">
        <v>496</v>
      </c>
      <c r="F70" s="52" t="s">
        <v>496</v>
      </c>
      <c r="G70" s="408" t="s">
        <v>499</v>
      </c>
      <c r="H70" s="408" t="s">
        <v>499</v>
      </c>
      <c r="I70" s="59" t="s">
        <v>179</v>
      </c>
      <c r="J70" s="59" t="s">
        <v>48</v>
      </c>
      <c r="K70" s="258" t="s">
        <v>48</v>
      </c>
      <c r="L70" s="59" t="s">
        <v>48</v>
      </c>
      <c r="M70" s="59"/>
      <c r="N70" s="59"/>
      <c r="O70" s="258" t="s">
        <v>48</v>
      </c>
      <c r="P70" s="409" t="s">
        <v>48</v>
      </c>
      <c r="Q70" s="410" t="s">
        <v>48</v>
      </c>
    </row>
    <row r="71" ht="15.75" hidden="1" customHeight="1">
      <c r="A71" s="403">
        <v>22.0</v>
      </c>
      <c r="B71" s="44" t="s">
        <v>169</v>
      </c>
      <c r="C71" s="44" t="s">
        <v>347</v>
      </c>
      <c r="D71" s="35">
        <v>3.0</v>
      </c>
      <c r="E71" s="35" t="s">
        <v>496</v>
      </c>
      <c r="F71" s="35" t="s">
        <v>496</v>
      </c>
      <c r="G71" s="404" t="s">
        <v>499</v>
      </c>
      <c r="H71" s="404" t="s">
        <v>499</v>
      </c>
      <c r="I71" s="44" t="s">
        <v>167</v>
      </c>
      <c r="J71" s="44" t="s">
        <v>48</v>
      </c>
      <c r="K71" s="257" t="s">
        <v>48</v>
      </c>
      <c r="L71" s="44" t="s">
        <v>48</v>
      </c>
      <c r="M71" s="44"/>
      <c r="N71" s="44"/>
      <c r="O71" s="257" t="s">
        <v>48</v>
      </c>
      <c r="P71" s="405" t="s">
        <v>48</v>
      </c>
      <c r="Q71" s="406" t="s">
        <v>48</v>
      </c>
    </row>
    <row r="72" ht="15.75" hidden="1" customHeight="1">
      <c r="A72" s="407">
        <v>22.0</v>
      </c>
      <c r="B72" s="59" t="s">
        <v>169</v>
      </c>
      <c r="C72" s="59" t="s">
        <v>347</v>
      </c>
      <c r="D72" s="52">
        <v>3.0</v>
      </c>
      <c r="E72" s="52" t="s">
        <v>496</v>
      </c>
      <c r="F72" s="52" t="s">
        <v>496</v>
      </c>
      <c r="G72" s="408" t="s">
        <v>499</v>
      </c>
      <c r="H72" s="408" t="s">
        <v>499</v>
      </c>
      <c r="I72" s="59" t="s">
        <v>202</v>
      </c>
      <c r="J72" s="59" t="s">
        <v>48</v>
      </c>
      <c r="K72" s="258" t="s">
        <v>48</v>
      </c>
      <c r="L72" s="59" t="s">
        <v>48</v>
      </c>
      <c r="M72" s="59"/>
      <c r="N72" s="59"/>
      <c r="O72" s="258" t="s">
        <v>48</v>
      </c>
      <c r="P72" s="409" t="s">
        <v>48</v>
      </c>
      <c r="Q72" s="410" t="s">
        <v>48</v>
      </c>
    </row>
    <row r="73" ht="15.75" hidden="1" customHeight="1">
      <c r="A73" s="403">
        <v>22.0</v>
      </c>
      <c r="B73" s="44" t="s">
        <v>169</v>
      </c>
      <c r="C73" s="44" t="s">
        <v>347</v>
      </c>
      <c r="D73" s="257">
        <v>1.0</v>
      </c>
      <c r="E73" s="35" t="s">
        <v>496</v>
      </c>
      <c r="F73" s="35" t="s">
        <v>496</v>
      </c>
      <c r="G73" s="404" t="s">
        <v>499</v>
      </c>
      <c r="H73" s="404" t="s">
        <v>499</v>
      </c>
      <c r="I73" s="44" t="s">
        <v>228</v>
      </c>
      <c r="J73" s="44" t="s">
        <v>48</v>
      </c>
      <c r="K73" s="257" t="s">
        <v>48</v>
      </c>
      <c r="L73" s="44" t="s">
        <v>48</v>
      </c>
      <c r="M73" s="44"/>
      <c r="N73" s="44"/>
      <c r="O73" s="257" t="s">
        <v>48</v>
      </c>
      <c r="P73" s="405" t="s">
        <v>48</v>
      </c>
      <c r="Q73" s="406" t="s">
        <v>48</v>
      </c>
    </row>
    <row r="74" ht="15.75" hidden="1" customHeight="1">
      <c r="A74" s="407">
        <v>22.0</v>
      </c>
      <c r="B74" s="59" t="s">
        <v>169</v>
      </c>
      <c r="C74" s="59" t="s">
        <v>347</v>
      </c>
      <c r="D74" s="258">
        <v>1.0</v>
      </c>
      <c r="E74" s="52" t="s">
        <v>496</v>
      </c>
      <c r="F74" s="52" t="s">
        <v>496</v>
      </c>
      <c r="G74" s="408" t="s">
        <v>499</v>
      </c>
      <c r="H74" s="408" t="s">
        <v>499</v>
      </c>
      <c r="I74" s="59" t="s">
        <v>188</v>
      </c>
      <c r="J74" s="59" t="s">
        <v>48</v>
      </c>
      <c r="K74" s="258" t="s">
        <v>48</v>
      </c>
      <c r="L74" s="59" t="s">
        <v>48</v>
      </c>
      <c r="M74" s="59"/>
      <c r="N74" s="59"/>
      <c r="O74" s="258" t="s">
        <v>48</v>
      </c>
      <c r="P74" s="409" t="s">
        <v>48</v>
      </c>
      <c r="Q74" s="410" t="s">
        <v>48</v>
      </c>
    </row>
    <row r="75" ht="15.75" hidden="1" customHeight="1">
      <c r="A75" s="403">
        <v>22.0</v>
      </c>
      <c r="B75" s="44" t="s">
        <v>169</v>
      </c>
      <c r="C75" s="44" t="s">
        <v>347</v>
      </c>
      <c r="D75" s="257">
        <v>1.0</v>
      </c>
      <c r="E75" s="35" t="s">
        <v>496</v>
      </c>
      <c r="F75" s="35" t="s">
        <v>496</v>
      </c>
      <c r="G75" s="404" t="s">
        <v>499</v>
      </c>
      <c r="H75" s="404" t="s">
        <v>499</v>
      </c>
      <c r="I75" s="44" t="s">
        <v>197</v>
      </c>
      <c r="J75" s="44" t="s">
        <v>48</v>
      </c>
      <c r="K75" s="257" t="s">
        <v>48</v>
      </c>
      <c r="L75" s="44" t="s">
        <v>48</v>
      </c>
      <c r="M75" s="44"/>
      <c r="N75" s="44"/>
      <c r="O75" s="257" t="s">
        <v>48</v>
      </c>
      <c r="P75" s="405" t="s">
        <v>48</v>
      </c>
      <c r="Q75" s="406" t="s">
        <v>48</v>
      </c>
    </row>
    <row r="76" ht="15.75" hidden="1" customHeight="1">
      <c r="A76" s="407">
        <v>22.0</v>
      </c>
      <c r="B76" s="59" t="s">
        <v>169</v>
      </c>
      <c r="C76" s="59" t="s">
        <v>347</v>
      </c>
      <c r="D76" s="258">
        <v>1.0</v>
      </c>
      <c r="E76" s="52" t="s">
        <v>496</v>
      </c>
      <c r="F76" s="52" t="s">
        <v>496</v>
      </c>
      <c r="G76" s="408" t="s">
        <v>499</v>
      </c>
      <c r="H76" s="408" t="s">
        <v>499</v>
      </c>
      <c r="I76" s="59" t="s">
        <v>160</v>
      </c>
      <c r="J76" s="59" t="s">
        <v>48</v>
      </c>
      <c r="K76" s="258" t="s">
        <v>48</v>
      </c>
      <c r="L76" s="59" t="s">
        <v>48</v>
      </c>
      <c r="M76" s="59"/>
      <c r="N76" s="59"/>
      <c r="O76" s="258" t="s">
        <v>48</v>
      </c>
      <c r="P76" s="409" t="s">
        <v>48</v>
      </c>
      <c r="Q76" s="410" t="s">
        <v>48</v>
      </c>
    </row>
    <row r="77" ht="15.75" hidden="1" customHeight="1">
      <c r="A77" s="403">
        <v>22.0</v>
      </c>
      <c r="B77" s="44" t="s">
        <v>169</v>
      </c>
      <c r="C77" s="44" t="s">
        <v>347</v>
      </c>
      <c r="D77" s="257">
        <v>1.0</v>
      </c>
      <c r="E77" s="35" t="s">
        <v>496</v>
      </c>
      <c r="F77" s="35" t="s">
        <v>496</v>
      </c>
      <c r="G77" s="404" t="s">
        <v>499</v>
      </c>
      <c r="H77" s="404" t="s">
        <v>499</v>
      </c>
      <c r="I77" s="44" t="s">
        <v>189</v>
      </c>
      <c r="J77" s="44" t="s">
        <v>48</v>
      </c>
      <c r="K77" s="257" t="s">
        <v>48</v>
      </c>
      <c r="L77" s="44" t="s">
        <v>48</v>
      </c>
      <c r="M77" s="44"/>
      <c r="N77" s="44"/>
      <c r="O77" s="257" t="s">
        <v>48</v>
      </c>
      <c r="P77" s="405" t="s">
        <v>48</v>
      </c>
      <c r="Q77" s="406" t="s">
        <v>48</v>
      </c>
    </row>
    <row r="78" ht="15.75" hidden="1" customHeight="1">
      <c r="A78" s="407">
        <v>22.0</v>
      </c>
      <c r="B78" s="59" t="s">
        <v>169</v>
      </c>
      <c r="C78" s="59" t="s">
        <v>347</v>
      </c>
      <c r="D78" s="258">
        <v>1.0</v>
      </c>
      <c r="E78" s="52" t="s">
        <v>496</v>
      </c>
      <c r="F78" s="52" t="s">
        <v>496</v>
      </c>
      <c r="G78" s="408" t="s">
        <v>499</v>
      </c>
      <c r="H78" s="408" t="s">
        <v>499</v>
      </c>
      <c r="I78" s="59" t="s">
        <v>304</v>
      </c>
      <c r="J78" s="59" t="s">
        <v>48</v>
      </c>
      <c r="K78" s="258" t="s">
        <v>48</v>
      </c>
      <c r="L78" s="59" t="s">
        <v>48</v>
      </c>
      <c r="M78" s="59"/>
      <c r="N78" s="59"/>
      <c r="O78" s="258" t="s">
        <v>48</v>
      </c>
      <c r="P78" s="409" t="s">
        <v>48</v>
      </c>
      <c r="Q78" s="410" t="s">
        <v>48</v>
      </c>
    </row>
    <row r="79" ht="15.75" hidden="1" customHeight="1">
      <c r="A79" s="403">
        <v>22.0</v>
      </c>
      <c r="B79" s="44" t="s">
        <v>169</v>
      </c>
      <c r="C79" s="44" t="s">
        <v>347</v>
      </c>
      <c r="D79" s="44">
        <v>1.0</v>
      </c>
      <c r="E79" s="35" t="s">
        <v>496</v>
      </c>
      <c r="F79" s="35" t="s">
        <v>496</v>
      </c>
      <c r="G79" s="404" t="s">
        <v>499</v>
      </c>
      <c r="H79" s="404" t="s">
        <v>499</v>
      </c>
      <c r="I79" s="44" t="s">
        <v>194</v>
      </c>
      <c r="J79" s="44" t="s">
        <v>48</v>
      </c>
      <c r="K79" s="257" t="s">
        <v>48</v>
      </c>
      <c r="L79" s="44" t="s">
        <v>48</v>
      </c>
      <c r="M79" s="44"/>
      <c r="N79" s="44"/>
      <c r="O79" s="257" t="s">
        <v>48</v>
      </c>
      <c r="P79" s="405" t="s">
        <v>48</v>
      </c>
      <c r="Q79" s="406" t="s">
        <v>48</v>
      </c>
    </row>
    <row r="80" ht="15.75" hidden="1" customHeight="1">
      <c r="A80" s="407">
        <v>23.0</v>
      </c>
      <c r="B80" s="59" t="s">
        <v>172</v>
      </c>
      <c r="C80" s="59" t="s">
        <v>368</v>
      </c>
      <c r="D80" s="416">
        <v>3.0</v>
      </c>
      <c r="E80" s="52">
        <v>3.0</v>
      </c>
      <c r="F80" s="52">
        <f t="shared" ref="F80:F149" si="8">D80-E80</f>
        <v>0</v>
      </c>
      <c r="G80" s="408">
        <v>615000.0</v>
      </c>
      <c r="H80" s="408">
        <f t="shared" ref="H80:H96" si="9">G80*D80</f>
        <v>1845000</v>
      </c>
      <c r="I80" s="59" t="s">
        <v>126</v>
      </c>
      <c r="J80" s="59" t="s">
        <v>369</v>
      </c>
      <c r="K80" s="258" t="s">
        <v>370</v>
      </c>
      <c r="L80" s="59" t="s">
        <v>371</v>
      </c>
      <c r="M80" s="59" t="s">
        <v>372</v>
      </c>
      <c r="N80" s="69" t="s">
        <v>373</v>
      </c>
      <c r="O80" s="258">
        <v>1320.0</v>
      </c>
      <c r="P80" s="409">
        <v>45653.0</v>
      </c>
      <c r="Q80" s="410"/>
    </row>
    <row r="81" ht="15.75" hidden="1" customHeight="1">
      <c r="A81" s="403">
        <v>23.0</v>
      </c>
      <c r="B81" s="44" t="s">
        <v>172</v>
      </c>
      <c r="C81" s="44" t="s">
        <v>368</v>
      </c>
      <c r="D81" s="415">
        <v>1.0</v>
      </c>
      <c r="E81" s="35">
        <v>1.0</v>
      </c>
      <c r="F81" s="35">
        <f t="shared" si="8"/>
        <v>0</v>
      </c>
      <c r="G81" s="404">
        <v>615000.0</v>
      </c>
      <c r="H81" s="404">
        <f t="shared" si="9"/>
        <v>615000</v>
      </c>
      <c r="I81" s="44" t="s">
        <v>89</v>
      </c>
      <c r="J81" s="44" t="s">
        <v>369</v>
      </c>
      <c r="K81" s="257" t="s">
        <v>370</v>
      </c>
      <c r="L81" s="44" t="s">
        <v>371</v>
      </c>
      <c r="M81" s="44" t="s">
        <v>375</v>
      </c>
      <c r="N81" s="34" t="s">
        <v>373</v>
      </c>
      <c r="O81" s="257">
        <v>1320.0</v>
      </c>
      <c r="P81" s="405">
        <v>45653.0</v>
      </c>
      <c r="Q81" s="406"/>
    </row>
    <row r="82" ht="15.75" hidden="1" customHeight="1">
      <c r="A82" s="407">
        <v>23.0</v>
      </c>
      <c r="B82" s="59" t="s">
        <v>172</v>
      </c>
      <c r="C82" s="59" t="s">
        <v>368</v>
      </c>
      <c r="D82" s="416">
        <v>3.0</v>
      </c>
      <c r="E82" s="52">
        <v>3.0</v>
      </c>
      <c r="F82" s="52">
        <f t="shared" si="8"/>
        <v>0</v>
      </c>
      <c r="G82" s="408">
        <v>615000.0</v>
      </c>
      <c r="H82" s="408">
        <f t="shared" si="9"/>
        <v>1845000</v>
      </c>
      <c r="I82" s="59" t="s">
        <v>179</v>
      </c>
      <c r="J82" s="59" t="s">
        <v>369</v>
      </c>
      <c r="K82" s="258" t="s">
        <v>370</v>
      </c>
      <c r="L82" s="59" t="s">
        <v>371</v>
      </c>
      <c r="M82" s="59" t="s">
        <v>382</v>
      </c>
      <c r="N82" s="69" t="s">
        <v>373</v>
      </c>
      <c r="O82" s="258">
        <v>1320.0</v>
      </c>
      <c r="P82" s="409">
        <v>45653.0</v>
      </c>
      <c r="Q82" s="410"/>
    </row>
    <row r="83" ht="15.75" hidden="1" customHeight="1">
      <c r="A83" s="403">
        <v>23.0</v>
      </c>
      <c r="B83" s="44" t="s">
        <v>172</v>
      </c>
      <c r="C83" s="44" t="s">
        <v>368</v>
      </c>
      <c r="D83" s="35">
        <v>1.0</v>
      </c>
      <c r="E83" s="35">
        <v>1.0</v>
      </c>
      <c r="F83" s="35">
        <f t="shared" si="8"/>
        <v>0</v>
      </c>
      <c r="G83" s="404">
        <v>615000.0</v>
      </c>
      <c r="H83" s="404">
        <f t="shared" si="9"/>
        <v>615000</v>
      </c>
      <c r="I83" s="44" t="s">
        <v>167</v>
      </c>
      <c r="J83" s="44" t="s">
        <v>369</v>
      </c>
      <c r="K83" s="257" t="s">
        <v>370</v>
      </c>
      <c r="L83" s="44" t="s">
        <v>371</v>
      </c>
      <c r="M83" s="44" t="s">
        <v>388</v>
      </c>
      <c r="N83" s="34" t="s">
        <v>373</v>
      </c>
      <c r="O83" s="257">
        <v>1320.0</v>
      </c>
      <c r="P83" s="405">
        <v>45653.0</v>
      </c>
      <c r="Q83" s="406"/>
    </row>
    <row r="84" ht="15.75" hidden="1" customHeight="1">
      <c r="A84" s="407">
        <v>23.0</v>
      </c>
      <c r="B84" s="59" t="s">
        <v>172</v>
      </c>
      <c r="C84" s="59" t="s">
        <v>368</v>
      </c>
      <c r="D84" s="258">
        <v>1.0</v>
      </c>
      <c r="E84" s="59">
        <v>1.0</v>
      </c>
      <c r="F84" s="52">
        <f t="shared" si="8"/>
        <v>0</v>
      </c>
      <c r="G84" s="408">
        <v>615000.0</v>
      </c>
      <c r="H84" s="408">
        <f t="shared" si="9"/>
        <v>615000</v>
      </c>
      <c r="I84" s="59" t="s">
        <v>160</v>
      </c>
      <c r="J84" s="59" t="s">
        <v>369</v>
      </c>
      <c r="K84" s="258" t="s">
        <v>370</v>
      </c>
      <c r="L84" s="59" t="s">
        <v>371</v>
      </c>
      <c r="M84" s="59" t="s">
        <v>391</v>
      </c>
      <c r="N84" s="69" t="s">
        <v>373</v>
      </c>
      <c r="O84" s="258">
        <v>1320.0</v>
      </c>
      <c r="P84" s="409">
        <v>45653.0</v>
      </c>
      <c r="Q84" s="410"/>
    </row>
    <row r="85" ht="15.75" hidden="1" customHeight="1">
      <c r="A85" s="403">
        <v>23.0</v>
      </c>
      <c r="B85" s="44" t="s">
        <v>172</v>
      </c>
      <c r="C85" s="44" t="s">
        <v>368</v>
      </c>
      <c r="D85" s="257">
        <v>1.0</v>
      </c>
      <c r="E85" s="44">
        <v>1.0</v>
      </c>
      <c r="F85" s="35">
        <f t="shared" si="8"/>
        <v>0</v>
      </c>
      <c r="G85" s="404">
        <v>615000.0</v>
      </c>
      <c r="H85" s="404">
        <f t="shared" si="9"/>
        <v>615000</v>
      </c>
      <c r="I85" s="44" t="s">
        <v>201</v>
      </c>
      <c r="J85" s="44" t="s">
        <v>369</v>
      </c>
      <c r="K85" s="257" t="s">
        <v>370</v>
      </c>
      <c r="L85" s="44" t="s">
        <v>371</v>
      </c>
      <c r="M85" s="44" t="s">
        <v>393</v>
      </c>
      <c r="N85" s="34" t="s">
        <v>373</v>
      </c>
      <c r="O85" s="257">
        <v>1320.0</v>
      </c>
      <c r="P85" s="405">
        <v>45653.0</v>
      </c>
      <c r="Q85" s="406"/>
    </row>
    <row r="86" ht="15.75" hidden="1" customHeight="1">
      <c r="A86" s="407">
        <v>23.0</v>
      </c>
      <c r="B86" s="59" t="s">
        <v>172</v>
      </c>
      <c r="C86" s="59" t="s">
        <v>368</v>
      </c>
      <c r="D86" s="258">
        <v>1.0</v>
      </c>
      <c r="E86" s="59">
        <v>1.0</v>
      </c>
      <c r="F86" s="52">
        <f t="shared" si="8"/>
        <v>0</v>
      </c>
      <c r="G86" s="408">
        <v>615000.0</v>
      </c>
      <c r="H86" s="408">
        <f t="shared" si="9"/>
        <v>615000</v>
      </c>
      <c r="I86" s="59" t="s">
        <v>192</v>
      </c>
      <c r="J86" s="59" t="s">
        <v>369</v>
      </c>
      <c r="K86" s="258" t="s">
        <v>370</v>
      </c>
      <c r="L86" s="59" t="s">
        <v>371</v>
      </c>
      <c r="M86" s="59" t="s">
        <v>396</v>
      </c>
      <c r="N86" s="69" t="s">
        <v>373</v>
      </c>
      <c r="O86" s="258">
        <v>1320.0</v>
      </c>
      <c r="P86" s="409">
        <v>45653.0</v>
      </c>
      <c r="Q86" s="410"/>
    </row>
    <row r="87" ht="15.75" hidden="1" customHeight="1">
      <c r="A87" s="403">
        <v>23.0</v>
      </c>
      <c r="B87" s="44" t="s">
        <v>172</v>
      </c>
      <c r="C87" s="44" t="s">
        <v>368</v>
      </c>
      <c r="D87" s="257">
        <v>1.0</v>
      </c>
      <c r="E87" s="44">
        <v>1.0</v>
      </c>
      <c r="F87" s="35">
        <f t="shared" si="8"/>
        <v>0</v>
      </c>
      <c r="G87" s="404">
        <v>615000.0</v>
      </c>
      <c r="H87" s="404">
        <f t="shared" si="9"/>
        <v>615000</v>
      </c>
      <c r="I87" s="44" t="s">
        <v>304</v>
      </c>
      <c r="J87" s="44" t="s">
        <v>369</v>
      </c>
      <c r="K87" s="257" t="s">
        <v>370</v>
      </c>
      <c r="L87" s="44" t="s">
        <v>371</v>
      </c>
      <c r="M87" s="44" t="s">
        <v>397</v>
      </c>
      <c r="N87" s="34" t="s">
        <v>373</v>
      </c>
      <c r="O87" s="257">
        <v>1320.0</v>
      </c>
      <c r="P87" s="405">
        <v>45653.0</v>
      </c>
      <c r="Q87" s="406"/>
    </row>
    <row r="88" ht="15.75" hidden="1" customHeight="1">
      <c r="A88" s="407">
        <v>24.0</v>
      </c>
      <c r="B88" s="59" t="s">
        <v>177</v>
      </c>
      <c r="C88" s="59" t="s">
        <v>399</v>
      </c>
      <c r="D88" s="416">
        <v>2.0</v>
      </c>
      <c r="E88" s="52">
        <v>2.0</v>
      </c>
      <c r="F88" s="52">
        <f t="shared" si="8"/>
        <v>0</v>
      </c>
      <c r="G88" s="408">
        <v>969000.0</v>
      </c>
      <c r="H88" s="408">
        <f t="shared" si="9"/>
        <v>1938000</v>
      </c>
      <c r="I88" s="59" t="s">
        <v>126</v>
      </c>
      <c r="J88" s="59" t="s">
        <v>400</v>
      </c>
      <c r="K88" s="258" t="s">
        <v>235</v>
      </c>
      <c r="L88" s="59" t="s">
        <v>236</v>
      </c>
      <c r="M88" s="59" t="s">
        <v>237</v>
      </c>
      <c r="N88" s="69" t="s">
        <v>238</v>
      </c>
      <c r="O88" s="258">
        <v>1325.0</v>
      </c>
      <c r="P88" s="409">
        <v>45696.0</v>
      </c>
      <c r="Q88" s="410"/>
    </row>
    <row r="89" ht="15.75" hidden="1" customHeight="1">
      <c r="A89" s="403">
        <v>24.0</v>
      </c>
      <c r="B89" s="44" t="s">
        <v>177</v>
      </c>
      <c r="C89" s="44" t="s">
        <v>399</v>
      </c>
      <c r="D89" s="257">
        <v>1.0</v>
      </c>
      <c r="E89" s="44">
        <v>1.0</v>
      </c>
      <c r="F89" s="35">
        <f t="shared" si="8"/>
        <v>0</v>
      </c>
      <c r="G89" s="404">
        <v>969000.0</v>
      </c>
      <c r="H89" s="404">
        <f t="shared" si="9"/>
        <v>969000</v>
      </c>
      <c r="I89" s="44" t="s">
        <v>286</v>
      </c>
      <c r="J89" s="44" t="s">
        <v>400</v>
      </c>
      <c r="K89" s="257" t="s">
        <v>235</v>
      </c>
      <c r="L89" s="44" t="s">
        <v>236</v>
      </c>
      <c r="M89" s="44" t="s">
        <v>237</v>
      </c>
      <c r="N89" s="34" t="s">
        <v>238</v>
      </c>
      <c r="O89" s="257">
        <v>1325.0</v>
      </c>
      <c r="P89" s="405">
        <v>45696.0</v>
      </c>
      <c r="Q89" s="406"/>
    </row>
    <row r="90" ht="15.75" hidden="1" customHeight="1">
      <c r="A90" s="407">
        <v>24.0</v>
      </c>
      <c r="B90" s="59" t="s">
        <v>177</v>
      </c>
      <c r="C90" s="59" t="s">
        <v>399</v>
      </c>
      <c r="D90" s="258">
        <v>1.0</v>
      </c>
      <c r="E90" s="59">
        <v>1.0</v>
      </c>
      <c r="F90" s="52">
        <f t="shared" si="8"/>
        <v>0</v>
      </c>
      <c r="G90" s="408">
        <v>969000.0</v>
      </c>
      <c r="H90" s="408">
        <f t="shared" si="9"/>
        <v>969000</v>
      </c>
      <c r="I90" s="59" t="s">
        <v>142</v>
      </c>
      <c r="J90" s="59" t="s">
        <v>400</v>
      </c>
      <c r="K90" s="258" t="s">
        <v>235</v>
      </c>
      <c r="L90" s="59" t="s">
        <v>236</v>
      </c>
      <c r="M90" s="59" t="s">
        <v>237</v>
      </c>
      <c r="N90" s="69" t="s">
        <v>238</v>
      </c>
      <c r="O90" s="258">
        <v>1325.0</v>
      </c>
      <c r="P90" s="409">
        <v>45696.0</v>
      </c>
      <c r="Q90" s="410"/>
    </row>
    <row r="91" ht="15.75" hidden="1" customHeight="1">
      <c r="A91" s="403">
        <v>24.0</v>
      </c>
      <c r="B91" s="44" t="s">
        <v>177</v>
      </c>
      <c r="C91" s="44" t="s">
        <v>399</v>
      </c>
      <c r="D91" s="415">
        <v>1.0</v>
      </c>
      <c r="E91" s="35">
        <v>1.0</v>
      </c>
      <c r="F91" s="35">
        <f t="shared" si="8"/>
        <v>0</v>
      </c>
      <c r="G91" s="404">
        <v>969000.0</v>
      </c>
      <c r="H91" s="404">
        <f t="shared" si="9"/>
        <v>969000</v>
      </c>
      <c r="I91" s="44" t="s">
        <v>89</v>
      </c>
      <c r="J91" s="44" t="s">
        <v>400</v>
      </c>
      <c r="K91" s="257" t="s">
        <v>235</v>
      </c>
      <c r="L91" s="44" t="s">
        <v>236</v>
      </c>
      <c r="M91" s="44" t="s">
        <v>237</v>
      </c>
      <c r="N91" s="34" t="s">
        <v>238</v>
      </c>
      <c r="O91" s="257">
        <v>1325.0</v>
      </c>
      <c r="P91" s="405">
        <v>45696.0</v>
      </c>
      <c r="Q91" s="406"/>
    </row>
    <row r="92" ht="15.75" hidden="1" customHeight="1">
      <c r="A92" s="407">
        <v>24.0</v>
      </c>
      <c r="B92" s="59" t="s">
        <v>177</v>
      </c>
      <c r="C92" s="59" t="s">
        <v>399</v>
      </c>
      <c r="D92" s="416">
        <v>1.0</v>
      </c>
      <c r="E92" s="52">
        <v>1.0</v>
      </c>
      <c r="F92" s="52">
        <f t="shared" si="8"/>
        <v>0</v>
      </c>
      <c r="G92" s="408">
        <v>969000.0</v>
      </c>
      <c r="H92" s="408">
        <f t="shared" si="9"/>
        <v>969000</v>
      </c>
      <c r="I92" s="59" t="s">
        <v>179</v>
      </c>
      <c r="J92" s="59" t="s">
        <v>400</v>
      </c>
      <c r="K92" s="258" t="s">
        <v>235</v>
      </c>
      <c r="L92" s="59" t="s">
        <v>236</v>
      </c>
      <c r="M92" s="59" t="s">
        <v>237</v>
      </c>
      <c r="N92" s="69" t="s">
        <v>238</v>
      </c>
      <c r="O92" s="258">
        <v>1325.0</v>
      </c>
      <c r="P92" s="409">
        <v>45696.0</v>
      </c>
      <c r="Q92" s="410"/>
    </row>
    <row r="93" ht="15.75" hidden="1" customHeight="1">
      <c r="A93" s="403">
        <v>24.0</v>
      </c>
      <c r="B93" s="44" t="s">
        <v>177</v>
      </c>
      <c r="C93" s="44" t="s">
        <v>399</v>
      </c>
      <c r="D93" s="257">
        <v>1.0</v>
      </c>
      <c r="E93" s="44">
        <v>1.0</v>
      </c>
      <c r="F93" s="35">
        <f t="shared" si="8"/>
        <v>0</v>
      </c>
      <c r="G93" s="404">
        <v>969000.0</v>
      </c>
      <c r="H93" s="404">
        <f t="shared" si="9"/>
        <v>969000</v>
      </c>
      <c r="I93" s="44" t="s">
        <v>175</v>
      </c>
      <c r="J93" s="44" t="s">
        <v>400</v>
      </c>
      <c r="K93" s="257" t="s">
        <v>235</v>
      </c>
      <c r="L93" s="44" t="s">
        <v>236</v>
      </c>
      <c r="M93" s="44" t="s">
        <v>237</v>
      </c>
      <c r="N93" s="34" t="s">
        <v>238</v>
      </c>
      <c r="O93" s="257">
        <v>1325.0</v>
      </c>
      <c r="P93" s="405">
        <v>45696.0</v>
      </c>
      <c r="Q93" s="406"/>
    </row>
    <row r="94" ht="15.75" hidden="1" customHeight="1">
      <c r="A94" s="407">
        <v>24.0</v>
      </c>
      <c r="B94" s="59" t="s">
        <v>177</v>
      </c>
      <c r="C94" s="59" t="s">
        <v>399</v>
      </c>
      <c r="D94" s="258">
        <v>1.0</v>
      </c>
      <c r="E94" s="59">
        <v>1.0</v>
      </c>
      <c r="F94" s="52">
        <f t="shared" si="8"/>
        <v>0</v>
      </c>
      <c r="G94" s="408">
        <v>969000.0</v>
      </c>
      <c r="H94" s="408">
        <f t="shared" si="9"/>
        <v>969000</v>
      </c>
      <c r="I94" s="59" t="s">
        <v>192</v>
      </c>
      <c r="J94" s="59" t="s">
        <v>400</v>
      </c>
      <c r="K94" s="258" t="s">
        <v>235</v>
      </c>
      <c r="L94" s="59" t="s">
        <v>236</v>
      </c>
      <c r="M94" s="59" t="s">
        <v>237</v>
      </c>
      <c r="N94" s="69" t="s">
        <v>238</v>
      </c>
      <c r="O94" s="258">
        <v>1325.0</v>
      </c>
      <c r="P94" s="409">
        <v>45696.0</v>
      </c>
      <c r="Q94" s="410"/>
    </row>
    <row r="95" ht="15.75" hidden="1" customHeight="1">
      <c r="A95" s="403">
        <v>24.0</v>
      </c>
      <c r="B95" s="44" t="s">
        <v>177</v>
      </c>
      <c r="C95" s="44" t="s">
        <v>399</v>
      </c>
      <c r="D95" s="257">
        <v>1.0</v>
      </c>
      <c r="E95" s="44">
        <v>1.0</v>
      </c>
      <c r="F95" s="35">
        <f t="shared" si="8"/>
        <v>0</v>
      </c>
      <c r="G95" s="404">
        <v>969000.0</v>
      </c>
      <c r="H95" s="404">
        <f t="shared" si="9"/>
        <v>969000</v>
      </c>
      <c r="I95" s="44" t="s">
        <v>214</v>
      </c>
      <c r="J95" s="44" t="s">
        <v>400</v>
      </c>
      <c r="K95" s="257" t="s">
        <v>235</v>
      </c>
      <c r="L95" s="44" t="s">
        <v>236</v>
      </c>
      <c r="M95" s="44" t="s">
        <v>237</v>
      </c>
      <c r="N95" s="34" t="s">
        <v>238</v>
      </c>
      <c r="O95" s="257">
        <v>1325.0</v>
      </c>
      <c r="P95" s="405">
        <v>45696.0</v>
      </c>
      <c r="Q95" s="406"/>
    </row>
    <row r="96" ht="15.75" hidden="1" customHeight="1">
      <c r="A96" s="407">
        <v>24.0</v>
      </c>
      <c r="B96" s="59" t="s">
        <v>177</v>
      </c>
      <c r="C96" s="59" t="s">
        <v>399</v>
      </c>
      <c r="D96" s="59">
        <v>1.0</v>
      </c>
      <c r="E96" s="59">
        <v>1.0</v>
      </c>
      <c r="F96" s="52">
        <f t="shared" si="8"/>
        <v>0</v>
      </c>
      <c r="G96" s="235">
        <v>969000.0</v>
      </c>
      <c r="H96" s="408">
        <f t="shared" si="9"/>
        <v>969000</v>
      </c>
      <c r="I96" s="59" t="s">
        <v>233</v>
      </c>
      <c r="J96" s="59" t="s">
        <v>400</v>
      </c>
      <c r="K96" s="258" t="s">
        <v>235</v>
      </c>
      <c r="L96" s="59" t="s">
        <v>236</v>
      </c>
      <c r="M96" s="59" t="s">
        <v>237</v>
      </c>
      <c r="N96" s="69" t="s">
        <v>238</v>
      </c>
      <c r="O96" s="258">
        <v>1325.0</v>
      </c>
      <c r="P96" s="409">
        <v>45696.0</v>
      </c>
      <c r="Q96" s="410"/>
    </row>
    <row r="97" ht="15.75" hidden="1" customHeight="1">
      <c r="A97" s="403">
        <v>25.0</v>
      </c>
      <c r="B97" s="257" t="s">
        <v>185</v>
      </c>
      <c r="C97" s="44" t="s">
        <v>273</v>
      </c>
      <c r="D97" s="415">
        <v>1.0</v>
      </c>
      <c r="E97" s="35">
        <v>0.0</v>
      </c>
      <c r="F97" s="35">
        <f t="shared" si="8"/>
        <v>1</v>
      </c>
      <c r="G97" s="404" t="s">
        <v>499</v>
      </c>
      <c r="H97" s="404" t="s">
        <v>499</v>
      </c>
      <c r="I97" s="419" t="s">
        <v>264</v>
      </c>
      <c r="J97" s="44" t="s">
        <v>48</v>
      </c>
      <c r="K97" s="257" t="s">
        <v>48</v>
      </c>
      <c r="L97" s="44" t="s">
        <v>48</v>
      </c>
      <c r="M97" s="44"/>
      <c r="N97" s="44"/>
      <c r="O97" s="257" t="s">
        <v>48</v>
      </c>
      <c r="P97" s="405" t="s">
        <v>48</v>
      </c>
      <c r="Q97" s="406" t="s">
        <v>48</v>
      </c>
    </row>
    <row r="98" ht="15.75" hidden="1" customHeight="1">
      <c r="A98" s="407">
        <v>26.0</v>
      </c>
      <c r="B98" s="59" t="s">
        <v>152</v>
      </c>
      <c r="C98" s="59" t="s">
        <v>419</v>
      </c>
      <c r="D98" s="258">
        <v>1.0</v>
      </c>
      <c r="E98" s="59">
        <v>1.0</v>
      </c>
      <c r="F98" s="52">
        <f t="shared" si="8"/>
        <v>0</v>
      </c>
      <c r="G98" s="408">
        <v>255750.0</v>
      </c>
      <c r="H98" s="408">
        <f t="shared" ref="H98:H134" si="10">G98*D98</f>
        <v>255750</v>
      </c>
      <c r="I98" s="59" t="s">
        <v>58</v>
      </c>
      <c r="J98" s="59" t="s">
        <v>420</v>
      </c>
      <c r="K98" s="258" t="s">
        <v>421</v>
      </c>
      <c r="L98" s="59" t="s">
        <v>422</v>
      </c>
      <c r="M98" s="59" t="s">
        <v>423</v>
      </c>
      <c r="N98" s="69" t="s">
        <v>424</v>
      </c>
      <c r="O98" s="258">
        <v>1324.0</v>
      </c>
      <c r="P98" s="409">
        <v>45654.0</v>
      </c>
      <c r="Q98" s="410"/>
    </row>
    <row r="99" ht="15.75" hidden="1" customHeight="1">
      <c r="A99" s="403">
        <v>26.0</v>
      </c>
      <c r="B99" s="44" t="s">
        <v>152</v>
      </c>
      <c r="C99" s="44" t="s">
        <v>419</v>
      </c>
      <c r="D99" s="257">
        <v>1.0</v>
      </c>
      <c r="E99" s="44">
        <v>1.0</v>
      </c>
      <c r="F99" s="35">
        <f t="shared" si="8"/>
        <v>0</v>
      </c>
      <c r="G99" s="404">
        <v>255750.0</v>
      </c>
      <c r="H99" s="404">
        <f t="shared" si="10"/>
        <v>255750</v>
      </c>
      <c r="I99" s="44" t="s">
        <v>232</v>
      </c>
      <c r="J99" s="44" t="s">
        <v>420</v>
      </c>
      <c r="K99" s="257" t="s">
        <v>421</v>
      </c>
      <c r="L99" s="44" t="s">
        <v>422</v>
      </c>
      <c r="M99" s="44" t="s">
        <v>423</v>
      </c>
      <c r="N99" s="34" t="s">
        <v>424</v>
      </c>
      <c r="O99" s="257">
        <v>1324.0</v>
      </c>
      <c r="P99" s="405">
        <v>45654.0</v>
      </c>
      <c r="Q99" s="406"/>
    </row>
    <row r="100" ht="15.75" hidden="1" customHeight="1">
      <c r="A100" s="407">
        <v>26.0</v>
      </c>
      <c r="B100" s="59" t="s">
        <v>152</v>
      </c>
      <c r="C100" s="59" t="s">
        <v>419</v>
      </c>
      <c r="D100" s="258">
        <v>1.0</v>
      </c>
      <c r="E100" s="59">
        <v>1.0</v>
      </c>
      <c r="F100" s="52">
        <f t="shared" si="8"/>
        <v>0</v>
      </c>
      <c r="G100" s="408">
        <v>255750.0</v>
      </c>
      <c r="H100" s="408">
        <f t="shared" si="10"/>
        <v>255750</v>
      </c>
      <c r="I100" s="59" t="s">
        <v>113</v>
      </c>
      <c r="J100" s="59" t="s">
        <v>420</v>
      </c>
      <c r="K100" s="258" t="s">
        <v>421</v>
      </c>
      <c r="L100" s="59" t="s">
        <v>422</v>
      </c>
      <c r="M100" s="59" t="s">
        <v>423</v>
      </c>
      <c r="N100" s="69" t="s">
        <v>424</v>
      </c>
      <c r="O100" s="258">
        <v>1324.0</v>
      </c>
      <c r="P100" s="409">
        <v>45654.0</v>
      </c>
      <c r="Q100" s="410"/>
    </row>
    <row r="101" ht="15.75" hidden="1" customHeight="1">
      <c r="A101" s="403">
        <v>26.0</v>
      </c>
      <c r="B101" s="44" t="s">
        <v>152</v>
      </c>
      <c r="C101" s="44" t="s">
        <v>419</v>
      </c>
      <c r="D101" s="257">
        <v>1.0</v>
      </c>
      <c r="E101" s="44">
        <v>1.0</v>
      </c>
      <c r="F101" s="35">
        <f t="shared" si="8"/>
        <v>0</v>
      </c>
      <c r="G101" s="404">
        <v>255750.0</v>
      </c>
      <c r="H101" s="404">
        <f t="shared" si="10"/>
        <v>255750</v>
      </c>
      <c r="I101" s="44" t="s">
        <v>134</v>
      </c>
      <c r="J101" s="44" t="s">
        <v>420</v>
      </c>
      <c r="K101" s="257" t="s">
        <v>421</v>
      </c>
      <c r="L101" s="44" t="s">
        <v>422</v>
      </c>
      <c r="M101" s="44" t="s">
        <v>423</v>
      </c>
      <c r="N101" s="34" t="s">
        <v>424</v>
      </c>
      <c r="O101" s="257">
        <v>1324.0</v>
      </c>
      <c r="P101" s="405">
        <v>45654.0</v>
      </c>
      <c r="Q101" s="406"/>
    </row>
    <row r="102" ht="15.75" hidden="1" customHeight="1">
      <c r="A102" s="407">
        <v>26.0</v>
      </c>
      <c r="B102" s="59" t="s">
        <v>152</v>
      </c>
      <c r="C102" s="59" t="s">
        <v>419</v>
      </c>
      <c r="D102" s="258">
        <v>1.0</v>
      </c>
      <c r="E102" s="59">
        <v>1.0</v>
      </c>
      <c r="F102" s="52">
        <f t="shared" si="8"/>
        <v>0</v>
      </c>
      <c r="G102" s="408">
        <v>255750.0</v>
      </c>
      <c r="H102" s="408">
        <f t="shared" si="10"/>
        <v>255750</v>
      </c>
      <c r="I102" s="59" t="s">
        <v>142</v>
      </c>
      <c r="J102" s="59" t="s">
        <v>420</v>
      </c>
      <c r="K102" s="258" t="s">
        <v>421</v>
      </c>
      <c r="L102" s="59" t="s">
        <v>422</v>
      </c>
      <c r="M102" s="59" t="s">
        <v>423</v>
      </c>
      <c r="N102" s="69" t="s">
        <v>424</v>
      </c>
      <c r="O102" s="258">
        <v>1324.0</v>
      </c>
      <c r="P102" s="409">
        <v>45654.0</v>
      </c>
      <c r="Q102" s="410"/>
    </row>
    <row r="103" ht="15.75" hidden="1" customHeight="1">
      <c r="A103" s="403">
        <v>26.0</v>
      </c>
      <c r="B103" s="44" t="s">
        <v>152</v>
      </c>
      <c r="C103" s="44" t="s">
        <v>419</v>
      </c>
      <c r="D103" s="415">
        <v>1.0</v>
      </c>
      <c r="E103" s="35">
        <v>1.0</v>
      </c>
      <c r="F103" s="35">
        <f t="shared" si="8"/>
        <v>0</v>
      </c>
      <c r="G103" s="404">
        <v>255750.0</v>
      </c>
      <c r="H103" s="404">
        <f t="shared" si="10"/>
        <v>255750</v>
      </c>
      <c r="I103" s="44" t="s">
        <v>179</v>
      </c>
      <c r="J103" s="44" t="s">
        <v>420</v>
      </c>
      <c r="K103" s="257" t="s">
        <v>421</v>
      </c>
      <c r="L103" s="44" t="s">
        <v>422</v>
      </c>
      <c r="M103" s="44" t="s">
        <v>423</v>
      </c>
      <c r="N103" s="34" t="s">
        <v>424</v>
      </c>
      <c r="O103" s="257">
        <v>1324.0</v>
      </c>
      <c r="P103" s="405">
        <v>45654.0</v>
      </c>
      <c r="Q103" s="406"/>
    </row>
    <row r="104" ht="15.75" hidden="1" customHeight="1">
      <c r="A104" s="407">
        <v>26.0</v>
      </c>
      <c r="B104" s="59" t="s">
        <v>152</v>
      </c>
      <c r="C104" s="59" t="s">
        <v>419</v>
      </c>
      <c r="D104" s="52">
        <v>8.0</v>
      </c>
      <c r="E104" s="52">
        <v>8.0</v>
      </c>
      <c r="F104" s="52">
        <f t="shared" si="8"/>
        <v>0</v>
      </c>
      <c r="G104" s="235">
        <v>255750.0</v>
      </c>
      <c r="H104" s="408">
        <f t="shared" si="10"/>
        <v>2046000</v>
      </c>
      <c r="I104" s="59" t="s">
        <v>167</v>
      </c>
      <c r="J104" s="59" t="s">
        <v>420</v>
      </c>
      <c r="K104" s="258" t="s">
        <v>421</v>
      </c>
      <c r="L104" s="59" t="s">
        <v>422</v>
      </c>
      <c r="M104" s="59" t="s">
        <v>423</v>
      </c>
      <c r="N104" s="69" t="s">
        <v>424</v>
      </c>
      <c r="O104" s="258">
        <v>1324.0</v>
      </c>
      <c r="P104" s="409">
        <v>45654.0</v>
      </c>
      <c r="Q104" s="410"/>
    </row>
    <row r="105" ht="15.75" hidden="1" customHeight="1">
      <c r="A105" s="403">
        <v>26.0</v>
      </c>
      <c r="B105" s="44" t="s">
        <v>152</v>
      </c>
      <c r="C105" s="44" t="s">
        <v>419</v>
      </c>
      <c r="D105" s="35">
        <v>4.0</v>
      </c>
      <c r="E105" s="35">
        <v>4.0</v>
      </c>
      <c r="F105" s="35">
        <f t="shared" si="8"/>
        <v>0</v>
      </c>
      <c r="G105" s="234">
        <v>255750.0</v>
      </c>
      <c r="H105" s="404">
        <f t="shared" si="10"/>
        <v>1023000</v>
      </c>
      <c r="I105" s="44" t="s">
        <v>202</v>
      </c>
      <c r="J105" s="44" t="s">
        <v>420</v>
      </c>
      <c r="K105" s="257" t="s">
        <v>421</v>
      </c>
      <c r="L105" s="44" t="s">
        <v>422</v>
      </c>
      <c r="M105" s="44" t="s">
        <v>423</v>
      </c>
      <c r="N105" s="34" t="s">
        <v>424</v>
      </c>
      <c r="O105" s="257">
        <v>1324.0</v>
      </c>
      <c r="P105" s="405">
        <v>45654.0</v>
      </c>
      <c r="Q105" s="406"/>
    </row>
    <row r="106" ht="15.75" hidden="1" customHeight="1">
      <c r="A106" s="407">
        <v>26.0</v>
      </c>
      <c r="B106" s="59" t="s">
        <v>152</v>
      </c>
      <c r="C106" s="59" t="s">
        <v>419</v>
      </c>
      <c r="D106" s="258">
        <v>1.0</v>
      </c>
      <c r="E106" s="59">
        <v>1.0</v>
      </c>
      <c r="F106" s="52">
        <f t="shared" si="8"/>
        <v>0</v>
      </c>
      <c r="G106" s="408">
        <v>255750.0</v>
      </c>
      <c r="H106" s="408">
        <f t="shared" si="10"/>
        <v>255750</v>
      </c>
      <c r="I106" s="59" t="s">
        <v>188</v>
      </c>
      <c r="J106" s="59" t="s">
        <v>420</v>
      </c>
      <c r="K106" s="258" t="s">
        <v>421</v>
      </c>
      <c r="L106" s="59" t="s">
        <v>422</v>
      </c>
      <c r="M106" s="59" t="s">
        <v>423</v>
      </c>
      <c r="N106" s="69" t="s">
        <v>424</v>
      </c>
      <c r="O106" s="258">
        <v>1324.0</v>
      </c>
      <c r="P106" s="409">
        <v>45654.0</v>
      </c>
      <c r="Q106" s="410"/>
    </row>
    <row r="107" ht="15.75" hidden="1" customHeight="1">
      <c r="A107" s="403">
        <v>26.0</v>
      </c>
      <c r="B107" s="44" t="s">
        <v>152</v>
      </c>
      <c r="C107" s="44" t="s">
        <v>419</v>
      </c>
      <c r="D107" s="257">
        <v>1.0</v>
      </c>
      <c r="E107" s="44">
        <v>1.0</v>
      </c>
      <c r="F107" s="35">
        <f t="shared" si="8"/>
        <v>0</v>
      </c>
      <c r="G107" s="404">
        <v>255750.0</v>
      </c>
      <c r="H107" s="404">
        <f t="shared" si="10"/>
        <v>255750</v>
      </c>
      <c r="I107" s="44" t="s">
        <v>197</v>
      </c>
      <c r="J107" s="44" t="s">
        <v>420</v>
      </c>
      <c r="K107" s="257" t="s">
        <v>421</v>
      </c>
      <c r="L107" s="44" t="s">
        <v>422</v>
      </c>
      <c r="M107" s="44" t="s">
        <v>423</v>
      </c>
      <c r="N107" s="34" t="s">
        <v>424</v>
      </c>
      <c r="O107" s="257">
        <v>1324.0</v>
      </c>
      <c r="P107" s="405">
        <v>45654.0</v>
      </c>
      <c r="Q107" s="406"/>
    </row>
    <row r="108" ht="15.75" hidden="1" customHeight="1">
      <c r="A108" s="407">
        <v>26.0</v>
      </c>
      <c r="B108" s="59" t="s">
        <v>152</v>
      </c>
      <c r="C108" s="59" t="s">
        <v>419</v>
      </c>
      <c r="D108" s="258">
        <v>1.0</v>
      </c>
      <c r="E108" s="59">
        <v>1.0</v>
      </c>
      <c r="F108" s="52">
        <f t="shared" si="8"/>
        <v>0</v>
      </c>
      <c r="G108" s="408">
        <v>255750.0</v>
      </c>
      <c r="H108" s="408">
        <f t="shared" si="10"/>
        <v>255750</v>
      </c>
      <c r="I108" s="59" t="s">
        <v>196</v>
      </c>
      <c r="J108" s="59" t="s">
        <v>420</v>
      </c>
      <c r="K108" s="258" t="s">
        <v>421</v>
      </c>
      <c r="L108" s="59" t="s">
        <v>422</v>
      </c>
      <c r="M108" s="59" t="s">
        <v>423</v>
      </c>
      <c r="N108" s="69" t="s">
        <v>424</v>
      </c>
      <c r="O108" s="258">
        <v>1324.0</v>
      </c>
      <c r="P108" s="409">
        <v>45654.0</v>
      </c>
      <c r="Q108" s="410"/>
    </row>
    <row r="109" ht="15.75" hidden="1" customHeight="1">
      <c r="A109" s="403">
        <v>26.0</v>
      </c>
      <c r="B109" s="44" t="s">
        <v>152</v>
      </c>
      <c r="C109" s="44" t="s">
        <v>419</v>
      </c>
      <c r="D109" s="257">
        <v>1.0</v>
      </c>
      <c r="E109" s="44">
        <v>1.0</v>
      </c>
      <c r="F109" s="35">
        <f t="shared" si="8"/>
        <v>0</v>
      </c>
      <c r="G109" s="404">
        <v>255750.0</v>
      </c>
      <c r="H109" s="404">
        <f t="shared" si="10"/>
        <v>255750</v>
      </c>
      <c r="I109" s="44" t="s">
        <v>178</v>
      </c>
      <c r="J109" s="44" t="s">
        <v>420</v>
      </c>
      <c r="K109" s="257" t="s">
        <v>421</v>
      </c>
      <c r="L109" s="44" t="s">
        <v>422</v>
      </c>
      <c r="M109" s="44" t="s">
        <v>423</v>
      </c>
      <c r="N109" s="34" t="s">
        <v>424</v>
      </c>
      <c r="O109" s="257">
        <v>1324.0</v>
      </c>
      <c r="P109" s="405">
        <v>45654.0</v>
      </c>
      <c r="Q109" s="406"/>
    </row>
    <row r="110" ht="15.75" hidden="1" customHeight="1">
      <c r="A110" s="407">
        <v>26.0</v>
      </c>
      <c r="B110" s="59" t="s">
        <v>152</v>
      </c>
      <c r="C110" s="59" t="s">
        <v>419</v>
      </c>
      <c r="D110" s="258">
        <v>1.0</v>
      </c>
      <c r="E110" s="59">
        <v>1.0</v>
      </c>
      <c r="F110" s="52">
        <f t="shared" si="8"/>
        <v>0</v>
      </c>
      <c r="G110" s="408">
        <v>255750.0</v>
      </c>
      <c r="H110" s="408">
        <f t="shared" si="10"/>
        <v>255750</v>
      </c>
      <c r="I110" s="59" t="s">
        <v>199</v>
      </c>
      <c r="J110" s="59" t="s">
        <v>420</v>
      </c>
      <c r="K110" s="258" t="s">
        <v>421</v>
      </c>
      <c r="L110" s="59" t="s">
        <v>422</v>
      </c>
      <c r="M110" s="59" t="s">
        <v>423</v>
      </c>
      <c r="N110" s="69" t="s">
        <v>424</v>
      </c>
      <c r="O110" s="258">
        <v>1324.0</v>
      </c>
      <c r="P110" s="409">
        <v>45654.0</v>
      </c>
      <c r="Q110" s="410"/>
    </row>
    <row r="111" ht="15.75" hidden="1" customHeight="1">
      <c r="A111" s="403">
        <v>27.0</v>
      </c>
      <c r="B111" s="257" t="s">
        <v>156</v>
      </c>
      <c r="C111" s="44" t="s">
        <v>284</v>
      </c>
      <c r="D111" s="257">
        <v>1.0</v>
      </c>
      <c r="E111" s="44">
        <v>1.0</v>
      </c>
      <c r="F111" s="35">
        <f t="shared" si="8"/>
        <v>0</v>
      </c>
      <c r="G111" s="404">
        <v>253627.0</v>
      </c>
      <c r="H111" s="404">
        <f t="shared" si="10"/>
        <v>253627</v>
      </c>
      <c r="I111" s="44" t="s">
        <v>232</v>
      </c>
      <c r="J111" s="44" t="s">
        <v>458</v>
      </c>
      <c r="K111" s="257" t="s">
        <v>451</v>
      </c>
      <c r="L111" s="44" t="s">
        <v>452</v>
      </c>
      <c r="M111" s="44" t="s">
        <v>460</v>
      </c>
      <c r="N111" s="34" t="s">
        <v>291</v>
      </c>
      <c r="O111" s="257">
        <v>1321.0</v>
      </c>
      <c r="P111" s="405">
        <v>45654.0</v>
      </c>
      <c r="Q111" s="406"/>
    </row>
    <row r="112" ht="15.75" hidden="1" customHeight="1">
      <c r="A112" s="407">
        <v>27.0</v>
      </c>
      <c r="B112" s="258" t="s">
        <v>156</v>
      </c>
      <c r="C112" s="59" t="s">
        <v>284</v>
      </c>
      <c r="D112" s="258">
        <v>1.0</v>
      </c>
      <c r="E112" s="59">
        <v>1.0</v>
      </c>
      <c r="F112" s="52">
        <f t="shared" si="8"/>
        <v>0</v>
      </c>
      <c r="G112" s="408">
        <v>253627.0</v>
      </c>
      <c r="H112" s="408">
        <f t="shared" si="10"/>
        <v>253627</v>
      </c>
      <c r="I112" s="59" t="s">
        <v>134</v>
      </c>
      <c r="J112" s="59" t="s">
        <v>458</v>
      </c>
      <c r="K112" s="258" t="s">
        <v>451</v>
      </c>
      <c r="L112" s="59" t="s">
        <v>452</v>
      </c>
      <c r="M112" s="59" t="s">
        <v>460</v>
      </c>
      <c r="N112" s="69" t="s">
        <v>291</v>
      </c>
      <c r="O112" s="258">
        <v>1321.0</v>
      </c>
      <c r="P112" s="409">
        <v>45654.0</v>
      </c>
      <c r="Q112" s="410"/>
    </row>
    <row r="113" ht="15.75" hidden="1" customHeight="1">
      <c r="A113" s="403">
        <v>27.0</v>
      </c>
      <c r="B113" s="257" t="s">
        <v>156</v>
      </c>
      <c r="C113" s="44" t="s">
        <v>284</v>
      </c>
      <c r="D113" s="257">
        <v>1.0</v>
      </c>
      <c r="E113" s="44">
        <v>1.0</v>
      </c>
      <c r="F113" s="35">
        <f t="shared" si="8"/>
        <v>0</v>
      </c>
      <c r="G113" s="404">
        <v>253627.0</v>
      </c>
      <c r="H113" s="404">
        <f t="shared" si="10"/>
        <v>253627</v>
      </c>
      <c r="I113" s="44" t="s">
        <v>286</v>
      </c>
      <c r="J113" s="44" t="s">
        <v>458</v>
      </c>
      <c r="K113" s="257" t="s">
        <v>451</v>
      </c>
      <c r="L113" s="44" t="s">
        <v>452</v>
      </c>
      <c r="M113" s="44" t="s">
        <v>460</v>
      </c>
      <c r="N113" s="34" t="s">
        <v>291</v>
      </c>
      <c r="O113" s="257">
        <v>1321.0</v>
      </c>
      <c r="P113" s="405">
        <v>45654.0</v>
      </c>
      <c r="Q113" s="406"/>
    </row>
    <row r="114" ht="15.75" hidden="1" customHeight="1">
      <c r="A114" s="407">
        <v>27.0</v>
      </c>
      <c r="B114" s="258" t="s">
        <v>156</v>
      </c>
      <c r="C114" s="59" t="s">
        <v>284</v>
      </c>
      <c r="D114" s="258">
        <v>1.0</v>
      </c>
      <c r="E114" s="59">
        <v>1.0</v>
      </c>
      <c r="F114" s="52">
        <f t="shared" si="8"/>
        <v>0</v>
      </c>
      <c r="G114" s="408">
        <v>253627.0</v>
      </c>
      <c r="H114" s="408">
        <f t="shared" si="10"/>
        <v>253627</v>
      </c>
      <c r="I114" s="59" t="s">
        <v>142</v>
      </c>
      <c r="J114" s="59" t="s">
        <v>458</v>
      </c>
      <c r="K114" s="258" t="s">
        <v>451</v>
      </c>
      <c r="L114" s="59" t="s">
        <v>452</v>
      </c>
      <c r="M114" s="59" t="s">
        <v>460</v>
      </c>
      <c r="N114" s="69" t="s">
        <v>291</v>
      </c>
      <c r="O114" s="258">
        <v>1321.0</v>
      </c>
      <c r="P114" s="409">
        <v>45654.0</v>
      </c>
      <c r="Q114" s="410"/>
    </row>
    <row r="115" ht="15.75" hidden="1" customHeight="1">
      <c r="A115" s="403">
        <v>27.0</v>
      </c>
      <c r="B115" s="257" t="s">
        <v>156</v>
      </c>
      <c r="C115" s="44" t="s">
        <v>284</v>
      </c>
      <c r="D115" s="35">
        <v>1.0</v>
      </c>
      <c r="E115" s="35">
        <v>1.0</v>
      </c>
      <c r="F115" s="35">
        <f t="shared" si="8"/>
        <v>0</v>
      </c>
      <c r="G115" s="234">
        <v>253627.0</v>
      </c>
      <c r="H115" s="404">
        <f t="shared" si="10"/>
        <v>253627</v>
      </c>
      <c r="I115" s="44" t="s">
        <v>202</v>
      </c>
      <c r="J115" s="44" t="s">
        <v>458</v>
      </c>
      <c r="K115" s="257" t="s">
        <v>451</v>
      </c>
      <c r="L115" s="44" t="s">
        <v>452</v>
      </c>
      <c r="M115" s="44" t="s">
        <v>460</v>
      </c>
      <c r="N115" s="34" t="s">
        <v>291</v>
      </c>
      <c r="O115" s="257">
        <v>1321.0</v>
      </c>
      <c r="P115" s="405">
        <v>45654.0</v>
      </c>
      <c r="Q115" s="406"/>
    </row>
    <row r="116" ht="15.75" hidden="1" customHeight="1">
      <c r="A116" s="407">
        <v>27.0</v>
      </c>
      <c r="B116" s="258" t="s">
        <v>156</v>
      </c>
      <c r="C116" s="59" t="s">
        <v>284</v>
      </c>
      <c r="D116" s="258">
        <v>1.0</v>
      </c>
      <c r="E116" s="59">
        <v>1.0</v>
      </c>
      <c r="F116" s="52">
        <f t="shared" si="8"/>
        <v>0</v>
      </c>
      <c r="G116" s="408">
        <v>253627.0</v>
      </c>
      <c r="H116" s="408">
        <f t="shared" si="10"/>
        <v>253627</v>
      </c>
      <c r="I116" s="59" t="s">
        <v>196</v>
      </c>
      <c r="J116" s="59" t="s">
        <v>458</v>
      </c>
      <c r="K116" s="258" t="s">
        <v>451</v>
      </c>
      <c r="L116" s="59" t="s">
        <v>452</v>
      </c>
      <c r="M116" s="59" t="s">
        <v>460</v>
      </c>
      <c r="N116" s="69" t="s">
        <v>291</v>
      </c>
      <c r="O116" s="258">
        <v>1321.0</v>
      </c>
      <c r="P116" s="409">
        <v>45654.0</v>
      </c>
      <c r="Q116" s="410"/>
    </row>
    <row r="117" ht="15.75" hidden="1" customHeight="1">
      <c r="A117" s="403">
        <v>28.0</v>
      </c>
      <c r="B117" s="44" t="s">
        <v>157</v>
      </c>
      <c r="C117" s="44" t="s">
        <v>479</v>
      </c>
      <c r="D117" s="257">
        <v>1.0</v>
      </c>
      <c r="E117" s="44">
        <v>0.0</v>
      </c>
      <c r="F117" s="35">
        <f t="shared" si="8"/>
        <v>1</v>
      </c>
      <c r="G117" s="404">
        <v>268000.0</v>
      </c>
      <c r="H117" s="404">
        <f t="shared" si="10"/>
        <v>268000</v>
      </c>
      <c r="I117" s="44" t="s">
        <v>134</v>
      </c>
      <c r="J117" s="44" t="s">
        <v>458</v>
      </c>
      <c r="K117" s="257" t="s">
        <v>451</v>
      </c>
      <c r="L117" s="44" t="s">
        <v>452</v>
      </c>
      <c r="M117" s="44" t="s">
        <v>460</v>
      </c>
      <c r="N117" s="34" t="s">
        <v>291</v>
      </c>
      <c r="O117" s="257">
        <v>1321.0</v>
      </c>
      <c r="P117" s="405">
        <v>45654.0</v>
      </c>
      <c r="Q117" s="406"/>
    </row>
    <row r="118" ht="15.75" hidden="1" customHeight="1">
      <c r="A118" s="407">
        <v>28.0</v>
      </c>
      <c r="B118" s="59" t="s">
        <v>157</v>
      </c>
      <c r="C118" s="59" t="s">
        <v>479</v>
      </c>
      <c r="D118" s="258">
        <v>1.0</v>
      </c>
      <c r="E118" s="59">
        <v>0.0</v>
      </c>
      <c r="F118" s="52">
        <f t="shared" si="8"/>
        <v>1</v>
      </c>
      <c r="G118" s="408">
        <v>268000.0</v>
      </c>
      <c r="H118" s="408">
        <f t="shared" si="10"/>
        <v>268000</v>
      </c>
      <c r="I118" s="59" t="s">
        <v>160</v>
      </c>
      <c r="J118" s="59" t="s">
        <v>458</v>
      </c>
      <c r="K118" s="258" t="s">
        <v>451</v>
      </c>
      <c r="L118" s="59" t="s">
        <v>452</v>
      </c>
      <c r="M118" s="59" t="s">
        <v>460</v>
      </c>
      <c r="N118" s="69" t="s">
        <v>291</v>
      </c>
      <c r="O118" s="258">
        <v>1321.0</v>
      </c>
      <c r="P118" s="409">
        <v>45654.0</v>
      </c>
      <c r="Q118" s="410"/>
    </row>
    <row r="119" ht="15.75" hidden="1" customHeight="1">
      <c r="A119" s="403">
        <v>28.0</v>
      </c>
      <c r="B119" s="44" t="s">
        <v>157</v>
      </c>
      <c r="C119" s="44" t="s">
        <v>479</v>
      </c>
      <c r="D119" s="257">
        <v>1.0</v>
      </c>
      <c r="E119" s="44">
        <v>0.0</v>
      </c>
      <c r="F119" s="35">
        <f t="shared" si="8"/>
        <v>1</v>
      </c>
      <c r="G119" s="404">
        <v>268000.0</v>
      </c>
      <c r="H119" s="404">
        <f t="shared" si="10"/>
        <v>268000</v>
      </c>
      <c r="I119" s="44" t="s">
        <v>196</v>
      </c>
      <c r="J119" s="44" t="s">
        <v>458</v>
      </c>
      <c r="K119" s="257" t="s">
        <v>451</v>
      </c>
      <c r="L119" s="44" t="s">
        <v>452</v>
      </c>
      <c r="M119" s="44" t="s">
        <v>460</v>
      </c>
      <c r="N119" s="34" t="s">
        <v>291</v>
      </c>
      <c r="O119" s="257">
        <v>1321.0</v>
      </c>
      <c r="P119" s="405">
        <v>45654.0</v>
      </c>
      <c r="Q119" s="406"/>
    </row>
    <row r="120" ht="15.75" hidden="1" customHeight="1">
      <c r="A120" s="407">
        <v>28.0</v>
      </c>
      <c r="B120" s="59" t="s">
        <v>157</v>
      </c>
      <c r="C120" s="59" t="s">
        <v>479</v>
      </c>
      <c r="D120" s="258">
        <v>1.0</v>
      </c>
      <c r="E120" s="59">
        <v>1.0</v>
      </c>
      <c r="F120" s="52">
        <f t="shared" si="8"/>
        <v>0</v>
      </c>
      <c r="G120" s="408">
        <v>268000.0</v>
      </c>
      <c r="H120" s="408">
        <f t="shared" si="10"/>
        <v>268000</v>
      </c>
      <c r="I120" s="59" t="s">
        <v>178</v>
      </c>
      <c r="J120" s="59" t="s">
        <v>458</v>
      </c>
      <c r="K120" s="258" t="s">
        <v>451</v>
      </c>
      <c r="L120" s="59" t="s">
        <v>452</v>
      </c>
      <c r="M120" s="59" t="s">
        <v>460</v>
      </c>
      <c r="N120" s="69" t="s">
        <v>291</v>
      </c>
      <c r="O120" s="258">
        <v>1321.0</v>
      </c>
      <c r="P120" s="409">
        <v>45654.0</v>
      </c>
      <c r="Q120" s="410"/>
    </row>
    <row r="121" ht="15.75" hidden="1" customHeight="1">
      <c r="A121" s="403">
        <v>28.0</v>
      </c>
      <c r="B121" s="44" t="s">
        <v>157</v>
      </c>
      <c r="C121" s="44" t="s">
        <v>479</v>
      </c>
      <c r="D121" s="257">
        <v>1.0</v>
      </c>
      <c r="E121" s="44">
        <v>0.0</v>
      </c>
      <c r="F121" s="35">
        <f t="shared" si="8"/>
        <v>1</v>
      </c>
      <c r="G121" s="404">
        <v>268000.0</v>
      </c>
      <c r="H121" s="404">
        <f t="shared" si="10"/>
        <v>268000</v>
      </c>
      <c r="I121" s="44" t="s">
        <v>192</v>
      </c>
      <c r="J121" s="44" t="s">
        <v>458</v>
      </c>
      <c r="K121" s="257" t="s">
        <v>451</v>
      </c>
      <c r="L121" s="44" t="s">
        <v>452</v>
      </c>
      <c r="M121" s="44" t="s">
        <v>460</v>
      </c>
      <c r="N121" s="34" t="s">
        <v>291</v>
      </c>
      <c r="O121" s="257">
        <v>1321.0</v>
      </c>
      <c r="P121" s="405">
        <v>45654.0</v>
      </c>
      <c r="Q121" s="406"/>
    </row>
    <row r="122" ht="15.75" hidden="1" customHeight="1">
      <c r="A122" s="407">
        <v>28.0</v>
      </c>
      <c r="B122" s="59" t="s">
        <v>157</v>
      </c>
      <c r="C122" s="59" t="s">
        <v>479</v>
      </c>
      <c r="D122" s="258">
        <v>1.0</v>
      </c>
      <c r="E122" s="59">
        <v>0.0</v>
      </c>
      <c r="F122" s="52">
        <f t="shared" si="8"/>
        <v>1</v>
      </c>
      <c r="G122" s="408">
        <v>268000.0</v>
      </c>
      <c r="H122" s="408">
        <f t="shared" si="10"/>
        <v>268000</v>
      </c>
      <c r="I122" s="59" t="s">
        <v>304</v>
      </c>
      <c r="J122" s="59" t="s">
        <v>458</v>
      </c>
      <c r="K122" s="258" t="s">
        <v>451</v>
      </c>
      <c r="L122" s="59" t="s">
        <v>452</v>
      </c>
      <c r="M122" s="59" t="s">
        <v>460</v>
      </c>
      <c r="N122" s="69" t="s">
        <v>291</v>
      </c>
      <c r="O122" s="258">
        <v>1321.0</v>
      </c>
      <c r="P122" s="409">
        <v>45654.0</v>
      </c>
      <c r="Q122" s="410"/>
    </row>
    <row r="123" ht="15.75" hidden="1" customHeight="1">
      <c r="A123" s="403">
        <v>28.0</v>
      </c>
      <c r="B123" s="44" t="s">
        <v>157</v>
      </c>
      <c r="C123" s="44" t="s">
        <v>479</v>
      </c>
      <c r="D123" s="257">
        <v>1.0</v>
      </c>
      <c r="E123" s="44">
        <v>0.0</v>
      </c>
      <c r="F123" s="35">
        <f t="shared" si="8"/>
        <v>1</v>
      </c>
      <c r="G123" s="404">
        <v>268000.0</v>
      </c>
      <c r="H123" s="404">
        <f t="shared" si="10"/>
        <v>268000</v>
      </c>
      <c r="I123" s="44" t="s">
        <v>272</v>
      </c>
      <c r="J123" s="44" t="s">
        <v>458</v>
      </c>
      <c r="K123" s="257" t="s">
        <v>451</v>
      </c>
      <c r="L123" s="44" t="s">
        <v>452</v>
      </c>
      <c r="M123" s="44" t="s">
        <v>460</v>
      </c>
      <c r="N123" s="34" t="s">
        <v>291</v>
      </c>
      <c r="O123" s="257">
        <v>1321.0</v>
      </c>
      <c r="P123" s="405">
        <v>45654.0</v>
      </c>
      <c r="Q123" s="406"/>
    </row>
    <row r="124" ht="15.75" hidden="1" customHeight="1">
      <c r="A124" s="407">
        <v>28.0</v>
      </c>
      <c r="B124" s="59" t="s">
        <v>157</v>
      </c>
      <c r="C124" s="59" t="s">
        <v>479</v>
      </c>
      <c r="D124" s="258">
        <v>1.0</v>
      </c>
      <c r="E124" s="59">
        <v>0.0</v>
      </c>
      <c r="F124" s="52">
        <f t="shared" si="8"/>
        <v>1</v>
      </c>
      <c r="G124" s="408">
        <v>268000.0</v>
      </c>
      <c r="H124" s="408">
        <f t="shared" si="10"/>
        <v>268000</v>
      </c>
      <c r="I124" s="59" t="s">
        <v>199</v>
      </c>
      <c r="J124" s="59" t="s">
        <v>458</v>
      </c>
      <c r="K124" s="258" t="s">
        <v>451</v>
      </c>
      <c r="L124" s="59" t="s">
        <v>452</v>
      </c>
      <c r="M124" s="59" t="s">
        <v>460</v>
      </c>
      <c r="N124" s="69" t="s">
        <v>291</v>
      </c>
      <c r="O124" s="258">
        <v>1321.0</v>
      </c>
      <c r="P124" s="409">
        <v>45654.0</v>
      </c>
      <c r="Q124" s="410"/>
    </row>
    <row r="125" ht="15.75" hidden="1" customHeight="1">
      <c r="A125" s="403">
        <v>28.0</v>
      </c>
      <c r="B125" s="44" t="s">
        <v>157</v>
      </c>
      <c r="C125" s="44" t="s">
        <v>479</v>
      </c>
      <c r="D125" s="257">
        <v>1.0</v>
      </c>
      <c r="E125" s="44">
        <v>0.0</v>
      </c>
      <c r="F125" s="35">
        <f t="shared" si="8"/>
        <v>1</v>
      </c>
      <c r="G125" s="404">
        <v>268000.0</v>
      </c>
      <c r="H125" s="404">
        <f t="shared" si="10"/>
        <v>268000</v>
      </c>
      <c r="I125" s="44" t="s">
        <v>210</v>
      </c>
      <c r="J125" s="44" t="s">
        <v>458</v>
      </c>
      <c r="K125" s="257" t="s">
        <v>451</v>
      </c>
      <c r="L125" s="44" t="s">
        <v>452</v>
      </c>
      <c r="M125" s="44" t="s">
        <v>460</v>
      </c>
      <c r="N125" s="34" t="s">
        <v>291</v>
      </c>
      <c r="O125" s="257">
        <v>1321.0</v>
      </c>
      <c r="P125" s="405">
        <v>45654.0</v>
      </c>
      <c r="Q125" s="406"/>
    </row>
    <row r="126" ht="15.75" hidden="1" customHeight="1">
      <c r="A126" s="407">
        <v>28.0</v>
      </c>
      <c r="B126" s="59" t="s">
        <v>157</v>
      </c>
      <c r="C126" s="59" t="s">
        <v>479</v>
      </c>
      <c r="D126" s="258">
        <v>3.0</v>
      </c>
      <c r="E126" s="59">
        <v>2.0</v>
      </c>
      <c r="F126" s="52">
        <f t="shared" si="8"/>
        <v>1</v>
      </c>
      <c r="G126" s="408">
        <v>268000.0</v>
      </c>
      <c r="H126" s="408">
        <f t="shared" si="10"/>
        <v>804000</v>
      </c>
      <c r="I126" s="59" t="s">
        <v>214</v>
      </c>
      <c r="J126" s="59" t="s">
        <v>458</v>
      </c>
      <c r="K126" s="258" t="s">
        <v>451</v>
      </c>
      <c r="L126" s="59" t="s">
        <v>452</v>
      </c>
      <c r="M126" s="59" t="s">
        <v>460</v>
      </c>
      <c r="N126" s="69" t="s">
        <v>291</v>
      </c>
      <c r="O126" s="258">
        <v>1321.0</v>
      </c>
      <c r="P126" s="409">
        <v>45654.0</v>
      </c>
      <c r="Q126" s="410"/>
    </row>
    <row r="127" ht="15.75" hidden="1" customHeight="1">
      <c r="A127" s="403">
        <v>29.0</v>
      </c>
      <c r="B127" s="44" t="s">
        <v>158</v>
      </c>
      <c r="C127" s="44" t="s">
        <v>488</v>
      </c>
      <c r="D127" s="415">
        <v>3.0</v>
      </c>
      <c r="E127" s="35">
        <v>3.0</v>
      </c>
      <c r="F127" s="35">
        <f t="shared" si="8"/>
        <v>0</v>
      </c>
      <c r="G127" s="404">
        <v>295200.0</v>
      </c>
      <c r="H127" s="404">
        <f t="shared" si="10"/>
        <v>885600</v>
      </c>
      <c r="I127" s="44" t="s">
        <v>126</v>
      </c>
      <c r="J127" s="44" t="s">
        <v>492</v>
      </c>
      <c r="K127" s="257" t="s">
        <v>421</v>
      </c>
      <c r="L127" s="44" t="s">
        <v>422</v>
      </c>
      <c r="M127" s="44" t="s">
        <v>423</v>
      </c>
      <c r="N127" s="34" t="s">
        <v>424</v>
      </c>
      <c r="O127" s="257">
        <v>1319.0</v>
      </c>
      <c r="P127" s="405">
        <v>45653.0</v>
      </c>
      <c r="Q127" s="406"/>
    </row>
    <row r="128" ht="15.75" hidden="1" customHeight="1">
      <c r="A128" s="407">
        <v>29.0</v>
      </c>
      <c r="B128" s="59" t="s">
        <v>158</v>
      </c>
      <c r="C128" s="59" t="s">
        <v>488</v>
      </c>
      <c r="D128" s="258">
        <v>1.0</v>
      </c>
      <c r="E128" s="59">
        <v>1.0</v>
      </c>
      <c r="F128" s="52">
        <f t="shared" si="8"/>
        <v>0</v>
      </c>
      <c r="G128" s="408">
        <v>295200.0</v>
      </c>
      <c r="H128" s="408">
        <f t="shared" si="10"/>
        <v>295200</v>
      </c>
      <c r="I128" s="59" t="s">
        <v>96</v>
      </c>
      <c r="J128" s="59" t="s">
        <v>492</v>
      </c>
      <c r="K128" s="258" t="s">
        <v>421</v>
      </c>
      <c r="L128" s="59" t="s">
        <v>422</v>
      </c>
      <c r="M128" s="59" t="s">
        <v>423</v>
      </c>
      <c r="N128" s="69" t="s">
        <v>424</v>
      </c>
      <c r="O128" s="258">
        <v>1319.0</v>
      </c>
      <c r="P128" s="409">
        <v>45653.0</v>
      </c>
      <c r="Q128" s="410"/>
    </row>
    <row r="129" ht="15.75" hidden="1" customHeight="1">
      <c r="A129" s="403">
        <v>29.0</v>
      </c>
      <c r="B129" s="44" t="s">
        <v>158</v>
      </c>
      <c r="C129" s="44" t="s">
        <v>488</v>
      </c>
      <c r="D129" s="257">
        <v>1.0</v>
      </c>
      <c r="E129" s="44">
        <v>1.0</v>
      </c>
      <c r="F129" s="35">
        <f t="shared" si="8"/>
        <v>0</v>
      </c>
      <c r="G129" s="404">
        <v>295200.0</v>
      </c>
      <c r="H129" s="404">
        <f t="shared" si="10"/>
        <v>295200</v>
      </c>
      <c r="I129" s="44" t="s">
        <v>286</v>
      </c>
      <c r="J129" s="44" t="s">
        <v>492</v>
      </c>
      <c r="K129" s="257" t="s">
        <v>421</v>
      </c>
      <c r="L129" s="44" t="s">
        <v>422</v>
      </c>
      <c r="M129" s="44" t="s">
        <v>423</v>
      </c>
      <c r="N129" s="34" t="s">
        <v>424</v>
      </c>
      <c r="O129" s="257">
        <v>1319.0</v>
      </c>
      <c r="P129" s="405">
        <v>45653.0</v>
      </c>
      <c r="Q129" s="406"/>
    </row>
    <row r="130" ht="15.75" hidden="1" customHeight="1">
      <c r="A130" s="407">
        <v>29.0</v>
      </c>
      <c r="B130" s="59" t="s">
        <v>158</v>
      </c>
      <c r="C130" s="59" t="s">
        <v>488</v>
      </c>
      <c r="D130" s="416">
        <v>4.0</v>
      </c>
      <c r="E130" s="52">
        <v>4.0</v>
      </c>
      <c r="F130" s="52">
        <f t="shared" si="8"/>
        <v>0</v>
      </c>
      <c r="G130" s="408">
        <v>295200.0</v>
      </c>
      <c r="H130" s="408">
        <f t="shared" si="10"/>
        <v>1180800</v>
      </c>
      <c r="I130" s="59" t="s">
        <v>89</v>
      </c>
      <c r="J130" s="59" t="s">
        <v>492</v>
      </c>
      <c r="K130" s="258" t="s">
        <v>421</v>
      </c>
      <c r="L130" s="59" t="s">
        <v>422</v>
      </c>
      <c r="M130" s="59" t="s">
        <v>423</v>
      </c>
      <c r="N130" s="69" t="s">
        <v>424</v>
      </c>
      <c r="O130" s="258">
        <v>1319.0</v>
      </c>
      <c r="P130" s="409">
        <v>45653.0</v>
      </c>
      <c r="Q130" s="410"/>
    </row>
    <row r="131" ht="15.75" hidden="1" customHeight="1">
      <c r="A131" s="403">
        <v>29.0</v>
      </c>
      <c r="B131" s="44" t="s">
        <v>158</v>
      </c>
      <c r="C131" s="44" t="s">
        <v>488</v>
      </c>
      <c r="D131" s="415">
        <v>1.0</v>
      </c>
      <c r="E131" s="35">
        <v>1.0</v>
      </c>
      <c r="F131" s="35">
        <f t="shared" si="8"/>
        <v>0</v>
      </c>
      <c r="G131" s="404">
        <v>295200.0</v>
      </c>
      <c r="H131" s="404">
        <f t="shared" si="10"/>
        <v>295200</v>
      </c>
      <c r="I131" s="44" t="s">
        <v>179</v>
      </c>
      <c r="J131" s="44" t="s">
        <v>492</v>
      </c>
      <c r="K131" s="257" t="s">
        <v>421</v>
      </c>
      <c r="L131" s="44" t="s">
        <v>422</v>
      </c>
      <c r="M131" s="44" t="s">
        <v>423</v>
      </c>
      <c r="N131" s="34" t="s">
        <v>424</v>
      </c>
      <c r="O131" s="257">
        <v>1319.0</v>
      </c>
      <c r="P131" s="405">
        <v>45653.0</v>
      </c>
      <c r="Q131" s="406"/>
    </row>
    <row r="132" ht="15.75" hidden="1" customHeight="1">
      <c r="A132" s="407">
        <v>29.0</v>
      </c>
      <c r="B132" s="59" t="s">
        <v>158</v>
      </c>
      <c r="C132" s="59" t="s">
        <v>488</v>
      </c>
      <c r="D132" s="52">
        <v>3.0</v>
      </c>
      <c r="E132" s="52">
        <v>3.0</v>
      </c>
      <c r="F132" s="52">
        <f t="shared" si="8"/>
        <v>0</v>
      </c>
      <c r="G132" s="235">
        <v>295200.0</v>
      </c>
      <c r="H132" s="408">
        <f t="shared" si="10"/>
        <v>885600</v>
      </c>
      <c r="I132" s="59" t="s">
        <v>202</v>
      </c>
      <c r="J132" s="59" t="s">
        <v>492</v>
      </c>
      <c r="K132" s="258" t="s">
        <v>421</v>
      </c>
      <c r="L132" s="59" t="s">
        <v>422</v>
      </c>
      <c r="M132" s="59" t="s">
        <v>423</v>
      </c>
      <c r="N132" s="69" t="s">
        <v>424</v>
      </c>
      <c r="O132" s="258">
        <v>1319.0</v>
      </c>
      <c r="P132" s="409">
        <v>45653.0</v>
      </c>
      <c r="Q132" s="410"/>
    </row>
    <row r="133" ht="15.75" hidden="1" customHeight="1">
      <c r="A133" s="403">
        <v>29.0</v>
      </c>
      <c r="B133" s="44" t="s">
        <v>158</v>
      </c>
      <c r="C133" s="44" t="s">
        <v>488</v>
      </c>
      <c r="D133" s="35">
        <v>2.0</v>
      </c>
      <c r="E133" s="35">
        <v>2.0</v>
      </c>
      <c r="F133" s="35">
        <f t="shared" si="8"/>
        <v>0</v>
      </c>
      <c r="G133" s="234">
        <v>295200.0</v>
      </c>
      <c r="H133" s="404">
        <f t="shared" si="10"/>
        <v>590400</v>
      </c>
      <c r="I133" s="44" t="s">
        <v>191</v>
      </c>
      <c r="J133" s="44" t="s">
        <v>492</v>
      </c>
      <c r="K133" s="257" t="s">
        <v>421</v>
      </c>
      <c r="L133" s="44" t="s">
        <v>422</v>
      </c>
      <c r="M133" s="44" t="s">
        <v>423</v>
      </c>
      <c r="N133" s="34" t="s">
        <v>424</v>
      </c>
      <c r="O133" s="257">
        <v>1319.0</v>
      </c>
      <c r="P133" s="405">
        <v>45653.0</v>
      </c>
      <c r="Q133" s="406"/>
    </row>
    <row r="134" ht="15.75" hidden="1" customHeight="1">
      <c r="A134" s="407">
        <v>29.0</v>
      </c>
      <c r="B134" s="59" t="s">
        <v>158</v>
      </c>
      <c r="C134" s="59" t="s">
        <v>488</v>
      </c>
      <c r="D134" s="258">
        <v>1.0</v>
      </c>
      <c r="E134" s="59">
        <v>1.0</v>
      </c>
      <c r="F134" s="52">
        <f t="shared" si="8"/>
        <v>0</v>
      </c>
      <c r="G134" s="408">
        <v>295200.0</v>
      </c>
      <c r="H134" s="408">
        <f t="shared" si="10"/>
        <v>295200</v>
      </c>
      <c r="I134" s="59" t="s">
        <v>201</v>
      </c>
      <c r="J134" s="59" t="s">
        <v>492</v>
      </c>
      <c r="K134" s="258" t="s">
        <v>421</v>
      </c>
      <c r="L134" s="59" t="s">
        <v>422</v>
      </c>
      <c r="M134" s="59" t="s">
        <v>423</v>
      </c>
      <c r="N134" s="69" t="s">
        <v>424</v>
      </c>
      <c r="O134" s="258">
        <v>1319.0</v>
      </c>
      <c r="P134" s="409">
        <v>45653.0</v>
      </c>
      <c r="Q134" s="410"/>
    </row>
    <row r="135" ht="15.75" hidden="1" customHeight="1">
      <c r="A135" s="403">
        <v>30.0</v>
      </c>
      <c r="B135" s="44" t="s">
        <v>159</v>
      </c>
      <c r="C135" s="44" t="s">
        <v>500</v>
      </c>
      <c r="D135" s="415">
        <v>1.0</v>
      </c>
      <c r="E135" s="35">
        <v>0.0</v>
      </c>
      <c r="F135" s="35">
        <f t="shared" si="8"/>
        <v>1</v>
      </c>
      <c r="G135" s="404" t="s">
        <v>252</v>
      </c>
      <c r="H135" s="404" t="s">
        <v>252</v>
      </c>
      <c r="I135" s="419" t="s">
        <v>264</v>
      </c>
      <c r="J135" s="44" t="s">
        <v>48</v>
      </c>
      <c r="K135" s="257" t="s">
        <v>48</v>
      </c>
      <c r="L135" s="44" t="s">
        <v>48</v>
      </c>
      <c r="M135" s="44"/>
      <c r="N135" s="44"/>
      <c r="O135" s="257" t="s">
        <v>48</v>
      </c>
      <c r="P135" s="405" t="s">
        <v>48</v>
      </c>
      <c r="Q135" s="406" t="s">
        <v>48</v>
      </c>
    </row>
    <row r="136" ht="15.75" hidden="1" customHeight="1">
      <c r="A136" s="407">
        <v>30.0</v>
      </c>
      <c r="B136" s="59" t="s">
        <v>159</v>
      </c>
      <c r="C136" s="59" t="s">
        <v>500</v>
      </c>
      <c r="D136" s="258">
        <v>1.0</v>
      </c>
      <c r="E136" s="52">
        <v>0.0</v>
      </c>
      <c r="F136" s="52">
        <f t="shared" si="8"/>
        <v>1</v>
      </c>
      <c r="G136" s="408" t="s">
        <v>252</v>
      </c>
      <c r="H136" s="408" t="s">
        <v>252</v>
      </c>
      <c r="I136" s="59" t="s">
        <v>58</v>
      </c>
      <c r="J136" s="59" t="s">
        <v>48</v>
      </c>
      <c r="K136" s="258" t="s">
        <v>48</v>
      </c>
      <c r="L136" s="59" t="s">
        <v>48</v>
      </c>
      <c r="M136" s="59"/>
      <c r="N136" s="59"/>
      <c r="O136" s="258" t="s">
        <v>48</v>
      </c>
      <c r="P136" s="409" t="s">
        <v>48</v>
      </c>
      <c r="Q136" s="410" t="s">
        <v>48</v>
      </c>
    </row>
    <row r="137" ht="15.75" hidden="1" customHeight="1">
      <c r="A137" s="403">
        <v>30.0</v>
      </c>
      <c r="B137" s="44" t="s">
        <v>159</v>
      </c>
      <c r="C137" s="44" t="s">
        <v>500</v>
      </c>
      <c r="D137" s="257">
        <v>1.0</v>
      </c>
      <c r="E137" s="35">
        <v>0.0</v>
      </c>
      <c r="F137" s="35">
        <f t="shared" si="8"/>
        <v>1</v>
      </c>
      <c r="G137" s="404" t="s">
        <v>252</v>
      </c>
      <c r="H137" s="404" t="s">
        <v>252</v>
      </c>
      <c r="I137" s="44" t="s">
        <v>85</v>
      </c>
      <c r="J137" s="44" t="s">
        <v>48</v>
      </c>
      <c r="K137" s="257" t="s">
        <v>48</v>
      </c>
      <c r="L137" s="44" t="s">
        <v>48</v>
      </c>
      <c r="M137" s="44"/>
      <c r="N137" s="44"/>
      <c r="O137" s="257" t="s">
        <v>48</v>
      </c>
      <c r="P137" s="405" t="s">
        <v>48</v>
      </c>
      <c r="Q137" s="406" t="s">
        <v>48</v>
      </c>
    </row>
    <row r="138" ht="15.75" hidden="1" customHeight="1">
      <c r="A138" s="407">
        <v>30.0</v>
      </c>
      <c r="B138" s="59" t="s">
        <v>159</v>
      </c>
      <c r="C138" s="59" t="s">
        <v>500</v>
      </c>
      <c r="D138" s="258">
        <v>1.0</v>
      </c>
      <c r="E138" s="52">
        <v>0.0</v>
      </c>
      <c r="F138" s="52">
        <f t="shared" si="8"/>
        <v>1</v>
      </c>
      <c r="G138" s="408" t="s">
        <v>252</v>
      </c>
      <c r="H138" s="408" t="s">
        <v>252</v>
      </c>
      <c r="I138" s="59" t="s">
        <v>232</v>
      </c>
      <c r="J138" s="59" t="s">
        <v>48</v>
      </c>
      <c r="K138" s="258" t="s">
        <v>48</v>
      </c>
      <c r="L138" s="59" t="s">
        <v>48</v>
      </c>
      <c r="M138" s="59"/>
      <c r="N138" s="59"/>
      <c r="O138" s="258" t="s">
        <v>48</v>
      </c>
      <c r="P138" s="409" t="s">
        <v>48</v>
      </c>
      <c r="Q138" s="410" t="s">
        <v>48</v>
      </c>
    </row>
    <row r="139" ht="15.75" hidden="1" customHeight="1">
      <c r="A139" s="403">
        <v>30.0</v>
      </c>
      <c r="B139" s="44" t="s">
        <v>159</v>
      </c>
      <c r="C139" s="44" t="s">
        <v>500</v>
      </c>
      <c r="D139" s="257">
        <v>1.0</v>
      </c>
      <c r="E139" s="35">
        <v>0.0</v>
      </c>
      <c r="F139" s="35">
        <f t="shared" si="8"/>
        <v>1</v>
      </c>
      <c r="G139" s="404" t="s">
        <v>252</v>
      </c>
      <c r="H139" s="404" t="s">
        <v>252</v>
      </c>
      <c r="I139" s="44" t="s">
        <v>103</v>
      </c>
      <c r="J139" s="44" t="s">
        <v>48</v>
      </c>
      <c r="K139" s="257" t="s">
        <v>48</v>
      </c>
      <c r="L139" s="44" t="s">
        <v>48</v>
      </c>
      <c r="M139" s="44"/>
      <c r="N139" s="44"/>
      <c r="O139" s="257" t="s">
        <v>48</v>
      </c>
      <c r="P139" s="405" t="s">
        <v>48</v>
      </c>
      <c r="Q139" s="406" t="s">
        <v>48</v>
      </c>
    </row>
    <row r="140" ht="15.75" hidden="1" customHeight="1">
      <c r="A140" s="407">
        <v>30.0</v>
      </c>
      <c r="B140" s="59" t="s">
        <v>159</v>
      </c>
      <c r="C140" s="59" t="s">
        <v>500</v>
      </c>
      <c r="D140" s="258">
        <v>1.0</v>
      </c>
      <c r="E140" s="52">
        <v>0.0</v>
      </c>
      <c r="F140" s="52">
        <f t="shared" si="8"/>
        <v>1</v>
      </c>
      <c r="G140" s="408" t="s">
        <v>252</v>
      </c>
      <c r="H140" s="408" t="s">
        <v>252</v>
      </c>
      <c r="I140" s="59" t="s">
        <v>96</v>
      </c>
      <c r="J140" s="59" t="s">
        <v>48</v>
      </c>
      <c r="K140" s="258" t="s">
        <v>48</v>
      </c>
      <c r="L140" s="59" t="s">
        <v>48</v>
      </c>
      <c r="M140" s="59"/>
      <c r="N140" s="59"/>
      <c r="O140" s="258" t="s">
        <v>48</v>
      </c>
      <c r="P140" s="409" t="s">
        <v>48</v>
      </c>
      <c r="Q140" s="410" t="s">
        <v>48</v>
      </c>
    </row>
    <row r="141" ht="15.75" hidden="1" customHeight="1">
      <c r="A141" s="403">
        <v>30.0</v>
      </c>
      <c r="B141" s="44" t="s">
        <v>159</v>
      </c>
      <c r="C141" s="44" t="s">
        <v>500</v>
      </c>
      <c r="D141" s="257">
        <v>1.0</v>
      </c>
      <c r="E141" s="35">
        <v>0.0</v>
      </c>
      <c r="F141" s="35">
        <f t="shared" si="8"/>
        <v>1</v>
      </c>
      <c r="G141" s="404" t="s">
        <v>252</v>
      </c>
      <c r="H141" s="404" t="s">
        <v>252</v>
      </c>
      <c r="I141" s="44" t="s">
        <v>113</v>
      </c>
      <c r="J141" s="44" t="s">
        <v>48</v>
      </c>
      <c r="K141" s="257" t="s">
        <v>48</v>
      </c>
      <c r="L141" s="44" t="s">
        <v>48</v>
      </c>
      <c r="M141" s="44"/>
      <c r="N141" s="44"/>
      <c r="O141" s="257" t="s">
        <v>48</v>
      </c>
      <c r="P141" s="405" t="s">
        <v>48</v>
      </c>
      <c r="Q141" s="406" t="s">
        <v>48</v>
      </c>
    </row>
    <row r="142" ht="15.75" hidden="1" customHeight="1">
      <c r="A142" s="407">
        <v>30.0</v>
      </c>
      <c r="B142" s="59" t="s">
        <v>159</v>
      </c>
      <c r="C142" s="59" t="s">
        <v>500</v>
      </c>
      <c r="D142" s="258">
        <v>1.0</v>
      </c>
      <c r="E142" s="52">
        <v>0.0</v>
      </c>
      <c r="F142" s="52">
        <f t="shared" si="8"/>
        <v>1</v>
      </c>
      <c r="G142" s="408" t="s">
        <v>252</v>
      </c>
      <c r="H142" s="408" t="s">
        <v>252</v>
      </c>
      <c r="I142" s="59" t="s">
        <v>134</v>
      </c>
      <c r="J142" s="59" t="s">
        <v>48</v>
      </c>
      <c r="K142" s="258" t="s">
        <v>48</v>
      </c>
      <c r="L142" s="59" t="s">
        <v>48</v>
      </c>
      <c r="M142" s="59"/>
      <c r="N142" s="59"/>
      <c r="O142" s="258" t="s">
        <v>48</v>
      </c>
      <c r="P142" s="409" t="s">
        <v>48</v>
      </c>
      <c r="Q142" s="410" t="s">
        <v>48</v>
      </c>
    </row>
    <row r="143" ht="15.75" hidden="1" customHeight="1">
      <c r="A143" s="403">
        <v>30.0</v>
      </c>
      <c r="B143" s="44" t="s">
        <v>159</v>
      </c>
      <c r="C143" s="44" t="s">
        <v>500</v>
      </c>
      <c r="D143" s="257">
        <v>1.0</v>
      </c>
      <c r="E143" s="35">
        <v>0.0</v>
      </c>
      <c r="F143" s="35">
        <f t="shared" si="8"/>
        <v>1</v>
      </c>
      <c r="G143" s="404" t="s">
        <v>252</v>
      </c>
      <c r="H143" s="404" t="s">
        <v>252</v>
      </c>
      <c r="I143" s="44" t="s">
        <v>161</v>
      </c>
      <c r="J143" s="44" t="s">
        <v>48</v>
      </c>
      <c r="K143" s="257" t="s">
        <v>48</v>
      </c>
      <c r="L143" s="44" t="s">
        <v>48</v>
      </c>
      <c r="M143" s="44"/>
      <c r="N143" s="44"/>
      <c r="O143" s="257" t="s">
        <v>48</v>
      </c>
      <c r="P143" s="405" t="s">
        <v>48</v>
      </c>
      <c r="Q143" s="406" t="s">
        <v>48</v>
      </c>
    </row>
    <row r="144" ht="15.75" hidden="1" customHeight="1">
      <c r="A144" s="407">
        <v>30.0</v>
      </c>
      <c r="B144" s="59" t="s">
        <v>159</v>
      </c>
      <c r="C144" s="59" t="s">
        <v>500</v>
      </c>
      <c r="D144" s="258">
        <v>1.0</v>
      </c>
      <c r="E144" s="52">
        <v>0.0</v>
      </c>
      <c r="F144" s="52">
        <f t="shared" si="8"/>
        <v>1</v>
      </c>
      <c r="G144" s="408" t="s">
        <v>252</v>
      </c>
      <c r="H144" s="408" t="s">
        <v>252</v>
      </c>
      <c r="I144" s="59" t="s">
        <v>175</v>
      </c>
      <c r="J144" s="59" t="s">
        <v>48</v>
      </c>
      <c r="K144" s="258" t="s">
        <v>48</v>
      </c>
      <c r="L144" s="59" t="s">
        <v>48</v>
      </c>
      <c r="M144" s="59"/>
      <c r="N144" s="59"/>
      <c r="O144" s="258" t="s">
        <v>48</v>
      </c>
      <c r="P144" s="409" t="s">
        <v>48</v>
      </c>
      <c r="Q144" s="410" t="s">
        <v>48</v>
      </c>
    </row>
    <row r="145" ht="15.75" hidden="1" customHeight="1">
      <c r="A145" s="403">
        <v>30.0</v>
      </c>
      <c r="B145" s="44" t="s">
        <v>159</v>
      </c>
      <c r="C145" s="44" t="s">
        <v>500</v>
      </c>
      <c r="D145" s="257">
        <v>1.0</v>
      </c>
      <c r="E145" s="35">
        <v>0.0</v>
      </c>
      <c r="F145" s="35">
        <f t="shared" si="8"/>
        <v>1</v>
      </c>
      <c r="G145" s="404" t="s">
        <v>252</v>
      </c>
      <c r="H145" s="404" t="s">
        <v>252</v>
      </c>
      <c r="I145" s="44" t="s">
        <v>188</v>
      </c>
      <c r="J145" s="44" t="s">
        <v>48</v>
      </c>
      <c r="K145" s="257" t="s">
        <v>48</v>
      </c>
      <c r="L145" s="44" t="s">
        <v>48</v>
      </c>
      <c r="M145" s="44"/>
      <c r="N145" s="44"/>
      <c r="O145" s="257" t="s">
        <v>48</v>
      </c>
      <c r="P145" s="405" t="s">
        <v>48</v>
      </c>
      <c r="Q145" s="406" t="s">
        <v>48</v>
      </c>
    </row>
    <row r="146" ht="15.75" hidden="1" customHeight="1">
      <c r="A146" s="407">
        <v>30.0</v>
      </c>
      <c r="B146" s="59" t="s">
        <v>159</v>
      </c>
      <c r="C146" s="59" t="s">
        <v>500</v>
      </c>
      <c r="D146" s="258">
        <v>1.0</v>
      </c>
      <c r="E146" s="52">
        <v>0.0</v>
      </c>
      <c r="F146" s="52">
        <f t="shared" si="8"/>
        <v>1</v>
      </c>
      <c r="G146" s="408" t="s">
        <v>252</v>
      </c>
      <c r="H146" s="408" t="s">
        <v>252</v>
      </c>
      <c r="I146" s="59" t="s">
        <v>189</v>
      </c>
      <c r="J146" s="59" t="s">
        <v>48</v>
      </c>
      <c r="K146" s="258" t="s">
        <v>48</v>
      </c>
      <c r="L146" s="59" t="s">
        <v>48</v>
      </c>
      <c r="M146" s="59"/>
      <c r="N146" s="59"/>
      <c r="O146" s="258" t="s">
        <v>48</v>
      </c>
      <c r="P146" s="409" t="s">
        <v>48</v>
      </c>
      <c r="Q146" s="410" t="s">
        <v>48</v>
      </c>
    </row>
    <row r="147" ht="15.75" hidden="1" customHeight="1">
      <c r="A147" s="403">
        <v>30.0</v>
      </c>
      <c r="B147" s="44" t="s">
        <v>159</v>
      </c>
      <c r="C147" s="44" t="s">
        <v>500</v>
      </c>
      <c r="D147" s="257">
        <v>1.0</v>
      </c>
      <c r="E147" s="35">
        <v>0.0</v>
      </c>
      <c r="F147" s="35">
        <f t="shared" si="8"/>
        <v>1</v>
      </c>
      <c r="G147" s="404" t="s">
        <v>252</v>
      </c>
      <c r="H147" s="404" t="s">
        <v>252</v>
      </c>
      <c r="I147" s="44" t="s">
        <v>194</v>
      </c>
      <c r="J147" s="44" t="s">
        <v>48</v>
      </c>
      <c r="K147" s="257" t="s">
        <v>48</v>
      </c>
      <c r="L147" s="44" t="s">
        <v>48</v>
      </c>
      <c r="M147" s="44"/>
      <c r="N147" s="44"/>
      <c r="O147" s="257" t="s">
        <v>48</v>
      </c>
      <c r="P147" s="405" t="s">
        <v>48</v>
      </c>
      <c r="Q147" s="406" t="s">
        <v>48</v>
      </c>
    </row>
    <row r="148" ht="15.75" hidden="1" customHeight="1">
      <c r="A148" s="407">
        <v>30.0</v>
      </c>
      <c r="B148" s="59" t="s">
        <v>159</v>
      </c>
      <c r="C148" s="59" t="s">
        <v>500</v>
      </c>
      <c r="D148" s="258">
        <v>1.0</v>
      </c>
      <c r="E148" s="52">
        <v>0.0</v>
      </c>
      <c r="F148" s="52">
        <f t="shared" si="8"/>
        <v>1</v>
      </c>
      <c r="G148" s="408" t="s">
        <v>252</v>
      </c>
      <c r="H148" s="408" t="s">
        <v>252</v>
      </c>
      <c r="I148" s="59" t="s">
        <v>199</v>
      </c>
      <c r="J148" s="59" t="s">
        <v>48</v>
      </c>
      <c r="K148" s="258" t="s">
        <v>48</v>
      </c>
      <c r="L148" s="59" t="s">
        <v>48</v>
      </c>
      <c r="M148" s="59"/>
      <c r="N148" s="59"/>
      <c r="O148" s="258" t="s">
        <v>48</v>
      </c>
      <c r="P148" s="409" t="s">
        <v>48</v>
      </c>
      <c r="Q148" s="410" t="s">
        <v>48</v>
      </c>
    </row>
    <row r="149" ht="15.75" hidden="1" customHeight="1">
      <c r="A149" s="421">
        <v>30.0</v>
      </c>
      <c r="B149" s="121" t="s">
        <v>159</v>
      </c>
      <c r="C149" s="121" t="s">
        <v>500</v>
      </c>
      <c r="D149" s="316">
        <v>1.0</v>
      </c>
      <c r="E149" s="35">
        <v>0.0</v>
      </c>
      <c r="F149" s="35">
        <f t="shared" si="8"/>
        <v>1</v>
      </c>
      <c r="G149" s="423" t="s">
        <v>252</v>
      </c>
      <c r="H149" s="423" t="s">
        <v>252</v>
      </c>
      <c r="I149" s="121" t="s">
        <v>214</v>
      </c>
      <c r="J149" s="121" t="s">
        <v>48</v>
      </c>
      <c r="K149" s="316" t="s">
        <v>48</v>
      </c>
      <c r="L149" s="121" t="s">
        <v>48</v>
      </c>
      <c r="M149" s="121"/>
      <c r="N149" s="121"/>
      <c r="O149" s="316" t="s">
        <v>48</v>
      </c>
      <c r="P149" s="424" t="s">
        <v>48</v>
      </c>
      <c r="Q149" s="425" t="s">
        <v>48</v>
      </c>
    </row>
    <row r="150" ht="15.75" customHeight="1">
      <c r="A150" s="426" t="s">
        <v>790</v>
      </c>
      <c r="B150" s="342"/>
      <c r="C150" s="343"/>
      <c r="D150" s="427">
        <f>SUM(D3:D149)</f>
        <v>227</v>
      </c>
      <c r="E150" s="343"/>
      <c r="F150" s="343"/>
      <c r="G150" s="344">
        <f t="shared" ref="G150:H150" si="11">SUM(G3:G149)</f>
        <v>41352481.78</v>
      </c>
      <c r="H150" s="344">
        <f t="shared" si="11"/>
        <v>54504609.78</v>
      </c>
      <c r="I150" s="343"/>
      <c r="J150" s="343"/>
      <c r="K150" s="427"/>
      <c r="L150" s="343"/>
      <c r="M150" s="343"/>
      <c r="N150" s="343"/>
      <c r="O150" s="427"/>
      <c r="P150" s="431"/>
      <c r="Q150" s="431"/>
    </row>
    <row r="151" ht="15.75" customHeight="1">
      <c r="A151" s="426" t="s">
        <v>791</v>
      </c>
      <c r="B151" s="342"/>
      <c r="C151" s="343"/>
      <c r="D151" s="433">
        <f>SUM(D135:D149,D97,D65,D66,D67,D68,D69,D70,D71,D72,D73,D74,D75,D76,D77,D78,D79,D79,D54,D53,D52,D51,D33,D31,D30,D29,D28,D27,D26,D25,D24)</f>
        <v>76</v>
      </c>
      <c r="E151" s="343"/>
      <c r="F151" s="343"/>
      <c r="G151" s="344"/>
      <c r="H151" s="344"/>
      <c r="I151" s="343"/>
      <c r="J151" s="343"/>
      <c r="K151" s="427"/>
      <c r="L151" s="343"/>
      <c r="M151" s="343"/>
      <c r="N151" s="343"/>
      <c r="O151" s="427"/>
      <c r="P151" s="431"/>
      <c r="Q151" s="431"/>
    </row>
    <row r="152" ht="15.75" customHeight="1">
      <c r="A152" s="426" t="s">
        <v>367</v>
      </c>
      <c r="B152" s="427"/>
      <c r="C152" s="343"/>
      <c r="D152" s="433">
        <f>SUM(D150-D151)</f>
        <v>151</v>
      </c>
      <c r="E152" s="343"/>
      <c r="F152" s="343"/>
      <c r="G152" s="344"/>
      <c r="H152" s="344"/>
      <c r="I152" s="343"/>
      <c r="J152" s="343"/>
      <c r="K152" s="427"/>
      <c r="L152" s="343"/>
      <c r="M152" s="343"/>
      <c r="N152" s="343"/>
      <c r="O152" s="427"/>
      <c r="P152" s="431"/>
      <c r="Q152" s="431"/>
    </row>
    <row r="153" ht="15.75" customHeight="1">
      <c r="A153" s="371"/>
      <c r="B153" s="371"/>
      <c r="C153" s="369"/>
      <c r="D153" s="371"/>
      <c r="E153" s="369"/>
      <c r="F153" s="369"/>
      <c r="G153" s="434"/>
      <c r="H153" s="434"/>
      <c r="I153" s="369"/>
      <c r="J153" s="369"/>
      <c r="K153" s="371"/>
      <c r="L153" s="369"/>
      <c r="M153" s="369"/>
      <c r="N153" s="369"/>
      <c r="O153" s="371"/>
      <c r="P153" s="435"/>
      <c r="Q153" s="435"/>
    </row>
    <row r="154" ht="15.75" customHeight="1">
      <c r="A154" s="371"/>
      <c r="B154" s="371"/>
      <c r="C154" s="369"/>
      <c r="D154" s="371"/>
      <c r="E154" s="369"/>
      <c r="F154" s="369"/>
      <c r="G154" s="434"/>
      <c r="H154" s="434"/>
      <c r="I154" s="369"/>
      <c r="J154" s="369"/>
      <c r="K154" s="371"/>
      <c r="L154" s="369"/>
      <c r="M154" s="369"/>
      <c r="N154" s="369"/>
      <c r="O154" s="371"/>
      <c r="P154" s="435"/>
      <c r="Q154" s="435"/>
    </row>
    <row r="155" ht="15.75" customHeight="1">
      <c r="E155" s="340"/>
      <c r="F155" s="340"/>
      <c r="G155" s="339"/>
      <c r="H155" s="339"/>
      <c r="L155" s="340"/>
      <c r="M155" s="340"/>
      <c r="N155" s="340"/>
      <c r="P155" s="396"/>
      <c r="Q155" s="396"/>
    </row>
    <row r="156" ht="15.75" customHeight="1">
      <c r="E156" s="340"/>
      <c r="F156" s="340"/>
      <c r="G156" s="339"/>
      <c r="H156" s="339"/>
      <c r="L156" s="340"/>
      <c r="M156" s="340"/>
      <c r="N156" s="340"/>
      <c r="P156" s="396"/>
      <c r="Q156" s="396"/>
    </row>
    <row r="157" ht="15.75" customHeight="1">
      <c r="E157" s="340"/>
      <c r="F157" s="340"/>
      <c r="G157" s="339"/>
      <c r="H157" s="339"/>
      <c r="L157" s="340"/>
      <c r="M157" s="340"/>
      <c r="N157" s="340"/>
      <c r="P157" s="396"/>
      <c r="Q157" s="396"/>
    </row>
    <row r="158" ht="15.75" customHeight="1">
      <c r="E158" s="340"/>
      <c r="F158" s="340"/>
      <c r="G158" s="339"/>
      <c r="H158" s="339"/>
      <c r="L158" s="340"/>
      <c r="M158" s="340"/>
      <c r="N158" s="340"/>
      <c r="P158" s="396"/>
      <c r="Q158" s="396"/>
    </row>
    <row r="159" ht="15.75" customHeight="1">
      <c r="E159" s="340"/>
      <c r="F159" s="340"/>
      <c r="G159" s="339"/>
      <c r="H159" s="339"/>
      <c r="L159" s="340"/>
      <c r="M159" s="340"/>
      <c r="N159" s="340"/>
      <c r="P159" s="396"/>
      <c r="Q159" s="396"/>
    </row>
    <row r="160" ht="15.75" customHeight="1">
      <c r="E160" s="340"/>
      <c r="F160" s="340"/>
      <c r="G160" s="339"/>
      <c r="H160" s="339"/>
      <c r="L160" s="340"/>
      <c r="M160" s="340"/>
      <c r="N160" s="340"/>
      <c r="P160" s="396"/>
      <c r="Q160" s="396"/>
    </row>
    <row r="161" ht="15.75" customHeight="1">
      <c r="E161" s="340"/>
      <c r="F161" s="340"/>
      <c r="G161" s="339"/>
      <c r="H161" s="339"/>
      <c r="L161" s="340"/>
      <c r="M161" s="340"/>
      <c r="N161" s="340"/>
      <c r="P161" s="396"/>
      <c r="Q161" s="396"/>
    </row>
    <row r="162" ht="15.75" customHeight="1">
      <c r="E162" s="340"/>
      <c r="F162" s="340"/>
      <c r="G162" s="339"/>
      <c r="H162" s="339"/>
      <c r="L162" s="340"/>
      <c r="M162" s="340"/>
      <c r="N162" s="340"/>
      <c r="P162" s="396"/>
      <c r="Q162" s="396"/>
    </row>
    <row r="163" ht="15.75" customHeight="1">
      <c r="E163" s="340"/>
      <c r="F163" s="340"/>
      <c r="G163" s="339"/>
      <c r="H163" s="339"/>
      <c r="L163" s="340"/>
      <c r="M163" s="340"/>
      <c r="N163" s="340"/>
      <c r="P163" s="396"/>
      <c r="Q163" s="396"/>
    </row>
    <row r="164" ht="15.75" customHeight="1">
      <c r="E164" s="340"/>
      <c r="F164" s="340"/>
      <c r="G164" s="339"/>
      <c r="H164" s="339"/>
      <c r="L164" s="340"/>
      <c r="M164" s="340"/>
      <c r="N164" s="340"/>
      <c r="P164" s="396"/>
      <c r="Q164" s="396"/>
    </row>
    <row r="165" ht="15.75" customHeight="1">
      <c r="E165" s="340"/>
      <c r="F165" s="340"/>
      <c r="G165" s="339"/>
      <c r="H165" s="339"/>
      <c r="L165" s="340"/>
      <c r="M165" s="340"/>
      <c r="N165" s="340"/>
      <c r="P165" s="396"/>
      <c r="Q165" s="396"/>
    </row>
    <row r="166" ht="15.75" customHeight="1">
      <c r="E166" s="340"/>
      <c r="F166" s="340"/>
      <c r="G166" s="339"/>
      <c r="H166" s="339"/>
      <c r="L166" s="340"/>
      <c r="M166" s="340"/>
      <c r="N166" s="340"/>
      <c r="P166" s="396"/>
      <c r="Q166" s="396"/>
    </row>
    <row r="167" ht="15.75" customHeight="1">
      <c r="E167" s="340"/>
      <c r="F167" s="340"/>
      <c r="G167" s="339"/>
      <c r="H167" s="339"/>
      <c r="L167" s="340"/>
      <c r="M167" s="340"/>
      <c r="N167" s="340"/>
      <c r="P167" s="396"/>
      <c r="Q167" s="396"/>
    </row>
    <row r="168" ht="15.75" customHeight="1">
      <c r="E168" s="340"/>
      <c r="F168" s="340"/>
      <c r="G168" s="339"/>
      <c r="H168" s="339"/>
      <c r="L168" s="340"/>
      <c r="M168" s="340"/>
      <c r="N168" s="340"/>
      <c r="P168" s="396"/>
      <c r="Q168" s="396"/>
    </row>
    <row r="169" ht="15.75" customHeight="1">
      <c r="E169" s="340"/>
      <c r="F169" s="340"/>
      <c r="G169" s="339"/>
      <c r="H169" s="339"/>
      <c r="L169" s="340"/>
      <c r="M169" s="340"/>
      <c r="N169" s="340"/>
      <c r="P169" s="396"/>
      <c r="Q169" s="396"/>
    </row>
    <row r="170" ht="15.75" customHeight="1">
      <c r="E170" s="340"/>
      <c r="F170" s="340"/>
      <c r="G170" s="339"/>
      <c r="H170" s="339"/>
      <c r="L170" s="340"/>
      <c r="M170" s="340"/>
      <c r="N170" s="340"/>
      <c r="P170" s="396"/>
      <c r="Q170" s="396"/>
    </row>
    <row r="171" ht="15.75" customHeight="1">
      <c r="E171" s="340"/>
      <c r="F171" s="340"/>
      <c r="G171" s="339"/>
      <c r="H171" s="339"/>
      <c r="L171" s="340"/>
      <c r="M171" s="340"/>
      <c r="N171" s="340"/>
      <c r="P171" s="396"/>
      <c r="Q171" s="396"/>
    </row>
    <row r="172" ht="15.75" customHeight="1">
      <c r="E172" s="340"/>
      <c r="F172" s="340"/>
      <c r="G172" s="339"/>
      <c r="H172" s="339"/>
      <c r="L172" s="340"/>
      <c r="M172" s="340"/>
      <c r="N172" s="340"/>
      <c r="P172" s="396"/>
      <c r="Q172" s="396"/>
    </row>
    <row r="173" ht="15.75" customHeight="1">
      <c r="E173" s="340"/>
      <c r="F173" s="340"/>
      <c r="G173" s="339"/>
      <c r="H173" s="339"/>
      <c r="L173" s="340"/>
      <c r="M173" s="340"/>
      <c r="N173" s="340"/>
      <c r="P173" s="396"/>
      <c r="Q173" s="396"/>
    </row>
    <row r="174" ht="15.75" customHeight="1">
      <c r="E174" s="340"/>
      <c r="F174" s="340"/>
      <c r="G174" s="339"/>
      <c r="H174" s="339"/>
      <c r="L174" s="340"/>
      <c r="M174" s="340"/>
      <c r="N174" s="340"/>
      <c r="P174" s="396"/>
      <c r="Q174" s="396"/>
    </row>
    <row r="175" ht="15.75" customHeight="1">
      <c r="E175" s="340"/>
      <c r="F175" s="340"/>
      <c r="G175" s="339"/>
      <c r="H175" s="339"/>
      <c r="L175" s="340"/>
      <c r="M175" s="340"/>
      <c r="N175" s="340"/>
      <c r="P175" s="396"/>
      <c r="Q175" s="396"/>
    </row>
    <row r="176" ht="15.75" customHeight="1">
      <c r="E176" s="340"/>
      <c r="F176" s="340"/>
      <c r="G176" s="339"/>
      <c r="H176" s="339"/>
      <c r="L176" s="340"/>
      <c r="M176" s="340"/>
      <c r="N176" s="340"/>
      <c r="P176" s="396"/>
      <c r="Q176" s="396"/>
    </row>
    <row r="177" ht="15.75" customHeight="1">
      <c r="E177" s="340"/>
      <c r="F177" s="340"/>
      <c r="G177" s="339"/>
      <c r="H177" s="339"/>
      <c r="L177" s="340"/>
      <c r="M177" s="340"/>
      <c r="N177" s="340"/>
      <c r="P177" s="396"/>
      <c r="Q177" s="396"/>
    </row>
    <row r="178" ht="15.75" customHeight="1">
      <c r="E178" s="340"/>
      <c r="F178" s="340"/>
      <c r="G178" s="339"/>
      <c r="H178" s="339"/>
      <c r="L178" s="340"/>
      <c r="M178" s="340"/>
      <c r="N178" s="340"/>
      <c r="P178" s="396"/>
      <c r="Q178" s="396"/>
    </row>
    <row r="179" ht="15.75" customHeight="1">
      <c r="E179" s="340"/>
      <c r="F179" s="340"/>
      <c r="G179" s="339"/>
      <c r="H179" s="339"/>
      <c r="L179" s="340"/>
      <c r="M179" s="340"/>
      <c r="N179" s="340"/>
      <c r="P179" s="396"/>
      <c r="Q179" s="396"/>
    </row>
    <row r="180" ht="15.75" customHeight="1">
      <c r="E180" s="340"/>
      <c r="F180" s="340"/>
      <c r="G180" s="339"/>
      <c r="H180" s="339"/>
      <c r="L180" s="340"/>
      <c r="M180" s="340"/>
      <c r="N180" s="340"/>
      <c r="P180" s="396"/>
      <c r="Q180" s="396"/>
    </row>
    <row r="181" ht="15.75" customHeight="1">
      <c r="E181" s="340"/>
      <c r="F181" s="340"/>
      <c r="G181" s="339"/>
      <c r="H181" s="339"/>
      <c r="L181" s="340"/>
      <c r="M181" s="340"/>
      <c r="N181" s="340"/>
      <c r="P181" s="396"/>
      <c r="Q181" s="396"/>
    </row>
    <row r="182" ht="15.75" customHeight="1">
      <c r="E182" s="340"/>
      <c r="F182" s="340"/>
      <c r="G182" s="339"/>
      <c r="H182" s="339"/>
      <c r="L182" s="340"/>
      <c r="M182" s="340"/>
      <c r="N182" s="340"/>
      <c r="P182" s="396"/>
      <c r="Q182" s="396"/>
    </row>
    <row r="183" ht="15.75" customHeight="1">
      <c r="E183" s="340"/>
      <c r="F183" s="340"/>
      <c r="G183" s="339"/>
      <c r="H183" s="339"/>
      <c r="L183" s="340"/>
      <c r="M183" s="340"/>
      <c r="N183" s="340"/>
      <c r="P183" s="396"/>
      <c r="Q183" s="396"/>
    </row>
    <row r="184" ht="15.75" customHeight="1">
      <c r="E184" s="340"/>
      <c r="F184" s="340"/>
      <c r="G184" s="339"/>
      <c r="H184" s="339"/>
      <c r="L184" s="340"/>
      <c r="M184" s="340"/>
      <c r="N184" s="340"/>
      <c r="P184" s="396"/>
      <c r="Q184" s="396"/>
    </row>
    <row r="185" ht="15.75" customHeight="1">
      <c r="E185" s="340"/>
      <c r="F185" s="340"/>
      <c r="G185" s="339"/>
      <c r="H185" s="339"/>
      <c r="L185" s="340"/>
      <c r="M185" s="340"/>
      <c r="N185" s="340"/>
      <c r="P185" s="396"/>
      <c r="Q185" s="396"/>
    </row>
    <row r="186" ht="15.75" customHeight="1">
      <c r="E186" s="340"/>
      <c r="F186" s="340"/>
      <c r="G186" s="339"/>
      <c r="H186" s="339"/>
      <c r="L186" s="340"/>
      <c r="M186" s="340"/>
      <c r="N186" s="340"/>
      <c r="P186" s="396"/>
      <c r="Q186" s="396"/>
    </row>
    <row r="187" ht="15.75" customHeight="1">
      <c r="E187" s="340"/>
      <c r="F187" s="340"/>
      <c r="G187" s="339"/>
      <c r="H187" s="339"/>
      <c r="L187" s="340"/>
      <c r="M187" s="340"/>
      <c r="N187" s="340"/>
      <c r="P187" s="396"/>
      <c r="Q187" s="396"/>
    </row>
    <row r="188" ht="15.75" customHeight="1">
      <c r="E188" s="340"/>
      <c r="F188" s="340"/>
      <c r="G188" s="339"/>
      <c r="H188" s="339"/>
      <c r="L188" s="340"/>
      <c r="M188" s="340"/>
      <c r="N188" s="340"/>
      <c r="P188" s="396"/>
      <c r="Q188" s="396"/>
    </row>
    <row r="189" ht="15.75" customHeight="1">
      <c r="E189" s="340"/>
      <c r="F189" s="340"/>
      <c r="G189" s="339"/>
      <c r="H189" s="339"/>
      <c r="L189" s="340"/>
      <c r="M189" s="340"/>
      <c r="N189" s="340"/>
      <c r="P189" s="396"/>
      <c r="Q189" s="396"/>
    </row>
    <row r="190" ht="15.75" customHeight="1">
      <c r="E190" s="340"/>
      <c r="F190" s="340"/>
      <c r="G190" s="339"/>
      <c r="H190" s="339"/>
      <c r="L190" s="340"/>
      <c r="M190" s="340"/>
      <c r="N190" s="340"/>
      <c r="P190" s="396"/>
      <c r="Q190" s="396"/>
    </row>
    <row r="191" ht="15.75" customHeight="1">
      <c r="E191" s="340"/>
      <c r="F191" s="340"/>
      <c r="G191" s="339"/>
      <c r="H191" s="339"/>
      <c r="L191" s="340"/>
      <c r="M191" s="340"/>
      <c r="N191" s="340"/>
      <c r="P191" s="396"/>
      <c r="Q191" s="396"/>
    </row>
    <row r="192" ht="15.75" customHeight="1">
      <c r="E192" s="340"/>
      <c r="F192" s="340"/>
      <c r="G192" s="339"/>
      <c r="H192" s="339"/>
      <c r="L192" s="340"/>
      <c r="M192" s="340"/>
      <c r="N192" s="340"/>
      <c r="P192" s="396"/>
      <c r="Q192" s="396"/>
    </row>
    <row r="193" ht="15.75" customHeight="1">
      <c r="E193" s="340"/>
      <c r="F193" s="340"/>
      <c r="G193" s="339"/>
      <c r="H193" s="339"/>
      <c r="L193" s="340"/>
      <c r="M193" s="340"/>
      <c r="N193" s="340"/>
      <c r="P193" s="396"/>
      <c r="Q193" s="396"/>
    </row>
    <row r="194" ht="15.75" customHeight="1">
      <c r="E194" s="340"/>
      <c r="F194" s="340"/>
      <c r="G194" s="339"/>
      <c r="H194" s="339"/>
      <c r="L194" s="340"/>
      <c r="M194" s="340"/>
      <c r="N194" s="340"/>
      <c r="P194" s="396"/>
      <c r="Q194" s="396"/>
    </row>
    <row r="195" ht="15.75" customHeight="1">
      <c r="E195" s="340"/>
      <c r="F195" s="340"/>
      <c r="G195" s="339"/>
      <c r="H195" s="339"/>
      <c r="L195" s="340"/>
      <c r="M195" s="340"/>
      <c r="N195" s="340"/>
      <c r="P195" s="396"/>
      <c r="Q195" s="396"/>
    </row>
    <row r="196" ht="15.75" customHeight="1">
      <c r="E196" s="340"/>
      <c r="F196" s="340"/>
      <c r="G196" s="339"/>
      <c r="H196" s="339"/>
      <c r="L196" s="340"/>
      <c r="M196" s="340"/>
      <c r="N196" s="340"/>
      <c r="P196" s="396"/>
      <c r="Q196" s="396"/>
    </row>
    <row r="197" ht="15.75" customHeight="1">
      <c r="E197" s="340"/>
      <c r="F197" s="340"/>
      <c r="G197" s="339"/>
      <c r="H197" s="339"/>
      <c r="L197" s="340"/>
      <c r="M197" s="340"/>
      <c r="N197" s="340"/>
      <c r="P197" s="396"/>
      <c r="Q197" s="396"/>
    </row>
    <row r="198" ht="15.75" customHeight="1">
      <c r="E198" s="340"/>
      <c r="F198" s="340"/>
      <c r="G198" s="339"/>
      <c r="H198" s="339"/>
      <c r="L198" s="340"/>
      <c r="M198" s="340"/>
      <c r="N198" s="340"/>
      <c r="P198" s="396"/>
      <c r="Q198" s="396"/>
    </row>
    <row r="199" ht="15.75" customHeight="1">
      <c r="E199" s="340"/>
      <c r="F199" s="340"/>
      <c r="G199" s="339"/>
      <c r="H199" s="339"/>
      <c r="L199" s="340"/>
      <c r="M199" s="340"/>
      <c r="N199" s="340"/>
      <c r="P199" s="396"/>
      <c r="Q199" s="396"/>
    </row>
    <row r="200" ht="15.75" customHeight="1">
      <c r="E200" s="340"/>
      <c r="F200" s="340"/>
      <c r="G200" s="339"/>
      <c r="H200" s="339"/>
      <c r="L200" s="340"/>
      <c r="M200" s="340"/>
      <c r="N200" s="340"/>
      <c r="P200" s="396"/>
      <c r="Q200" s="396"/>
    </row>
    <row r="201" ht="15.75" customHeight="1">
      <c r="E201" s="340"/>
      <c r="F201" s="340"/>
      <c r="G201" s="339"/>
      <c r="H201" s="339"/>
      <c r="L201" s="340"/>
      <c r="M201" s="340"/>
      <c r="N201" s="340"/>
      <c r="P201" s="396"/>
      <c r="Q201" s="396"/>
    </row>
    <row r="202" ht="15.75" customHeight="1">
      <c r="E202" s="340"/>
      <c r="F202" s="340"/>
      <c r="G202" s="339"/>
      <c r="H202" s="339"/>
      <c r="L202" s="340"/>
      <c r="M202" s="340"/>
      <c r="N202" s="340"/>
      <c r="P202" s="396"/>
      <c r="Q202" s="396"/>
    </row>
    <row r="203" ht="15.75" customHeight="1">
      <c r="E203" s="340"/>
      <c r="F203" s="340"/>
      <c r="G203" s="339"/>
      <c r="H203" s="339"/>
      <c r="L203" s="340"/>
      <c r="M203" s="340"/>
      <c r="N203" s="340"/>
      <c r="P203" s="396"/>
      <c r="Q203" s="396"/>
    </row>
    <row r="204" ht="15.75" customHeight="1">
      <c r="E204" s="340"/>
      <c r="F204" s="340"/>
      <c r="G204" s="339"/>
      <c r="H204" s="339"/>
      <c r="L204" s="340"/>
      <c r="M204" s="340"/>
      <c r="N204" s="340"/>
      <c r="P204" s="396"/>
      <c r="Q204" s="396"/>
    </row>
    <row r="205" ht="15.75" customHeight="1">
      <c r="E205" s="340"/>
      <c r="F205" s="340"/>
      <c r="G205" s="339"/>
      <c r="H205" s="339"/>
      <c r="L205" s="340"/>
      <c r="M205" s="340"/>
      <c r="N205" s="340"/>
      <c r="P205" s="396"/>
      <c r="Q205" s="396"/>
    </row>
    <row r="206" ht="15.75" customHeight="1">
      <c r="E206" s="340"/>
      <c r="F206" s="340"/>
      <c r="G206" s="339"/>
      <c r="H206" s="339"/>
      <c r="L206" s="340"/>
      <c r="M206" s="340"/>
      <c r="N206" s="340"/>
      <c r="P206" s="396"/>
      <c r="Q206" s="396"/>
    </row>
    <row r="207" ht="15.75" customHeight="1">
      <c r="E207" s="340"/>
      <c r="F207" s="340"/>
      <c r="G207" s="339"/>
      <c r="H207" s="339"/>
      <c r="L207" s="340"/>
      <c r="M207" s="340"/>
      <c r="N207" s="340"/>
      <c r="P207" s="396"/>
      <c r="Q207" s="396"/>
    </row>
    <row r="208" ht="15.75" customHeight="1">
      <c r="E208" s="340"/>
      <c r="F208" s="340"/>
      <c r="G208" s="339"/>
      <c r="H208" s="339"/>
      <c r="L208" s="340"/>
      <c r="M208" s="340"/>
      <c r="N208" s="340"/>
      <c r="P208" s="396"/>
      <c r="Q208" s="396"/>
    </row>
    <row r="209" ht="15.75" customHeight="1">
      <c r="E209" s="340"/>
      <c r="F209" s="340"/>
      <c r="G209" s="339"/>
      <c r="H209" s="339"/>
      <c r="L209" s="340"/>
      <c r="M209" s="340"/>
      <c r="N209" s="340"/>
      <c r="P209" s="396"/>
      <c r="Q209" s="396"/>
    </row>
    <row r="210" ht="15.75" customHeight="1">
      <c r="E210" s="340"/>
      <c r="F210" s="340"/>
      <c r="G210" s="339"/>
      <c r="H210" s="339"/>
      <c r="L210" s="340"/>
      <c r="M210" s="340"/>
      <c r="N210" s="340"/>
      <c r="P210" s="396"/>
      <c r="Q210" s="396"/>
    </row>
    <row r="211" ht="15.75" customHeight="1">
      <c r="E211" s="340"/>
      <c r="F211" s="340"/>
      <c r="G211" s="339"/>
      <c r="H211" s="339"/>
      <c r="L211" s="340"/>
      <c r="M211" s="340"/>
      <c r="N211" s="340"/>
      <c r="P211" s="396"/>
      <c r="Q211" s="396"/>
    </row>
    <row r="212" ht="15.75" customHeight="1">
      <c r="E212" s="340"/>
      <c r="F212" s="340"/>
      <c r="G212" s="339"/>
      <c r="H212" s="339"/>
      <c r="L212" s="340"/>
      <c r="M212" s="340"/>
      <c r="N212" s="340"/>
      <c r="P212" s="396"/>
      <c r="Q212" s="396"/>
    </row>
    <row r="213" ht="15.75" customHeight="1">
      <c r="E213" s="340"/>
      <c r="F213" s="340"/>
      <c r="G213" s="339"/>
      <c r="H213" s="339"/>
      <c r="L213" s="340"/>
      <c r="M213" s="340"/>
      <c r="N213" s="340"/>
      <c r="P213" s="396"/>
      <c r="Q213" s="396"/>
    </row>
    <row r="214" ht="15.75" customHeight="1">
      <c r="E214" s="340"/>
      <c r="F214" s="340"/>
      <c r="G214" s="339"/>
      <c r="H214" s="339"/>
      <c r="L214" s="340"/>
      <c r="M214" s="340"/>
      <c r="N214" s="340"/>
      <c r="P214" s="396"/>
      <c r="Q214" s="396"/>
    </row>
    <row r="215" ht="15.75" customHeight="1">
      <c r="E215" s="340"/>
      <c r="F215" s="340"/>
      <c r="G215" s="339"/>
      <c r="H215" s="339"/>
      <c r="L215" s="340"/>
      <c r="M215" s="340"/>
      <c r="N215" s="340"/>
      <c r="P215" s="396"/>
      <c r="Q215" s="396"/>
    </row>
    <row r="216" ht="15.75" customHeight="1">
      <c r="E216" s="340"/>
      <c r="F216" s="340"/>
      <c r="G216" s="339"/>
      <c r="H216" s="339"/>
      <c r="L216" s="340"/>
      <c r="M216" s="340"/>
      <c r="N216" s="340"/>
      <c r="P216" s="396"/>
      <c r="Q216" s="396"/>
    </row>
    <row r="217" ht="15.75" customHeight="1">
      <c r="E217" s="340"/>
      <c r="F217" s="340"/>
      <c r="G217" s="339"/>
      <c r="H217" s="339"/>
      <c r="L217" s="340"/>
      <c r="M217" s="340"/>
      <c r="N217" s="340"/>
      <c r="P217" s="396"/>
      <c r="Q217" s="396"/>
    </row>
    <row r="218" ht="15.75" customHeight="1">
      <c r="E218" s="340"/>
      <c r="F218" s="340"/>
      <c r="G218" s="339"/>
      <c r="H218" s="339"/>
      <c r="L218" s="340"/>
      <c r="M218" s="340"/>
      <c r="N218" s="340"/>
      <c r="P218" s="396"/>
      <c r="Q218" s="396"/>
    </row>
    <row r="219" ht="15.75" customHeight="1">
      <c r="E219" s="340"/>
      <c r="F219" s="340"/>
      <c r="G219" s="339"/>
      <c r="H219" s="339"/>
      <c r="L219" s="340"/>
      <c r="M219" s="340"/>
      <c r="N219" s="340"/>
      <c r="P219" s="396"/>
      <c r="Q219" s="396"/>
    </row>
    <row r="220" ht="15.75" customHeight="1">
      <c r="E220" s="340"/>
      <c r="F220" s="340"/>
      <c r="G220" s="339"/>
      <c r="H220" s="339"/>
      <c r="L220" s="340"/>
      <c r="M220" s="340"/>
      <c r="N220" s="340"/>
      <c r="P220" s="396"/>
      <c r="Q220" s="396"/>
    </row>
    <row r="221" ht="15.75" customHeight="1">
      <c r="E221" s="340"/>
      <c r="F221" s="340"/>
      <c r="G221" s="339"/>
      <c r="H221" s="339"/>
      <c r="L221" s="340"/>
      <c r="M221" s="340"/>
      <c r="N221" s="340"/>
      <c r="P221" s="396"/>
      <c r="Q221" s="396"/>
    </row>
    <row r="222" ht="15.75" customHeight="1">
      <c r="E222" s="340"/>
      <c r="F222" s="340"/>
      <c r="G222" s="339"/>
      <c r="H222" s="339"/>
      <c r="L222" s="340"/>
      <c r="M222" s="340"/>
      <c r="N222" s="340"/>
      <c r="P222" s="396"/>
      <c r="Q222" s="396"/>
    </row>
    <row r="223" ht="15.75" customHeight="1">
      <c r="E223" s="340"/>
      <c r="F223" s="340"/>
      <c r="G223" s="339"/>
      <c r="H223" s="339"/>
      <c r="L223" s="340"/>
      <c r="M223" s="340"/>
      <c r="N223" s="340"/>
      <c r="P223" s="396"/>
      <c r="Q223" s="396"/>
    </row>
    <row r="224" ht="15.75" customHeight="1">
      <c r="E224" s="340"/>
      <c r="F224" s="340"/>
      <c r="G224" s="339"/>
      <c r="H224" s="339"/>
      <c r="L224" s="340"/>
      <c r="M224" s="340"/>
      <c r="N224" s="340"/>
      <c r="P224" s="396"/>
      <c r="Q224" s="396"/>
    </row>
    <row r="225" ht="15.75" customHeight="1">
      <c r="E225" s="340"/>
      <c r="F225" s="340"/>
      <c r="G225" s="339"/>
      <c r="H225" s="339"/>
      <c r="L225" s="340"/>
      <c r="M225" s="340"/>
      <c r="N225" s="340"/>
      <c r="P225" s="396"/>
      <c r="Q225" s="396"/>
    </row>
    <row r="226" ht="15.75" customHeight="1">
      <c r="E226" s="340"/>
      <c r="F226" s="340"/>
      <c r="G226" s="339"/>
      <c r="H226" s="339"/>
      <c r="L226" s="340"/>
      <c r="M226" s="340"/>
      <c r="N226" s="340"/>
      <c r="P226" s="396"/>
      <c r="Q226" s="396"/>
    </row>
    <row r="227" ht="15.75" customHeight="1">
      <c r="E227" s="340"/>
      <c r="F227" s="340"/>
      <c r="G227" s="339"/>
      <c r="H227" s="339"/>
      <c r="L227" s="340"/>
      <c r="M227" s="340"/>
      <c r="N227" s="340"/>
      <c r="P227" s="396"/>
      <c r="Q227" s="396"/>
    </row>
    <row r="228" ht="15.75" customHeight="1">
      <c r="E228" s="340"/>
      <c r="F228" s="340"/>
      <c r="G228" s="339"/>
      <c r="H228" s="339"/>
      <c r="L228" s="340"/>
      <c r="M228" s="340"/>
      <c r="N228" s="340"/>
      <c r="P228" s="396"/>
      <c r="Q228" s="396"/>
    </row>
    <row r="229" ht="15.75" customHeight="1">
      <c r="E229" s="340"/>
      <c r="F229" s="340"/>
      <c r="G229" s="339"/>
      <c r="H229" s="339"/>
      <c r="L229" s="340"/>
      <c r="M229" s="340"/>
      <c r="N229" s="340"/>
      <c r="P229" s="396"/>
      <c r="Q229" s="396"/>
    </row>
    <row r="230" ht="15.75" customHeight="1">
      <c r="E230" s="340"/>
      <c r="F230" s="340"/>
      <c r="G230" s="339"/>
      <c r="H230" s="339"/>
      <c r="L230" s="340"/>
      <c r="M230" s="340"/>
      <c r="N230" s="340"/>
      <c r="P230" s="396"/>
      <c r="Q230" s="396"/>
    </row>
    <row r="231" ht="15.75" customHeight="1">
      <c r="E231" s="340"/>
      <c r="F231" s="340"/>
      <c r="G231" s="339"/>
      <c r="H231" s="339"/>
      <c r="L231" s="340"/>
      <c r="M231" s="340"/>
      <c r="N231" s="340"/>
      <c r="P231" s="396"/>
      <c r="Q231" s="396"/>
    </row>
    <row r="232" ht="15.75" customHeight="1">
      <c r="E232" s="340"/>
      <c r="F232" s="340"/>
      <c r="G232" s="339"/>
      <c r="H232" s="339"/>
      <c r="L232" s="340"/>
      <c r="M232" s="340"/>
      <c r="N232" s="340"/>
      <c r="P232" s="396"/>
      <c r="Q232" s="396"/>
    </row>
    <row r="233" ht="15.75" customHeight="1">
      <c r="E233" s="340"/>
      <c r="F233" s="340"/>
      <c r="G233" s="339"/>
      <c r="H233" s="339"/>
      <c r="L233" s="340"/>
      <c r="M233" s="340"/>
      <c r="N233" s="340"/>
      <c r="P233" s="396"/>
      <c r="Q233" s="396"/>
    </row>
    <row r="234" ht="15.75" customHeight="1">
      <c r="E234" s="340"/>
      <c r="F234" s="340"/>
      <c r="G234" s="339"/>
      <c r="H234" s="339"/>
      <c r="L234" s="340"/>
      <c r="M234" s="340"/>
      <c r="N234" s="340"/>
      <c r="P234" s="396"/>
      <c r="Q234" s="396"/>
    </row>
    <row r="235" ht="15.75" customHeight="1">
      <c r="E235" s="340"/>
      <c r="F235" s="340"/>
      <c r="G235" s="339"/>
      <c r="H235" s="339"/>
      <c r="L235" s="340"/>
      <c r="M235" s="340"/>
      <c r="N235" s="340"/>
      <c r="P235" s="396"/>
      <c r="Q235" s="396"/>
    </row>
    <row r="236" ht="15.75" customHeight="1">
      <c r="E236" s="340"/>
      <c r="F236" s="340"/>
      <c r="G236" s="339"/>
      <c r="H236" s="339"/>
      <c r="L236" s="340"/>
      <c r="M236" s="340"/>
      <c r="N236" s="340"/>
      <c r="P236" s="396"/>
      <c r="Q236" s="396"/>
    </row>
    <row r="237" ht="15.75" customHeight="1">
      <c r="E237" s="340"/>
      <c r="F237" s="340"/>
      <c r="G237" s="339"/>
      <c r="H237" s="339"/>
      <c r="L237" s="340"/>
      <c r="M237" s="340"/>
      <c r="N237" s="340"/>
      <c r="P237" s="396"/>
      <c r="Q237" s="396"/>
    </row>
    <row r="238" ht="15.75" customHeight="1">
      <c r="E238" s="340"/>
      <c r="F238" s="340"/>
      <c r="G238" s="339"/>
      <c r="H238" s="339"/>
      <c r="L238" s="340"/>
      <c r="M238" s="340"/>
      <c r="N238" s="340"/>
      <c r="P238" s="396"/>
      <c r="Q238" s="396"/>
    </row>
    <row r="239" ht="15.75" customHeight="1">
      <c r="E239" s="340"/>
      <c r="F239" s="340"/>
      <c r="G239" s="339"/>
      <c r="H239" s="339"/>
      <c r="L239" s="340"/>
      <c r="M239" s="340"/>
      <c r="N239" s="340"/>
      <c r="P239" s="396"/>
      <c r="Q239" s="396"/>
    </row>
    <row r="240" ht="15.75" customHeight="1">
      <c r="E240" s="340"/>
      <c r="F240" s="340"/>
      <c r="G240" s="339"/>
      <c r="H240" s="339"/>
      <c r="L240" s="340"/>
      <c r="M240" s="340"/>
      <c r="N240" s="340"/>
      <c r="P240" s="396"/>
      <c r="Q240" s="396"/>
    </row>
    <row r="241" ht="15.75" customHeight="1">
      <c r="E241" s="340"/>
      <c r="F241" s="340"/>
      <c r="G241" s="339"/>
      <c r="H241" s="339"/>
      <c r="L241" s="340"/>
      <c r="M241" s="340"/>
      <c r="N241" s="340"/>
      <c r="P241" s="396"/>
      <c r="Q241" s="396"/>
    </row>
    <row r="242" ht="15.75" customHeight="1">
      <c r="E242" s="340"/>
      <c r="F242" s="340"/>
      <c r="G242" s="339"/>
      <c r="H242" s="339"/>
      <c r="L242" s="340"/>
      <c r="M242" s="340"/>
      <c r="N242" s="340"/>
      <c r="P242" s="396"/>
      <c r="Q242" s="396"/>
    </row>
    <row r="243" ht="15.75" customHeight="1">
      <c r="E243" s="340"/>
      <c r="F243" s="340"/>
      <c r="G243" s="339"/>
      <c r="H243" s="339"/>
      <c r="L243" s="340"/>
      <c r="M243" s="340"/>
      <c r="N243" s="340"/>
      <c r="P243" s="396"/>
      <c r="Q243" s="396"/>
    </row>
    <row r="244" ht="15.75" customHeight="1">
      <c r="E244" s="340"/>
      <c r="F244" s="340"/>
      <c r="G244" s="339"/>
      <c r="H244" s="339"/>
      <c r="L244" s="340"/>
      <c r="M244" s="340"/>
      <c r="N244" s="340"/>
      <c r="P244" s="396"/>
      <c r="Q244" s="396"/>
    </row>
    <row r="245" ht="15.75" customHeight="1">
      <c r="E245" s="340"/>
      <c r="F245" s="340"/>
      <c r="G245" s="339"/>
      <c r="H245" s="339"/>
      <c r="L245" s="340"/>
      <c r="M245" s="340"/>
      <c r="N245" s="340"/>
      <c r="P245" s="396"/>
      <c r="Q245" s="396"/>
    </row>
    <row r="246" ht="15.75" customHeight="1">
      <c r="E246" s="340"/>
      <c r="F246" s="340"/>
      <c r="G246" s="339"/>
      <c r="H246" s="339"/>
      <c r="L246" s="340"/>
      <c r="M246" s="340"/>
      <c r="N246" s="340"/>
      <c r="P246" s="396"/>
      <c r="Q246" s="396"/>
    </row>
    <row r="247" ht="15.75" customHeight="1">
      <c r="E247" s="340"/>
      <c r="F247" s="340"/>
      <c r="G247" s="339"/>
      <c r="H247" s="339"/>
      <c r="L247" s="340"/>
      <c r="M247" s="340"/>
      <c r="N247" s="340"/>
      <c r="P247" s="396"/>
      <c r="Q247" s="396"/>
    </row>
    <row r="248" ht="15.75" customHeight="1">
      <c r="E248" s="340"/>
      <c r="F248" s="340"/>
      <c r="G248" s="339"/>
      <c r="H248" s="339"/>
      <c r="L248" s="340"/>
      <c r="M248" s="340"/>
      <c r="N248" s="340"/>
      <c r="P248" s="396"/>
      <c r="Q248" s="396"/>
    </row>
    <row r="249" ht="15.75" customHeight="1">
      <c r="E249" s="340"/>
      <c r="F249" s="340"/>
      <c r="G249" s="339"/>
      <c r="H249" s="339"/>
      <c r="L249" s="340"/>
      <c r="M249" s="340"/>
      <c r="N249" s="340"/>
      <c r="P249" s="396"/>
      <c r="Q249" s="396"/>
    </row>
    <row r="250" ht="15.75" customHeight="1">
      <c r="E250" s="340"/>
      <c r="F250" s="340"/>
      <c r="G250" s="339"/>
      <c r="H250" s="339"/>
      <c r="L250" s="340"/>
      <c r="M250" s="340"/>
      <c r="N250" s="340"/>
      <c r="P250" s="396"/>
      <c r="Q250" s="396"/>
    </row>
    <row r="251" ht="15.75" customHeight="1">
      <c r="E251" s="340"/>
      <c r="F251" s="340"/>
      <c r="G251" s="339"/>
      <c r="H251" s="339"/>
      <c r="L251" s="340"/>
      <c r="M251" s="340"/>
      <c r="N251" s="340"/>
      <c r="P251" s="396"/>
      <c r="Q251" s="396"/>
    </row>
    <row r="252" ht="15.75" customHeight="1">
      <c r="E252" s="340"/>
      <c r="F252" s="340"/>
      <c r="G252" s="339"/>
      <c r="H252" s="339"/>
      <c r="L252" s="340"/>
      <c r="M252" s="340"/>
      <c r="N252" s="340"/>
      <c r="P252" s="396"/>
      <c r="Q252" s="396"/>
    </row>
    <row r="253" ht="15.75" customHeight="1">
      <c r="E253" s="340"/>
      <c r="F253" s="340"/>
      <c r="G253" s="339"/>
      <c r="H253" s="339"/>
      <c r="L253" s="340"/>
      <c r="M253" s="340"/>
      <c r="N253" s="340"/>
      <c r="P253" s="396"/>
      <c r="Q253" s="396"/>
    </row>
    <row r="254" ht="15.75" customHeight="1">
      <c r="E254" s="340"/>
      <c r="F254" s="340"/>
      <c r="G254" s="339"/>
      <c r="H254" s="339"/>
      <c r="L254" s="340"/>
      <c r="M254" s="340"/>
      <c r="N254" s="340"/>
      <c r="P254" s="396"/>
      <c r="Q254" s="396"/>
    </row>
    <row r="255" ht="15.75" customHeight="1">
      <c r="E255" s="340"/>
      <c r="F255" s="340"/>
      <c r="G255" s="339"/>
      <c r="H255" s="339"/>
      <c r="L255" s="340"/>
      <c r="M255" s="340"/>
      <c r="N255" s="340"/>
      <c r="P255" s="396"/>
      <c r="Q255" s="396"/>
    </row>
    <row r="256" ht="15.75" customHeight="1">
      <c r="E256" s="340"/>
      <c r="F256" s="340"/>
      <c r="G256" s="339"/>
      <c r="H256" s="339"/>
      <c r="L256" s="340"/>
      <c r="M256" s="340"/>
      <c r="N256" s="340"/>
      <c r="P256" s="396"/>
      <c r="Q256" s="396"/>
    </row>
    <row r="257" ht="15.75" customHeight="1">
      <c r="E257" s="340"/>
      <c r="F257" s="340"/>
      <c r="G257" s="339"/>
      <c r="H257" s="339"/>
      <c r="L257" s="340"/>
      <c r="M257" s="340"/>
      <c r="N257" s="340"/>
      <c r="P257" s="396"/>
      <c r="Q257" s="396"/>
    </row>
    <row r="258" ht="15.75" customHeight="1">
      <c r="E258" s="340"/>
      <c r="F258" s="340"/>
      <c r="G258" s="339"/>
      <c r="H258" s="339"/>
      <c r="L258" s="340"/>
      <c r="M258" s="340"/>
      <c r="N258" s="340"/>
      <c r="P258" s="396"/>
      <c r="Q258" s="396"/>
    </row>
    <row r="259" ht="15.75" customHeight="1">
      <c r="E259" s="340"/>
      <c r="F259" s="340"/>
      <c r="G259" s="339"/>
      <c r="H259" s="339"/>
      <c r="L259" s="340"/>
      <c r="M259" s="340"/>
      <c r="N259" s="340"/>
      <c r="P259" s="396"/>
      <c r="Q259" s="396"/>
    </row>
    <row r="260" ht="15.75" customHeight="1">
      <c r="E260" s="340"/>
      <c r="F260" s="340"/>
      <c r="G260" s="339"/>
      <c r="H260" s="339"/>
      <c r="L260" s="340"/>
      <c r="M260" s="340"/>
      <c r="N260" s="340"/>
      <c r="P260" s="396"/>
      <c r="Q260" s="396"/>
    </row>
    <row r="261" ht="15.75" customHeight="1">
      <c r="E261" s="340"/>
      <c r="F261" s="340"/>
      <c r="G261" s="339"/>
      <c r="H261" s="339"/>
      <c r="L261" s="340"/>
      <c r="M261" s="340"/>
      <c r="N261" s="340"/>
      <c r="P261" s="396"/>
      <c r="Q261" s="396"/>
    </row>
    <row r="262" ht="15.75" customHeight="1">
      <c r="E262" s="340"/>
      <c r="F262" s="340"/>
      <c r="G262" s="339"/>
      <c r="H262" s="339"/>
      <c r="L262" s="340"/>
      <c r="M262" s="340"/>
      <c r="N262" s="340"/>
      <c r="P262" s="396"/>
      <c r="Q262" s="396"/>
    </row>
    <row r="263" ht="15.75" customHeight="1">
      <c r="E263" s="340"/>
      <c r="F263" s="340"/>
      <c r="G263" s="339"/>
      <c r="H263" s="339"/>
      <c r="L263" s="340"/>
      <c r="M263" s="340"/>
      <c r="N263" s="340"/>
      <c r="P263" s="396"/>
      <c r="Q263" s="396"/>
    </row>
    <row r="264" ht="15.75" customHeight="1">
      <c r="E264" s="340"/>
      <c r="F264" s="340"/>
      <c r="G264" s="339"/>
      <c r="H264" s="339"/>
      <c r="L264" s="340"/>
      <c r="M264" s="340"/>
      <c r="N264" s="340"/>
      <c r="P264" s="396"/>
      <c r="Q264" s="396"/>
    </row>
    <row r="265" ht="15.75" customHeight="1">
      <c r="E265" s="340"/>
      <c r="F265" s="340"/>
      <c r="G265" s="339"/>
      <c r="H265" s="339"/>
      <c r="L265" s="340"/>
      <c r="M265" s="340"/>
      <c r="N265" s="340"/>
      <c r="P265" s="396"/>
      <c r="Q265" s="396"/>
    </row>
    <row r="266" ht="15.75" customHeight="1">
      <c r="E266" s="340"/>
      <c r="F266" s="340"/>
      <c r="G266" s="339"/>
      <c r="H266" s="339"/>
      <c r="L266" s="340"/>
      <c r="M266" s="340"/>
      <c r="N266" s="340"/>
      <c r="P266" s="396"/>
      <c r="Q266" s="396"/>
    </row>
    <row r="267" ht="15.75" customHeight="1">
      <c r="E267" s="340"/>
      <c r="F267" s="340"/>
      <c r="G267" s="339"/>
      <c r="H267" s="339"/>
      <c r="L267" s="340"/>
      <c r="M267" s="340"/>
      <c r="N267" s="340"/>
      <c r="P267" s="396"/>
      <c r="Q267" s="396"/>
    </row>
    <row r="268" ht="15.75" customHeight="1">
      <c r="E268" s="340"/>
      <c r="F268" s="340"/>
      <c r="G268" s="339"/>
      <c r="H268" s="339"/>
      <c r="L268" s="340"/>
      <c r="M268" s="340"/>
      <c r="N268" s="340"/>
      <c r="P268" s="396"/>
      <c r="Q268" s="396"/>
    </row>
    <row r="269" ht="15.75" customHeight="1">
      <c r="E269" s="340"/>
      <c r="F269" s="340"/>
      <c r="G269" s="339"/>
      <c r="H269" s="339"/>
      <c r="L269" s="340"/>
      <c r="M269" s="340"/>
      <c r="N269" s="340"/>
      <c r="P269" s="396"/>
      <c r="Q269" s="396"/>
    </row>
    <row r="270" ht="15.75" customHeight="1">
      <c r="E270" s="340"/>
      <c r="F270" s="340"/>
      <c r="G270" s="339"/>
      <c r="H270" s="339"/>
      <c r="L270" s="340"/>
      <c r="M270" s="340"/>
      <c r="N270" s="340"/>
      <c r="P270" s="396"/>
      <c r="Q270" s="396"/>
    </row>
    <row r="271" ht="15.75" customHeight="1">
      <c r="E271" s="340"/>
      <c r="F271" s="340"/>
      <c r="G271" s="339"/>
      <c r="H271" s="339"/>
      <c r="L271" s="340"/>
      <c r="M271" s="340"/>
      <c r="N271" s="340"/>
      <c r="P271" s="396"/>
      <c r="Q271" s="396"/>
    </row>
    <row r="272" ht="15.75" customHeight="1">
      <c r="E272" s="340"/>
      <c r="F272" s="340"/>
      <c r="G272" s="339"/>
      <c r="H272" s="339"/>
      <c r="L272" s="340"/>
      <c r="M272" s="340"/>
      <c r="N272" s="340"/>
      <c r="P272" s="396"/>
      <c r="Q272" s="396"/>
    </row>
    <row r="273" ht="15.75" customHeight="1">
      <c r="E273" s="340"/>
      <c r="F273" s="340"/>
      <c r="G273" s="339"/>
      <c r="H273" s="339"/>
      <c r="L273" s="340"/>
      <c r="M273" s="340"/>
      <c r="N273" s="340"/>
      <c r="P273" s="396"/>
      <c r="Q273" s="396"/>
    </row>
    <row r="274" ht="15.75" customHeight="1">
      <c r="E274" s="340"/>
      <c r="F274" s="340"/>
      <c r="G274" s="339"/>
      <c r="H274" s="339"/>
      <c r="L274" s="340"/>
      <c r="M274" s="340"/>
      <c r="N274" s="340"/>
      <c r="P274" s="396"/>
      <c r="Q274" s="396"/>
    </row>
    <row r="275" ht="15.75" customHeight="1">
      <c r="E275" s="340"/>
      <c r="F275" s="340"/>
      <c r="G275" s="339"/>
      <c r="H275" s="339"/>
      <c r="L275" s="340"/>
      <c r="M275" s="340"/>
      <c r="N275" s="340"/>
      <c r="P275" s="396"/>
      <c r="Q275" s="396"/>
    </row>
    <row r="276" ht="15.75" customHeight="1">
      <c r="E276" s="340"/>
      <c r="F276" s="340"/>
      <c r="G276" s="339"/>
      <c r="H276" s="339"/>
      <c r="L276" s="340"/>
      <c r="M276" s="340"/>
      <c r="N276" s="340"/>
      <c r="P276" s="396"/>
      <c r="Q276" s="396"/>
    </row>
    <row r="277" ht="15.75" customHeight="1">
      <c r="E277" s="340"/>
      <c r="F277" s="340"/>
      <c r="G277" s="339"/>
      <c r="H277" s="339"/>
      <c r="L277" s="340"/>
      <c r="M277" s="340"/>
      <c r="N277" s="340"/>
      <c r="P277" s="396"/>
      <c r="Q277" s="396"/>
    </row>
    <row r="278" ht="15.75" customHeight="1">
      <c r="E278" s="340"/>
      <c r="F278" s="340"/>
      <c r="G278" s="339"/>
      <c r="H278" s="339"/>
      <c r="L278" s="340"/>
      <c r="M278" s="340"/>
      <c r="N278" s="340"/>
      <c r="P278" s="396"/>
      <c r="Q278" s="396"/>
    </row>
    <row r="279" ht="15.75" customHeight="1">
      <c r="E279" s="340"/>
      <c r="F279" s="340"/>
      <c r="G279" s="339"/>
      <c r="H279" s="339"/>
      <c r="L279" s="340"/>
      <c r="M279" s="340"/>
      <c r="N279" s="340"/>
      <c r="P279" s="396"/>
      <c r="Q279" s="396"/>
    </row>
    <row r="280" ht="15.75" customHeight="1">
      <c r="E280" s="340"/>
      <c r="F280" s="340"/>
      <c r="G280" s="339"/>
      <c r="H280" s="339"/>
      <c r="L280" s="340"/>
      <c r="M280" s="340"/>
      <c r="N280" s="340"/>
      <c r="P280" s="396"/>
      <c r="Q280" s="396"/>
    </row>
    <row r="281" ht="15.75" customHeight="1">
      <c r="E281" s="340"/>
      <c r="F281" s="340"/>
      <c r="G281" s="339"/>
      <c r="H281" s="339"/>
      <c r="L281" s="340"/>
      <c r="M281" s="340"/>
      <c r="N281" s="340"/>
      <c r="P281" s="396"/>
      <c r="Q281" s="396"/>
    </row>
    <row r="282" ht="15.75" customHeight="1">
      <c r="E282" s="340"/>
      <c r="F282" s="340"/>
      <c r="G282" s="339"/>
      <c r="H282" s="339"/>
      <c r="L282" s="340"/>
      <c r="M282" s="340"/>
      <c r="N282" s="340"/>
      <c r="P282" s="396"/>
      <c r="Q282" s="396"/>
    </row>
    <row r="283" ht="15.75" customHeight="1">
      <c r="E283" s="340"/>
      <c r="F283" s="340"/>
      <c r="G283" s="339"/>
      <c r="H283" s="339"/>
      <c r="L283" s="340"/>
      <c r="M283" s="340"/>
      <c r="N283" s="340"/>
      <c r="P283" s="396"/>
      <c r="Q283" s="396"/>
    </row>
    <row r="284" ht="15.75" customHeight="1">
      <c r="E284" s="340"/>
      <c r="F284" s="340"/>
      <c r="G284" s="339"/>
      <c r="H284" s="339"/>
      <c r="L284" s="340"/>
      <c r="M284" s="340"/>
      <c r="N284" s="340"/>
      <c r="P284" s="396"/>
      <c r="Q284" s="396"/>
    </row>
    <row r="285" ht="15.75" customHeight="1">
      <c r="E285" s="340"/>
      <c r="F285" s="340"/>
      <c r="G285" s="339"/>
      <c r="H285" s="339"/>
      <c r="L285" s="340"/>
      <c r="M285" s="340"/>
      <c r="N285" s="340"/>
      <c r="P285" s="396"/>
      <c r="Q285" s="396"/>
    </row>
    <row r="286" ht="15.75" customHeight="1">
      <c r="E286" s="340"/>
      <c r="F286" s="340"/>
      <c r="G286" s="339"/>
      <c r="H286" s="339"/>
      <c r="L286" s="340"/>
      <c r="M286" s="340"/>
      <c r="N286" s="340"/>
      <c r="P286" s="396"/>
      <c r="Q286" s="396"/>
    </row>
    <row r="287" ht="15.75" customHeight="1">
      <c r="E287" s="340"/>
      <c r="F287" s="340"/>
      <c r="G287" s="339"/>
      <c r="H287" s="339"/>
      <c r="L287" s="340"/>
      <c r="M287" s="340"/>
      <c r="N287" s="340"/>
      <c r="P287" s="396"/>
      <c r="Q287" s="396"/>
    </row>
    <row r="288" ht="15.75" customHeight="1">
      <c r="E288" s="340"/>
      <c r="F288" s="340"/>
      <c r="G288" s="339"/>
      <c r="H288" s="339"/>
      <c r="L288" s="340"/>
      <c r="M288" s="340"/>
      <c r="N288" s="340"/>
      <c r="P288" s="396"/>
      <c r="Q288" s="396"/>
    </row>
    <row r="289" ht="15.75" customHeight="1">
      <c r="E289" s="340"/>
      <c r="F289" s="340"/>
      <c r="G289" s="339"/>
      <c r="H289" s="339"/>
      <c r="L289" s="340"/>
      <c r="M289" s="340"/>
      <c r="N289" s="340"/>
      <c r="P289" s="396"/>
      <c r="Q289" s="396"/>
    </row>
    <row r="290" ht="15.75" customHeight="1">
      <c r="E290" s="340"/>
      <c r="F290" s="340"/>
      <c r="G290" s="339"/>
      <c r="H290" s="339"/>
      <c r="L290" s="340"/>
      <c r="M290" s="340"/>
      <c r="N290" s="340"/>
      <c r="P290" s="396"/>
      <c r="Q290" s="396"/>
    </row>
    <row r="291" ht="15.75" customHeight="1">
      <c r="E291" s="340"/>
      <c r="F291" s="340"/>
      <c r="G291" s="339"/>
      <c r="H291" s="339"/>
      <c r="L291" s="340"/>
      <c r="M291" s="340"/>
      <c r="N291" s="340"/>
      <c r="P291" s="396"/>
      <c r="Q291" s="396"/>
    </row>
    <row r="292" ht="15.75" customHeight="1">
      <c r="E292" s="340"/>
      <c r="F292" s="340"/>
      <c r="G292" s="339"/>
      <c r="H292" s="339"/>
      <c r="L292" s="340"/>
      <c r="M292" s="340"/>
      <c r="N292" s="340"/>
      <c r="P292" s="396"/>
      <c r="Q292" s="396"/>
    </row>
    <row r="293" ht="15.75" customHeight="1">
      <c r="E293" s="340"/>
      <c r="F293" s="340"/>
      <c r="G293" s="339"/>
      <c r="H293" s="339"/>
      <c r="L293" s="340"/>
      <c r="M293" s="340"/>
      <c r="N293" s="340"/>
      <c r="P293" s="396"/>
      <c r="Q293" s="396"/>
    </row>
    <row r="294" ht="15.75" customHeight="1">
      <c r="E294" s="340"/>
      <c r="F294" s="340"/>
      <c r="G294" s="339"/>
      <c r="H294" s="339"/>
      <c r="L294" s="340"/>
      <c r="M294" s="340"/>
      <c r="N294" s="340"/>
      <c r="P294" s="396"/>
      <c r="Q294" s="396"/>
    </row>
    <row r="295" ht="15.75" customHeight="1">
      <c r="E295" s="340"/>
      <c r="F295" s="340"/>
      <c r="G295" s="339"/>
      <c r="H295" s="339"/>
      <c r="L295" s="340"/>
      <c r="M295" s="340"/>
      <c r="N295" s="340"/>
      <c r="P295" s="396"/>
      <c r="Q295" s="396"/>
    </row>
    <row r="296" ht="15.75" customHeight="1">
      <c r="E296" s="340"/>
      <c r="F296" s="340"/>
      <c r="G296" s="339"/>
      <c r="H296" s="339"/>
      <c r="L296" s="340"/>
      <c r="M296" s="340"/>
      <c r="N296" s="340"/>
      <c r="P296" s="396"/>
      <c r="Q296" s="396"/>
    </row>
    <row r="297" ht="15.75" customHeight="1">
      <c r="E297" s="340"/>
      <c r="F297" s="340"/>
      <c r="G297" s="339"/>
      <c r="H297" s="339"/>
      <c r="L297" s="340"/>
      <c r="M297" s="340"/>
      <c r="N297" s="340"/>
      <c r="P297" s="396"/>
      <c r="Q297" s="396"/>
    </row>
    <row r="298" ht="15.75" customHeight="1">
      <c r="E298" s="340"/>
      <c r="F298" s="340"/>
      <c r="G298" s="339"/>
      <c r="H298" s="339"/>
      <c r="L298" s="340"/>
      <c r="M298" s="340"/>
      <c r="N298" s="340"/>
      <c r="P298" s="396"/>
      <c r="Q298" s="396"/>
    </row>
    <row r="299" ht="15.75" customHeight="1">
      <c r="E299" s="340"/>
      <c r="F299" s="340"/>
      <c r="G299" s="339"/>
      <c r="H299" s="339"/>
      <c r="L299" s="340"/>
      <c r="M299" s="340"/>
      <c r="N299" s="340"/>
      <c r="P299" s="396"/>
      <c r="Q299" s="396"/>
    </row>
    <row r="300" ht="15.75" customHeight="1">
      <c r="E300" s="340"/>
      <c r="F300" s="340"/>
      <c r="G300" s="339"/>
      <c r="H300" s="339"/>
      <c r="L300" s="340"/>
      <c r="M300" s="340"/>
      <c r="N300" s="340"/>
      <c r="P300" s="396"/>
      <c r="Q300" s="396"/>
    </row>
    <row r="301" ht="15.75" customHeight="1">
      <c r="E301" s="340"/>
      <c r="F301" s="340"/>
      <c r="G301" s="339"/>
      <c r="H301" s="339"/>
      <c r="L301" s="340"/>
      <c r="M301" s="340"/>
      <c r="N301" s="340"/>
      <c r="P301" s="396"/>
      <c r="Q301" s="396"/>
    </row>
    <row r="302" ht="15.75" customHeight="1">
      <c r="E302" s="340"/>
      <c r="F302" s="340"/>
      <c r="G302" s="339"/>
      <c r="H302" s="339"/>
      <c r="L302" s="340"/>
      <c r="M302" s="340"/>
      <c r="N302" s="340"/>
      <c r="P302" s="396"/>
      <c r="Q302" s="396"/>
    </row>
    <row r="303" ht="15.75" customHeight="1">
      <c r="E303" s="340"/>
      <c r="F303" s="340"/>
      <c r="G303" s="339"/>
      <c r="H303" s="339"/>
      <c r="L303" s="340"/>
      <c r="M303" s="340"/>
      <c r="N303" s="340"/>
      <c r="P303" s="396"/>
      <c r="Q303" s="396"/>
    </row>
    <row r="304" ht="15.75" customHeight="1">
      <c r="E304" s="340"/>
      <c r="F304" s="340"/>
      <c r="G304" s="339"/>
      <c r="H304" s="339"/>
      <c r="L304" s="340"/>
      <c r="M304" s="340"/>
      <c r="N304" s="340"/>
      <c r="P304" s="396"/>
      <c r="Q304" s="396"/>
    </row>
    <row r="305" ht="15.75" customHeight="1">
      <c r="E305" s="340"/>
      <c r="F305" s="340"/>
      <c r="G305" s="339"/>
      <c r="H305" s="339"/>
      <c r="L305" s="340"/>
      <c r="M305" s="340"/>
      <c r="N305" s="340"/>
      <c r="P305" s="396"/>
      <c r="Q305" s="396"/>
    </row>
    <row r="306" ht="15.75" customHeight="1">
      <c r="E306" s="340"/>
      <c r="F306" s="340"/>
      <c r="G306" s="339"/>
      <c r="H306" s="339"/>
      <c r="L306" s="340"/>
      <c r="M306" s="340"/>
      <c r="N306" s="340"/>
      <c r="P306" s="396"/>
      <c r="Q306" s="396"/>
    </row>
    <row r="307" ht="15.75" customHeight="1">
      <c r="E307" s="340"/>
      <c r="F307" s="340"/>
      <c r="G307" s="339"/>
      <c r="H307" s="339"/>
      <c r="L307" s="340"/>
      <c r="M307" s="340"/>
      <c r="N307" s="340"/>
      <c r="P307" s="396"/>
      <c r="Q307" s="396"/>
    </row>
    <row r="308" ht="15.75" customHeight="1">
      <c r="E308" s="340"/>
      <c r="F308" s="340"/>
      <c r="G308" s="339"/>
      <c r="H308" s="339"/>
      <c r="L308" s="340"/>
      <c r="M308" s="340"/>
      <c r="N308" s="340"/>
      <c r="P308" s="396"/>
      <c r="Q308" s="396"/>
    </row>
    <row r="309" ht="15.75" customHeight="1">
      <c r="E309" s="340"/>
      <c r="F309" s="340"/>
      <c r="G309" s="339"/>
      <c r="H309" s="339"/>
      <c r="L309" s="340"/>
      <c r="M309" s="340"/>
      <c r="N309" s="340"/>
      <c r="P309" s="396"/>
      <c r="Q309" s="396"/>
    </row>
    <row r="310" ht="15.75" customHeight="1">
      <c r="E310" s="340"/>
      <c r="F310" s="340"/>
      <c r="G310" s="339"/>
      <c r="H310" s="339"/>
      <c r="L310" s="340"/>
      <c r="M310" s="340"/>
      <c r="N310" s="340"/>
      <c r="P310" s="396"/>
      <c r="Q310" s="396"/>
    </row>
    <row r="311" ht="15.75" customHeight="1">
      <c r="E311" s="340"/>
      <c r="F311" s="340"/>
      <c r="G311" s="339"/>
      <c r="H311" s="339"/>
      <c r="L311" s="340"/>
      <c r="M311" s="340"/>
      <c r="N311" s="340"/>
      <c r="P311" s="396"/>
      <c r="Q311" s="396"/>
    </row>
    <row r="312" ht="15.75" customHeight="1">
      <c r="E312" s="340"/>
      <c r="F312" s="340"/>
      <c r="G312" s="339"/>
      <c r="H312" s="339"/>
      <c r="L312" s="340"/>
      <c r="M312" s="340"/>
      <c r="N312" s="340"/>
      <c r="P312" s="396"/>
      <c r="Q312" s="396"/>
    </row>
    <row r="313" ht="15.75" customHeight="1">
      <c r="E313" s="340"/>
      <c r="F313" s="340"/>
      <c r="G313" s="339"/>
      <c r="H313" s="339"/>
      <c r="L313" s="340"/>
      <c r="M313" s="340"/>
      <c r="N313" s="340"/>
      <c r="P313" s="396"/>
      <c r="Q313" s="396"/>
    </row>
    <row r="314" ht="15.75" customHeight="1">
      <c r="E314" s="340"/>
      <c r="F314" s="340"/>
      <c r="G314" s="339"/>
      <c r="H314" s="339"/>
      <c r="L314" s="340"/>
      <c r="M314" s="340"/>
      <c r="N314" s="340"/>
      <c r="P314" s="396"/>
      <c r="Q314" s="396"/>
    </row>
    <row r="315" ht="15.75" customHeight="1">
      <c r="E315" s="340"/>
      <c r="F315" s="340"/>
      <c r="G315" s="339"/>
      <c r="H315" s="339"/>
      <c r="L315" s="340"/>
      <c r="M315" s="340"/>
      <c r="N315" s="340"/>
      <c r="P315" s="396"/>
      <c r="Q315" s="396"/>
    </row>
    <row r="316" ht="15.75" customHeight="1">
      <c r="E316" s="340"/>
      <c r="F316" s="340"/>
      <c r="G316" s="339"/>
      <c r="H316" s="339"/>
      <c r="L316" s="340"/>
      <c r="M316" s="340"/>
      <c r="N316" s="340"/>
      <c r="P316" s="396"/>
      <c r="Q316" s="396"/>
    </row>
    <row r="317" ht="15.75" customHeight="1">
      <c r="E317" s="340"/>
      <c r="F317" s="340"/>
      <c r="G317" s="339"/>
      <c r="H317" s="339"/>
      <c r="L317" s="340"/>
      <c r="M317" s="340"/>
      <c r="N317" s="340"/>
      <c r="P317" s="396"/>
      <c r="Q317" s="396"/>
    </row>
    <row r="318" ht="15.75" customHeight="1">
      <c r="E318" s="340"/>
      <c r="F318" s="340"/>
      <c r="G318" s="339"/>
      <c r="H318" s="339"/>
      <c r="L318" s="340"/>
      <c r="M318" s="340"/>
      <c r="N318" s="340"/>
      <c r="P318" s="396"/>
      <c r="Q318" s="396"/>
    </row>
    <row r="319" ht="15.75" customHeight="1">
      <c r="E319" s="340"/>
      <c r="F319" s="340"/>
      <c r="G319" s="339"/>
      <c r="H319" s="339"/>
      <c r="L319" s="340"/>
      <c r="M319" s="340"/>
      <c r="N319" s="340"/>
      <c r="P319" s="396"/>
      <c r="Q319" s="396"/>
    </row>
    <row r="320" ht="15.75" customHeight="1">
      <c r="E320" s="340"/>
      <c r="F320" s="340"/>
      <c r="G320" s="339"/>
      <c r="H320" s="339"/>
      <c r="L320" s="340"/>
      <c r="M320" s="340"/>
      <c r="N320" s="340"/>
      <c r="P320" s="396"/>
      <c r="Q320" s="396"/>
    </row>
    <row r="321" ht="15.75" customHeight="1">
      <c r="E321" s="340"/>
      <c r="F321" s="340"/>
      <c r="G321" s="339"/>
      <c r="H321" s="339"/>
      <c r="L321" s="340"/>
      <c r="M321" s="340"/>
      <c r="N321" s="340"/>
      <c r="P321" s="396"/>
      <c r="Q321" s="396"/>
    </row>
    <row r="322" ht="15.75" customHeight="1">
      <c r="E322" s="340"/>
      <c r="F322" s="340"/>
      <c r="G322" s="339"/>
      <c r="H322" s="339"/>
      <c r="L322" s="340"/>
      <c r="M322" s="340"/>
      <c r="N322" s="340"/>
      <c r="P322" s="396"/>
      <c r="Q322" s="396"/>
    </row>
    <row r="323" ht="15.75" customHeight="1">
      <c r="E323" s="340"/>
      <c r="F323" s="340"/>
      <c r="G323" s="339"/>
      <c r="H323" s="339"/>
      <c r="L323" s="340"/>
      <c r="M323" s="340"/>
      <c r="N323" s="340"/>
      <c r="P323" s="396"/>
      <c r="Q323" s="396"/>
    </row>
    <row r="324" ht="15.75" customHeight="1">
      <c r="E324" s="340"/>
      <c r="F324" s="340"/>
      <c r="G324" s="339"/>
      <c r="H324" s="339"/>
      <c r="L324" s="340"/>
      <c r="M324" s="340"/>
      <c r="N324" s="340"/>
      <c r="P324" s="396"/>
      <c r="Q324" s="396"/>
    </row>
    <row r="325" ht="15.75" customHeight="1">
      <c r="E325" s="340"/>
      <c r="F325" s="340"/>
      <c r="G325" s="339"/>
      <c r="H325" s="339"/>
      <c r="L325" s="340"/>
      <c r="M325" s="340"/>
      <c r="N325" s="340"/>
      <c r="P325" s="396"/>
      <c r="Q325" s="396"/>
    </row>
    <row r="326" ht="15.75" customHeight="1">
      <c r="E326" s="340"/>
      <c r="F326" s="340"/>
      <c r="G326" s="339"/>
      <c r="H326" s="339"/>
      <c r="L326" s="340"/>
      <c r="M326" s="340"/>
      <c r="N326" s="340"/>
      <c r="P326" s="396"/>
      <c r="Q326" s="396"/>
    </row>
    <row r="327" ht="15.75" customHeight="1">
      <c r="E327" s="340"/>
      <c r="F327" s="340"/>
      <c r="G327" s="339"/>
      <c r="H327" s="339"/>
      <c r="L327" s="340"/>
      <c r="M327" s="340"/>
      <c r="N327" s="340"/>
      <c r="P327" s="396"/>
      <c r="Q327" s="396"/>
    </row>
    <row r="328" ht="15.75" customHeight="1">
      <c r="E328" s="340"/>
      <c r="F328" s="340"/>
      <c r="G328" s="339"/>
      <c r="H328" s="339"/>
      <c r="L328" s="340"/>
      <c r="M328" s="340"/>
      <c r="N328" s="340"/>
      <c r="P328" s="396"/>
      <c r="Q328" s="396"/>
    </row>
    <row r="329" ht="15.75" customHeight="1">
      <c r="E329" s="340"/>
      <c r="F329" s="340"/>
      <c r="G329" s="339"/>
      <c r="H329" s="339"/>
      <c r="L329" s="340"/>
      <c r="M329" s="340"/>
      <c r="N329" s="340"/>
      <c r="P329" s="396"/>
      <c r="Q329" s="396"/>
    </row>
    <row r="330" ht="15.75" customHeight="1">
      <c r="E330" s="340"/>
      <c r="F330" s="340"/>
      <c r="G330" s="339"/>
      <c r="H330" s="339"/>
      <c r="L330" s="340"/>
      <c r="M330" s="340"/>
      <c r="N330" s="340"/>
      <c r="P330" s="396"/>
      <c r="Q330" s="396"/>
    </row>
    <row r="331" ht="15.75" customHeight="1">
      <c r="E331" s="340"/>
      <c r="F331" s="340"/>
      <c r="G331" s="339"/>
      <c r="H331" s="339"/>
      <c r="L331" s="340"/>
      <c r="M331" s="340"/>
      <c r="N331" s="340"/>
      <c r="P331" s="396"/>
      <c r="Q331" s="396"/>
    </row>
    <row r="332" ht="15.75" customHeight="1">
      <c r="E332" s="340"/>
      <c r="F332" s="340"/>
      <c r="G332" s="339"/>
      <c r="H332" s="339"/>
      <c r="L332" s="340"/>
      <c r="M332" s="340"/>
      <c r="N332" s="340"/>
      <c r="P332" s="396"/>
      <c r="Q332" s="396"/>
    </row>
    <row r="333" ht="15.75" customHeight="1">
      <c r="E333" s="340"/>
      <c r="F333" s="340"/>
      <c r="G333" s="339"/>
      <c r="H333" s="339"/>
      <c r="L333" s="340"/>
      <c r="M333" s="340"/>
      <c r="N333" s="340"/>
      <c r="P333" s="396"/>
      <c r="Q333" s="396"/>
    </row>
    <row r="334" ht="15.75" customHeight="1">
      <c r="E334" s="340"/>
      <c r="F334" s="340"/>
      <c r="G334" s="339"/>
      <c r="H334" s="339"/>
      <c r="L334" s="340"/>
      <c r="M334" s="340"/>
      <c r="N334" s="340"/>
      <c r="P334" s="396"/>
      <c r="Q334" s="396"/>
    </row>
    <row r="335" ht="15.75" customHeight="1">
      <c r="E335" s="340"/>
      <c r="F335" s="340"/>
      <c r="G335" s="339"/>
      <c r="H335" s="339"/>
      <c r="L335" s="340"/>
      <c r="M335" s="340"/>
      <c r="N335" s="340"/>
      <c r="P335" s="396"/>
      <c r="Q335" s="396"/>
    </row>
    <row r="336" ht="15.75" customHeight="1">
      <c r="E336" s="340"/>
      <c r="F336" s="340"/>
      <c r="G336" s="339"/>
      <c r="H336" s="339"/>
      <c r="L336" s="340"/>
      <c r="M336" s="340"/>
      <c r="N336" s="340"/>
      <c r="P336" s="396"/>
      <c r="Q336" s="396"/>
    </row>
    <row r="337" ht="15.75" customHeight="1">
      <c r="E337" s="340"/>
      <c r="F337" s="340"/>
      <c r="G337" s="339"/>
      <c r="H337" s="339"/>
      <c r="L337" s="340"/>
      <c r="M337" s="340"/>
      <c r="N337" s="340"/>
      <c r="P337" s="396"/>
      <c r="Q337" s="396"/>
    </row>
    <row r="338" ht="15.75" customHeight="1">
      <c r="E338" s="340"/>
      <c r="F338" s="340"/>
      <c r="G338" s="339"/>
      <c r="H338" s="339"/>
      <c r="L338" s="340"/>
      <c r="M338" s="340"/>
      <c r="N338" s="340"/>
      <c r="P338" s="396"/>
      <c r="Q338" s="396"/>
    </row>
    <row r="339" ht="15.75" customHeight="1">
      <c r="E339" s="340"/>
      <c r="F339" s="340"/>
      <c r="G339" s="339"/>
      <c r="H339" s="339"/>
      <c r="L339" s="340"/>
      <c r="M339" s="340"/>
      <c r="N339" s="340"/>
      <c r="P339" s="396"/>
      <c r="Q339" s="396"/>
    </row>
    <row r="340" ht="15.75" customHeight="1">
      <c r="E340" s="340"/>
      <c r="F340" s="340"/>
      <c r="G340" s="339"/>
      <c r="H340" s="339"/>
      <c r="L340" s="340"/>
      <c r="M340" s="340"/>
      <c r="N340" s="340"/>
      <c r="P340" s="396"/>
      <c r="Q340" s="396"/>
    </row>
    <row r="341" ht="15.75" customHeight="1">
      <c r="E341" s="340"/>
      <c r="F341" s="340"/>
      <c r="G341" s="339"/>
      <c r="H341" s="339"/>
      <c r="L341" s="340"/>
      <c r="M341" s="340"/>
      <c r="N341" s="340"/>
      <c r="P341" s="396"/>
      <c r="Q341" s="396"/>
    </row>
    <row r="342" ht="15.75" customHeight="1">
      <c r="E342" s="340"/>
      <c r="F342" s="340"/>
      <c r="G342" s="339"/>
      <c r="H342" s="339"/>
      <c r="L342" s="340"/>
      <c r="M342" s="340"/>
      <c r="N342" s="340"/>
      <c r="P342" s="396"/>
      <c r="Q342" s="396"/>
    </row>
    <row r="343" ht="15.75" customHeight="1">
      <c r="E343" s="340"/>
      <c r="F343" s="340"/>
      <c r="G343" s="339"/>
      <c r="H343" s="339"/>
      <c r="L343" s="340"/>
      <c r="M343" s="340"/>
      <c r="N343" s="340"/>
      <c r="P343" s="396"/>
      <c r="Q343" s="396"/>
    </row>
    <row r="344" ht="15.75" customHeight="1">
      <c r="E344" s="340"/>
      <c r="F344" s="340"/>
      <c r="G344" s="339"/>
      <c r="H344" s="339"/>
      <c r="L344" s="340"/>
      <c r="M344" s="340"/>
      <c r="N344" s="340"/>
      <c r="P344" s="396"/>
      <c r="Q344" s="396"/>
    </row>
    <row r="345" ht="15.75" customHeight="1">
      <c r="E345" s="340"/>
      <c r="F345" s="340"/>
      <c r="G345" s="339"/>
      <c r="H345" s="339"/>
      <c r="L345" s="340"/>
      <c r="M345" s="340"/>
      <c r="N345" s="340"/>
      <c r="P345" s="396"/>
      <c r="Q345" s="396"/>
    </row>
    <row r="346" ht="15.75" customHeight="1">
      <c r="E346" s="340"/>
      <c r="F346" s="340"/>
      <c r="G346" s="339"/>
      <c r="H346" s="339"/>
      <c r="L346" s="340"/>
      <c r="M346" s="340"/>
      <c r="N346" s="340"/>
      <c r="P346" s="396"/>
      <c r="Q346" s="396"/>
    </row>
    <row r="347" ht="15.75" customHeight="1">
      <c r="E347" s="340"/>
      <c r="F347" s="340"/>
      <c r="G347" s="339"/>
      <c r="H347" s="339"/>
      <c r="L347" s="340"/>
      <c r="M347" s="340"/>
      <c r="N347" s="340"/>
      <c r="P347" s="396"/>
      <c r="Q347" s="396"/>
    </row>
    <row r="348" ht="15.75" customHeight="1">
      <c r="E348" s="340"/>
      <c r="F348" s="340"/>
      <c r="G348" s="339"/>
      <c r="H348" s="339"/>
      <c r="L348" s="340"/>
      <c r="M348" s="340"/>
      <c r="N348" s="340"/>
      <c r="P348" s="396"/>
      <c r="Q348" s="396"/>
    </row>
    <row r="349" ht="15.75" customHeight="1">
      <c r="E349" s="340"/>
      <c r="F349" s="340"/>
      <c r="G349" s="339"/>
      <c r="H349" s="339"/>
      <c r="L349" s="340"/>
      <c r="M349" s="340"/>
      <c r="N349" s="340"/>
      <c r="P349" s="396"/>
      <c r="Q349" s="396"/>
    </row>
    <row r="350" ht="15.75" customHeight="1">
      <c r="E350" s="340"/>
      <c r="F350" s="340"/>
      <c r="G350" s="339"/>
      <c r="H350" s="339"/>
      <c r="L350" s="340"/>
      <c r="M350" s="340"/>
      <c r="N350" s="340"/>
      <c r="P350" s="396"/>
      <c r="Q350" s="396"/>
    </row>
    <row r="351" ht="15.75" customHeight="1">
      <c r="E351" s="340"/>
      <c r="F351" s="340"/>
      <c r="G351" s="339"/>
      <c r="H351" s="339"/>
      <c r="L351" s="340"/>
      <c r="M351" s="340"/>
      <c r="N351" s="340"/>
      <c r="P351" s="396"/>
      <c r="Q351" s="396"/>
    </row>
    <row r="352" ht="15.75" customHeight="1">
      <c r="E352" s="340"/>
      <c r="F352" s="340"/>
      <c r="G352" s="339"/>
      <c r="H352" s="339"/>
      <c r="L352" s="340"/>
      <c r="M352" s="340"/>
      <c r="N352" s="340"/>
      <c r="P352" s="396"/>
      <c r="Q352" s="396"/>
    </row>
    <row r="353" ht="15.75" customHeight="1">
      <c r="E353" s="340"/>
      <c r="F353" s="340"/>
      <c r="G353" s="339"/>
      <c r="H353" s="339"/>
      <c r="L353" s="340"/>
      <c r="M353" s="340"/>
      <c r="N353" s="340"/>
      <c r="P353" s="396"/>
      <c r="Q353" s="396"/>
    </row>
    <row r="354" ht="15.75" customHeight="1">
      <c r="E354" s="340"/>
      <c r="F354" s="340"/>
      <c r="G354" s="339"/>
      <c r="H354" s="339"/>
      <c r="L354" s="340"/>
      <c r="M354" s="340"/>
      <c r="N354" s="340"/>
      <c r="P354" s="396"/>
      <c r="Q354" s="396"/>
    </row>
    <row r="355" ht="15.75" customHeight="1">
      <c r="E355" s="340"/>
      <c r="F355" s="340"/>
      <c r="G355" s="339"/>
      <c r="H355" s="339"/>
      <c r="L355" s="340"/>
      <c r="M355" s="340"/>
      <c r="N355" s="340"/>
      <c r="P355" s="396"/>
      <c r="Q355" s="396"/>
    </row>
    <row r="356" ht="15.75" customHeight="1">
      <c r="E356" s="340"/>
      <c r="F356" s="340"/>
      <c r="G356" s="339"/>
      <c r="H356" s="339"/>
      <c r="L356" s="340"/>
      <c r="M356" s="340"/>
      <c r="N356" s="340"/>
      <c r="P356" s="396"/>
      <c r="Q356" s="396"/>
    </row>
    <row r="357" ht="15.75" customHeight="1">
      <c r="E357" s="340"/>
      <c r="F357" s="340"/>
      <c r="G357" s="339"/>
      <c r="H357" s="339"/>
      <c r="L357" s="340"/>
      <c r="M357" s="340"/>
      <c r="N357" s="340"/>
      <c r="P357" s="396"/>
      <c r="Q357" s="396"/>
    </row>
    <row r="358" ht="15.75" customHeight="1">
      <c r="E358" s="340"/>
      <c r="F358" s="340"/>
      <c r="G358" s="339"/>
      <c r="H358" s="339"/>
      <c r="L358" s="340"/>
      <c r="M358" s="340"/>
      <c r="N358" s="340"/>
      <c r="P358" s="396"/>
      <c r="Q358" s="396"/>
    </row>
    <row r="359" ht="15.75" customHeight="1">
      <c r="E359" s="340"/>
      <c r="F359" s="340"/>
      <c r="G359" s="339"/>
      <c r="H359" s="339"/>
      <c r="L359" s="340"/>
      <c r="M359" s="340"/>
      <c r="N359" s="340"/>
      <c r="P359" s="396"/>
      <c r="Q359" s="396"/>
    </row>
    <row r="360" ht="15.75" customHeight="1">
      <c r="E360" s="340"/>
      <c r="F360" s="340"/>
      <c r="G360" s="339"/>
      <c r="H360" s="339"/>
      <c r="L360" s="340"/>
      <c r="M360" s="340"/>
      <c r="N360" s="340"/>
      <c r="P360" s="396"/>
      <c r="Q360" s="396"/>
    </row>
    <row r="361" ht="15.75" customHeight="1">
      <c r="E361" s="340"/>
      <c r="F361" s="340"/>
      <c r="G361" s="339"/>
      <c r="H361" s="339"/>
      <c r="L361" s="340"/>
      <c r="M361" s="340"/>
      <c r="N361" s="340"/>
      <c r="P361" s="396"/>
      <c r="Q361" s="396"/>
    </row>
    <row r="362" ht="15.75" customHeight="1">
      <c r="E362" s="340"/>
      <c r="F362" s="340"/>
      <c r="G362" s="339"/>
      <c r="H362" s="339"/>
      <c r="L362" s="340"/>
      <c r="M362" s="340"/>
      <c r="N362" s="340"/>
      <c r="P362" s="396"/>
      <c r="Q362" s="396"/>
    </row>
    <row r="363" ht="15.75" customHeight="1">
      <c r="E363" s="340"/>
      <c r="F363" s="340"/>
      <c r="G363" s="339"/>
      <c r="H363" s="339"/>
      <c r="L363" s="340"/>
      <c r="M363" s="340"/>
      <c r="N363" s="340"/>
      <c r="P363" s="396"/>
      <c r="Q363" s="396"/>
    </row>
    <row r="364" ht="15.75" customHeight="1">
      <c r="E364" s="340"/>
      <c r="F364" s="340"/>
      <c r="G364" s="339"/>
      <c r="H364" s="339"/>
      <c r="L364" s="340"/>
      <c r="M364" s="340"/>
      <c r="N364" s="340"/>
      <c r="P364" s="396"/>
      <c r="Q364" s="396"/>
    </row>
    <row r="365" ht="15.75" customHeight="1">
      <c r="E365" s="340"/>
      <c r="F365" s="340"/>
      <c r="G365" s="339"/>
      <c r="H365" s="339"/>
      <c r="L365" s="340"/>
      <c r="M365" s="340"/>
      <c r="N365" s="340"/>
      <c r="P365" s="396"/>
      <c r="Q365" s="396"/>
    </row>
    <row r="366" ht="15.75" customHeight="1">
      <c r="E366" s="340"/>
      <c r="F366" s="340"/>
      <c r="G366" s="339"/>
      <c r="H366" s="339"/>
      <c r="L366" s="340"/>
      <c r="M366" s="340"/>
      <c r="N366" s="340"/>
      <c r="P366" s="396"/>
      <c r="Q366" s="396"/>
    </row>
    <row r="367" ht="15.75" customHeight="1">
      <c r="E367" s="340"/>
      <c r="F367" s="340"/>
      <c r="G367" s="339"/>
      <c r="H367" s="339"/>
      <c r="L367" s="340"/>
      <c r="M367" s="340"/>
      <c r="N367" s="340"/>
      <c r="P367" s="396"/>
      <c r="Q367" s="396"/>
    </row>
    <row r="368" ht="15.75" customHeight="1">
      <c r="E368" s="340"/>
      <c r="F368" s="340"/>
      <c r="G368" s="339"/>
      <c r="H368" s="339"/>
      <c r="L368" s="340"/>
      <c r="M368" s="340"/>
      <c r="N368" s="340"/>
      <c r="P368" s="396"/>
      <c r="Q368" s="396"/>
    </row>
    <row r="369" ht="15.75" customHeight="1">
      <c r="E369" s="340"/>
      <c r="F369" s="340"/>
      <c r="G369" s="339"/>
      <c r="H369" s="339"/>
      <c r="L369" s="340"/>
      <c r="M369" s="340"/>
      <c r="N369" s="340"/>
      <c r="P369" s="396"/>
      <c r="Q369" s="396"/>
    </row>
    <row r="370" ht="15.75" customHeight="1">
      <c r="E370" s="340"/>
      <c r="F370" s="340"/>
      <c r="G370" s="339"/>
      <c r="H370" s="339"/>
      <c r="L370" s="340"/>
      <c r="M370" s="340"/>
      <c r="N370" s="340"/>
      <c r="P370" s="396"/>
      <c r="Q370" s="396"/>
    </row>
    <row r="371" ht="15.75" customHeight="1">
      <c r="E371" s="340"/>
      <c r="F371" s="340"/>
      <c r="G371" s="339"/>
      <c r="H371" s="339"/>
      <c r="L371" s="340"/>
      <c r="M371" s="340"/>
      <c r="N371" s="340"/>
      <c r="P371" s="396"/>
      <c r="Q371" s="396"/>
    </row>
    <row r="372" ht="15.75" customHeight="1">
      <c r="E372" s="340"/>
      <c r="F372" s="340"/>
      <c r="G372" s="339"/>
      <c r="H372" s="339"/>
      <c r="L372" s="340"/>
      <c r="M372" s="340"/>
      <c r="N372" s="340"/>
      <c r="P372" s="396"/>
      <c r="Q372" s="396"/>
    </row>
    <row r="373" ht="15.75" customHeight="1">
      <c r="E373" s="340"/>
      <c r="F373" s="340"/>
      <c r="G373" s="339"/>
      <c r="H373" s="339"/>
      <c r="L373" s="340"/>
      <c r="M373" s="340"/>
      <c r="N373" s="340"/>
      <c r="P373" s="396"/>
      <c r="Q373" s="396"/>
    </row>
    <row r="374" ht="15.75" customHeight="1">
      <c r="E374" s="340"/>
      <c r="F374" s="340"/>
      <c r="G374" s="339"/>
      <c r="H374" s="339"/>
      <c r="L374" s="340"/>
      <c r="M374" s="340"/>
      <c r="N374" s="340"/>
      <c r="P374" s="396"/>
      <c r="Q374" s="396"/>
    </row>
    <row r="375" ht="15.75" customHeight="1">
      <c r="E375" s="340"/>
      <c r="F375" s="340"/>
      <c r="G375" s="339"/>
      <c r="H375" s="339"/>
      <c r="L375" s="340"/>
      <c r="M375" s="340"/>
      <c r="N375" s="340"/>
      <c r="P375" s="396"/>
      <c r="Q375" s="396"/>
    </row>
    <row r="376" ht="15.75" customHeight="1">
      <c r="E376" s="340"/>
      <c r="F376" s="340"/>
      <c r="G376" s="339"/>
      <c r="H376" s="339"/>
      <c r="L376" s="340"/>
      <c r="M376" s="340"/>
      <c r="N376" s="340"/>
      <c r="P376" s="396"/>
      <c r="Q376" s="396"/>
    </row>
    <row r="377" ht="15.75" customHeight="1">
      <c r="E377" s="340"/>
      <c r="F377" s="340"/>
      <c r="G377" s="339"/>
      <c r="H377" s="339"/>
      <c r="L377" s="340"/>
      <c r="M377" s="340"/>
      <c r="N377" s="340"/>
      <c r="P377" s="396"/>
      <c r="Q377" s="396"/>
    </row>
    <row r="378" ht="15.75" customHeight="1">
      <c r="E378" s="340"/>
      <c r="F378" s="340"/>
      <c r="G378" s="339"/>
      <c r="H378" s="339"/>
      <c r="L378" s="340"/>
      <c r="M378" s="340"/>
      <c r="N378" s="340"/>
      <c r="P378" s="396"/>
      <c r="Q378" s="396"/>
    </row>
    <row r="379" ht="15.75" customHeight="1">
      <c r="E379" s="340"/>
      <c r="F379" s="340"/>
      <c r="G379" s="339"/>
      <c r="H379" s="339"/>
      <c r="L379" s="340"/>
      <c r="M379" s="340"/>
      <c r="N379" s="340"/>
      <c r="P379" s="396"/>
      <c r="Q379" s="396"/>
    </row>
    <row r="380" ht="15.75" customHeight="1">
      <c r="E380" s="340"/>
      <c r="F380" s="340"/>
      <c r="G380" s="339"/>
      <c r="H380" s="339"/>
      <c r="L380" s="340"/>
      <c r="M380" s="340"/>
      <c r="N380" s="340"/>
      <c r="P380" s="396"/>
      <c r="Q380" s="396"/>
    </row>
    <row r="381" ht="15.75" customHeight="1">
      <c r="E381" s="340"/>
      <c r="F381" s="340"/>
      <c r="G381" s="339"/>
      <c r="H381" s="339"/>
      <c r="L381" s="340"/>
      <c r="M381" s="340"/>
      <c r="N381" s="340"/>
      <c r="P381" s="396"/>
      <c r="Q381" s="396"/>
    </row>
    <row r="382" ht="15.75" customHeight="1">
      <c r="E382" s="340"/>
      <c r="F382" s="340"/>
      <c r="G382" s="339"/>
      <c r="H382" s="339"/>
      <c r="L382" s="340"/>
      <c r="M382" s="340"/>
      <c r="N382" s="340"/>
      <c r="P382" s="396"/>
      <c r="Q382" s="396"/>
    </row>
    <row r="383" ht="15.75" customHeight="1">
      <c r="E383" s="340"/>
      <c r="F383" s="340"/>
      <c r="G383" s="339"/>
      <c r="H383" s="339"/>
      <c r="L383" s="340"/>
      <c r="M383" s="340"/>
      <c r="N383" s="340"/>
      <c r="P383" s="396"/>
      <c r="Q383" s="396"/>
    </row>
    <row r="384" ht="15.75" customHeight="1">
      <c r="E384" s="340"/>
      <c r="F384" s="340"/>
      <c r="G384" s="339"/>
      <c r="H384" s="339"/>
      <c r="L384" s="340"/>
      <c r="M384" s="340"/>
      <c r="N384" s="340"/>
      <c r="P384" s="396"/>
      <c r="Q384" s="396"/>
    </row>
    <row r="385" ht="15.75" customHeight="1">
      <c r="E385" s="340"/>
      <c r="F385" s="340"/>
      <c r="G385" s="339"/>
      <c r="H385" s="339"/>
      <c r="L385" s="340"/>
      <c r="M385" s="340"/>
      <c r="N385" s="340"/>
      <c r="P385" s="396"/>
      <c r="Q385" s="396"/>
    </row>
    <row r="386" ht="15.75" customHeight="1">
      <c r="E386" s="340"/>
      <c r="F386" s="340"/>
      <c r="G386" s="339"/>
      <c r="H386" s="339"/>
      <c r="L386" s="340"/>
      <c r="M386" s="340"/>
      <c r="N386" s="340"/>
      <c r="P386" s="396"/>
      <c r="Q386" s="396"/>
    </row>
    <row r="387" ht="15.75" customHeight="1">
      <c r="E387" s="340"/>
      <c r="F387" s="340"/>
      <c r="G387" s="339"/>
      <c r="H387" s="339"/>
      <c r="L387" s="340"/>
      <c r="M387" s="340"/>
      <c r="N387" s="340"/>
      <c r="P387" s="396"/>
      <c r="Q387" s="396"/>
    </row>
    <row r="388" ht="15.75" customHeight="1">
      <c r="E388" s="340"/>
      <c r="F388" s="340"/>
      <c r="G388" s="339"/>
      <c r="H388" s="339"/>
      <c r="L388" s="340"/>
      <c r="M388" s="340"/>
      <c r="N388" s="340"/>
      <c r="P388" s="396"/>
      <c r="Q388" s="396"/>
    </row>
    <row r="389" ht="15.75" customHeight="1">
      <c r="E389" s="340"/>
      <c r="F389" s="340"/>
      <c r="G389" s="339"/>
      <c r="H389" s="339"/>
      <c r="L389" s="340"/>
      <c r="M389" s="340"/>
      <c r="N389" s="340"/>
      <c r="P389" s="396"/>
      <c r="Q389" s="396"/>
    </row>
    <row r="390" ht="15.75" customHeight="1">
      <c r="E390" s="340"/>
      <c r="F390" s="340"/>
      <c r="G390" s="339"/>
      <c r="H390" s="339"/>
      <c r="L390" s="340"/>
      <c r="M390" s="340"/>
      <c r="N390" s="340"/>
      <c r="P390" s="396"/>
      <c r="Q390" s="396"/>
    </row>
    <row r="391" ht="15.75" customHeight="1">
      <c r="E391" s="340"/>
      <c r="F391" s="340"/>
      <c r="G391" s="339"/>
      <c r="H391" s="339"/>
      <c r="L391" s="340"/>
      <c r="M391" s="340"/>
      <c r="N391" s="340"/>
      <c r="P391" s="396"/>
      <c r="Q391" s="396"/>
    </row>
    <row r="392" ht="15.75" customHeight="1">
      <c r="E392" s="340"/>
      <c r="F392" s="340"/>
      <c r="G392" s="339"/>
      <c r="H392" s="339"/>
      <c r="L392" s="340"/>
      <c r="M392" s="340"/>
      <c r="N392" s="340"/>
      <c r="P392" s="396"/>
      <c r="Q392" s="396"/>
    </row>
    <row r="393" ht="15.75" customHeight="1">
      <c r="E393" s="340"/>
      <c r="F393" s="340"/>
      <c r="G393" s="339"/>
      <c r="H393" s="339"/>
      <c r="L393" s="340"/>
      <c r="M393" s="340"/>
      <c r="N393" s="340"/>
      <c r="P393" s="396"/>
      <c r="Q393" s="396"/>
    </row>
    <row r="394" ht="15.75" customHeight="1">
      <c r="E394" s="340"/>
      <c r="F394" s="340"/>
      <c r="G394" s="339"/>
      <c r="H394" s="339"/>
      <c r="L394" s="340"/>
      <c r="M394" s="340"/>
      <c r="N394" s="340"/>
      <c r="P394" s="396"/>
      <c r="Q394" s="396"/>
    </row>
    <row r="395" ht="15.75" customHeight="1">
      <c r="E395" s="340"/>
      <c r="F395" s="340"/>
      <c r="G395" s="339"/>
      <c r="H395" s="339"/>
      <c r="L395" s="340"/>
      <c r="M395" s="340"/>
      <c r="N395" s="340"/>
      <c r="P395" s="396"/>
      <c r="Q395" s="396"/>
    </row>
    <row r="396" ht="15.75" customHeight="1">
      <c r="E396" s="340"/>
      <c r="F396" s="340"/>
      <c r="G396" s="339"/>
      <c r="H396" s="339"/>
      <c r="L396" s="340"/>
      <c r="M396" s="340"/>
      <c r="N396" s="340"/>
      <c r="P396" s="396"/>
      <c r="Q396" s="396"/>
    </row>
    <row r="397" ht="15.75" customHeight="1">
      <c r="E397" s="340"/>
      <c r="F397" s="340"/>
      <c r="G397" s="339"/>
      <c r="H397" s="339"/>
      <c r="L397" s="340"/>
      <c r="M397" s="340"/>
      <c r="N397" s="340"/>
      <c r="P397" s="396"/>
      <c r="Q397" s="396"/>
    </row>
    <row r="398" ht="15.75" customHeight="1">
      <c r="E398" s="340"/>
      <c r="F398" s="340"/>
      <c r="G398" s="339"/>
      <c r="H398" s="339"/>
      <c r="L398" s="340"/>
      <c r="M398" s="340"/>
      <c r="N398" s="340"/>
      <c r="P398" s="396"/>
      <c r="Q398" s="396"/>
    </row>
    <row r="399" ht="15.75" customHeight="1">
      <c r="E399" s="340"/>
      <c r="F399" s="340"/>
      <c r="G399" s="339"/>
      <c r="H399" s="339"/>
      <c r="L399" s="340"/>
      <c r="M399" s="340"/>
      <c r="N399" s="340"/>
      <c r="P399" s="396"/>
      <c r="Q399" s="396"/>
    </row>
    <row r="400" ht="15.75" customHeight="1">
      <c r="E400" s="340"/>
      <c r="F400" s="340"/>
      <c r="G400" s="339"/>
      <c r="H400" s="339"/>
      <c r="L400" s="340"/>
      <c r="M400" s="340"/>
      <c r="N400" s="340"/>
      <c r="P400" s="396"/>
      <c r="Q400" s="396"/>
    </row>
    <row r="401" ht="15.75" customHeight="1">
      <c r="E401" s="340"/>
      <c r="F401" s="340"/>
      <c r="G401" s="339"/>
      <c r="H401" s="339"/>
      <c r="L401" s="340"/>
      <c r="M401" s="340"/>
      <c r="N401" s="340"/>
      <c r="P401" s="396"/>
      <c r="Q401" s="396"/>
    </row>
    <row r="402" ht="15.75" customHeight="1">
      <c r="E402" s="340"/>
      <c r="F402" s="340"/>
      <c r="G402" s="339"/>
      <c r="H402" s="339"/>
      <c r="L402" s="340"/>
      <c r="M402" s="340"/>
      <c r="N402" s="340"/>
      <c r="P402" s="396"/>
      <c r="Q402" s="396"/>
    </row>
    <row r="403" ht="15.75" customHeight="1">
      <c r="E403" s="340"/>
      <c r="F403" s="340"/>
      <c r="G403" s="339"/>
      <c r="H403" s="339"/>
      <c r="L403" s="340"/>
      <c r="M403" s="340"/>
      <c r="N403" s="340"/>
      <c r="P403" s="396"/>
      <c r="Q403" s="396"/>
    </row>
    <row r="404" ht="15.75" customHeight="1">
      <c r="E404" s="340"/>
      <c r="F404" s="340"/>
      <c r="G404" s="339"/>
      <c r="H404" s="339"/>
      <c r="L404" s="340"/>
      <c r="M404" s="340"/>
      <c r="N404" s="340"/>
      <c r="P404" s="396"/>
      <c r="Q404" s="396"/>
    </row>
    <row r="405" ht="15.75" customHeight="1">
      <c r="E405" s="340"/>
      <c r="F405" s="340"/>
      <c r="G405" s="339"/>
      <c r="H405" s="339"/>
      <c r="L405" s="340"/>
      <c r="M405" s="340"/>
      <c r="N405" s="340"/>
      <c r="P405" s="396"/>
      <c r="Q405" s="396"/>
    </row>
    <row r="406" ht="15.75" customHeight="1">
      <c r="E406" s="340"/>
      <c r="F406" s="340"/>
      <c r="G406" s="339"/>
      <c r="H406" s="339"/>
      <c r="L406" s="340"/>
      <c r="M406" s="340"/>
      <c r="N406" s="340"/>
      <c r="P406" s="396"/>
      <c r="Q406" s="396"/>
    </row>
    <row r="407" ht="15.75" customHeight="1">
      <c r="E407" s="340"/>
      <c r="F407" s="340"/>
      <c r="G407" s="339"/>
      <c r="H407" s="339"/>
      <c r="L407" s="340"/>
      <c r="M407" s="340"/>
      <c r="N407" s="340"/>
      <c r="P407" s="396"/>
      <c r="Q407" s="396"/>
    </row>
    <row r="408" ht="15.75" customHeight="1">
      <c r="E408" s="340"/>
      <c r="F408" s="340"/>
      <c r="G408" s="339"/>
      <c r="H408" s="339"/>
      <c r="L408" s="340"/>
      <c r="M408" s="340"/>
      <c r="N408" s="340"/>
      <c r="P408" s="396"/>
      <c r="Q408" s="396"/>
    </row>
    <row r="409" ht="15.75" customHeight="1">
      <c r="E409" s="340"/>
      <c r="F409" s="340"/>
      <c r="G409" s="339"/>
      <c r="H409" s="339"/>
      <c r="L409" s="340"/>
      <c r="M409" s="340"/>
      <c r="N409" s="340"/>
      <c r="P409" s="396"/>
      <c r="Q409" s="396"/>
    </row>
    <row r="410" ht="15.75" customHeight="1">
      <c r="E410" s="340"/>
      <c r="F410" s="340"/>
      <c r="G410" s="339"/>
      <c r="H410" s="339"/>
      <c r="L410" s="340"/>
      <c r="M410" s="340"/>
      <c r="N410" s="340"/>
      <c r="P410" s="396"/>
      <c r="Q410" s="396"/>
    </row>
    <row r="411" ht="15.75" customHeight="1">
      <c r="E411" s="340"/>
      <c r="F411" s="340"/>
      <c r="G411" s="339"/>
      <c r="H411" s="339"/>
      <c r="L411" s="340"/>
      <c r="M411" s="340"/>
      <c r="N411" s="340"/>
      <c r="P411" s="396"/>
      <c r="Q411" s="396"/>
    </row>
    <row r="412" ht="15.75" customHeight="1">
      <c r="E412" s="340"/>
      <c r="F412" s="340"/>
      <c r="G412" s="339"/>
      <c r="H412" s="339"/>
      <c r="L412" s="340"/>
      <c r="M412" s="340"/>
      <c r="N412" s="340"/>
      <c r="P412" s="396"/>
      <c r="Q412" s="396"/>
    </row>
    <row r="413" ht="15.75" customHeight="1">
      <c r="E413" s="340"/>
      <c r="F413" s="340"/>
      <c r="G413" s="339"/>
      <c r="H413" s="339"/>
      <c r="L413" s="340"/>
      <c r="M413" s="340"/>
      <c r="N413" s="340"/>
      <c r="P413" s="396"/>
      <c r="Q413" s="396"/>
    </row>
    <row r="414" ht="15.75" customHeight="1">
      <c r="E414" s="340"/>
      <c r="F414" s="340"/>
      <c r="G414" s="339"/>
      <c r="H414" s="339"/>
      <c r="L414" s="340"/>
      <c r="M414" s="340"/>
      <c r="N414" s="340"/>
      <c r="P414" s="396"/>
      <c r="Q414" s="396"/>
    </row>
    <row r="415" ht="15.75" customHeight="1">
      <c r="E415" s="340"/>
      <c r="F415" s="340"/>
      <c r="G415" s="339"/>
      <c r="H415" s="339"/>
      <c r="L415" s="340"/>
      <c r="M415" s="340"/>
      <c r="N415" s="340"/>
      <c r="P415" s="396"/>
      <c r="Q415" s="396"/>
    </row>
    <row r="416" ht="15.75" customHeight="1">
      <c r="E416" s="340"/>
      <c r="F416" s="340"/>
      <c r="G416" s="339"/>
      <c r="H416" s="339"/>
      <c r="L416" s="340"/>
      <c r="M416" s="340"/>
      <c r="N416" s="340"/>
      <c r="P416" s="396"/>
      <c r="Q416" s="396"/>
    </row>
    <row r="417" ht="15.75" customHeight="1">
      <c r="E417" s="340"/>
      <c r="F417" s="340"/>
      <c r="G417" s="339"/>
      <c r="H417" s="339"/>
      <c r="L417" s="340"/>
      <c r="M417" s="340"/>
      <c r="N417" s="340"/>
      <c r="P417" s="396"/>
      <c r="Q417" s="396"/>
    </row>
    <row r="418" ht="15.75" customHeight="1">
      <c r="E418" s="340"/>
      <c r="F418" s="340"/>
      <c r="G418" s="339"/>
      <c r="H418" s="339"/>
      <c r="L418" s="340"/>
      <c r="M418" s="340"/>
      <c r="N418" s="340"/>
      <c r="P418" s="396"/>
      <c r="Q418" s="396"/>
    </row>
    <row r="419" ht="15.75" customHeight="1">
      <c r="E419" s="340"/>
      <c r="F419" s="340"/>
      <c r="G419" s="339"/>
      <c r="H419" s="339"/>
      <c r="L419" s="340"/>
      <c r="M419" s="340"/>
      <c r="N419" s="340"/>
      <c r="P419" s="396"/>
      <c r="Q419" s="396"/>
    </row>
    <row r="420" ht="15.75" customHeight="1">
      <c r="E420" s="340"/>
      <c r="F420" s="340"/>
      <c r="G420" s="339"/>
      <c r="H420" s="339"/>
      <c r="L420" s="340"/>
      <c r="M420" s="340"/>
      <c r="N420" s="340"/>
      <c r="P420" s="396"/>
      <c r="Q420" s="396"/>
    </row>
    <row r="421" ht="15.75" customHeight="1">
      <c r="E421" s="340"/>
      <c r="F421" s="340"/>
      <c r="G421" s="339"/>
      <c r="H421" s="339"/>
      <c r="L421" s="340"/>
      <c r="M421" s="340"/>
      <c r="N421" s="340"/>
      <c r="P421" s="396"/>
      <c r="Q421" s="396"/>
    </row>
    <row r="422" ht="15.75" customHeight="1">
      <c r="E422" s="340"/>
      <c r="F422" s="340"/>
      <c r="G422" s="339"/>
      <c r="H422" s="339"/>
      <c r="L422" s="340"/>
      <c r="M422" s="340"/>
      <c r="N422" s="340"/>
      <c r="P422" s="396"/>
      <c r="Q422" s="396"/>
    </row>
    <row r="423" ht="15.75" customHeight="1">
      <c r="E423" s="340"/>
      <c r="F423" s="340"/>
      <c r="G423" s="339"/>
      <c r="H423" s="339"/>
      <c r="L423" s="340"/>
      <c r="M423" s="340"/>
      <c r="N423" s="340"/>
      <c r="P423" s="396"/>
      <c r="Q423" s="396"/>
    </row>
    <row r="424" ht="15.75" customHeight="1">
      <c r="E424" s="340"/>
      <c r="F424" s="340"/>
      <c r="G424" s="339"/>
      <c r="H424" s="339"/>
      <c r="L424" s="340"/>
      <c r="M424" s="340"/>
      <c r="N424" s="340"/>
      <c r="P424" s="396"/>
      <c r="Q424" s="396"/>
    </row>
    <row r="425" ht="15.75" customHeight="1">
      <c r="E425" s="340"/>
      <c r="F425" s="340"/>
      <c r="G425" s="339"/>
      <c r="H425" s="339"/>
      <c r="L425" s="340"/>
      <c r="M425" s="340"/>
      <c r="N425" s="340"/>
      <c r="P425" s="396"/>
      <c r="Q425" s="396"/>
    </row>
    <row r="426" ht="15.75" customHeight="1">
      <c r="E426" s="340"/>
      <c r="F426" s="340"/>
      <c r="G426" s="339"/>
      <c r="H426" s="339"/>
      <c r="L426" s="340"/>
      <c r="M426" s="340"/>
      <c r="N426" s="340"/>
      <c r="P426" s="396"/>
      <c r="Q426" s="396"/>
    </row>
    <row r="427" ht="15.75" customHeight="1">
      <c r="E427" s="340"/>
      <c r="F427" s="340"/>
      <c r="G427" s="339"/>
      <c r="H427" s="339"/>
      <c r="L427" s="340"/>
      <c r="M427" s="340"/>
      <c r="N427" s="340"/>
      <c r="P427" s="396"/>
      <c r="Q427" s="396"/>
    </row>
    <row r="428" ht="15.75" customHeight="1">
      <c r="E428" s="340"/>
      <c r="F428" s="340"/>
      <c r="G428" s="339"/>
      <c r="H428" s="339"/>
      <c r="L428" s="340"/>
      <c r="M428" s="340"/>
      <c r="N428" s="340"/>
      <c r="P428" s="396"/>
      <c r="Q428" s="396"/>
    </row>
    <row r="429" ht="15.75" customHeight="1">
      <c r="E429" s="340"/>
      <c r="F429" s="340"/>
      <c r="G429" s="339"/>
      <c r="H429" s="339"/>
      <c r="L429" s="340"/>
      <c r="M429" s="340"/>
      <c r="N429" s="340"/>
      <c r="P429" s="396"/>
      <c r="Q429" s="396"/>
    </row>
    <row r="430" ht="15.75" customHeight="1">
      <c r="E430" s="340"/>
      <c r="F430" s="340"/>
      <c r="G430" s="339"/>
      <c r="H430" s="339"/>
      <c r="L430" s="340"/>
      <c r="M430" s="340"/>
      <c r="N430" s="340"/>
      <c r="P430" s="396"/>
      <c r="Q430" s="396"/>
    </row>
    <row r="431" ht="15.75" customHeight="1">
      <c r="E431" s="340"/>
      <c r="F431" s="340"/>
      <c r="G431" s="339"/>
      <c r="H431" s="339"/>
      <c r="L431" s="340"/>
      <c r="M431" s="340"/>
      <c r="N431" s="340"/>
      <c r="P431" s="396"/>
      <c r="Q431" s="396"/>
    </row>
    <row r="432" ht="15.75" customHeight="1">
      <c r="E432" s="340"/>
      <c r="F432" s="340"/>
      <c r="G432" s="339"/>
      <c r="H432" s="339"/>
      <c r="L432" s="340"/>
      <c r="M432" s="340"/>
      <c r="N432" s="340"/>
      <c r="P432" s="396"/>
      <c r="Q432" s="396"/>
    </row>
    <row r="433" ht="15.75" customHeight="1">
      <c r="E433" s="340"/>
      <c r="F433" s="340"/>
      <c r="G433" s="339"/>
      <c r="H433" s="339"/>
      <c r="L433" s="340"/>
      <c r="M433" s="340"/>
      <c r="N433" s="340"/>
      <c r="P433" s="396"/>
      <c r="Q433" s="396"/>
    </row>
    <row r="434" ht="15.75" customHeight="1">
      <c r="E434" s="340"/>
      <c r="F434" s="340"/>
      <c r="G434" s="339"/>
      <c r="H434" s="339"/>
      <c r="L434" s="340"/>
      <c r="M434" s="340"/>
      <c r="N434" s="340"/>
      <c r="P434" s="396"/>
      <c r="Q434" s="396"/>
    </row>
    <row r="435" ht="15.75" customHeight="1">
      <c r="E435" s="340"/>
      <c r="F435" s="340"/>
      <c r="G435" s="339"/>
      <c r="H435" s="339"/>
      <c r="L435" s="340"/>
      <c r="M435" s="340"/>
      <c r="N435" s="340"/>
      <c r="P435" s="396"/>
      <c r="Q435" s="396"/>
    </row>
    <row r="436" ht="15.75" customHeight="1">
      <c r="E436" s="340"/>
      <c r="F436" s="340"/>
      <c r="G436" s="339"/>
      <c r="H436" s="339"/>
      <c r="L436" s="340"/>
      <c r="M436" s="340"/>
      <c r="N436" s="340"/>
      <c r="P436" s="396"/>
      <c r="Q436" s="396"/>
    </row>
    <row r="437" ht="15.75" customHeight="1">
      <c r="E437" s="340"/>
      <c r="F437" s="340"/>
      <c r="G437" s="339"/>
      <c r="H437" s="339"/>
      <c r="L437" s="340"/>
      <c r="M437" s="340"/>
      <c r="N437" s="340"/>
      <c r="P437" s="396"/>
      <c r="Q437" s="396"/>
    </row>
    <row r="438" ht="15.75" customHeight="1">
      <c r="E438" s="340"/>
      <c r="F438" s="340"/>
      <c r="G438" s="339"/>
      <c r="H438" s="339"/>
      <c r="L438" s="340"/>
      <c r="M438" s="340"/>
      <c r="N438" s="340"/>
      <c r="P438" s="396"/>
      <c r="Q438" s="396"/>
    </row>
    <row r="439" ht="15.75" customHeight="1">
      <c r="E439" s="340"/>
      <c r="F439" s="340"/>
      <c r="G439" s="339"/>
      <c r="H439" s="339"/>
      <c r="L439" s="340"/>
      <c r="M439" s="340"/>
      <c r="N439" s="340"/>
      <c r="P439" s="396"/>
      <c r="Q439" s="396"/>
    </row>
    <row r="440" ht="15.75" customHeight="1">
      <c r="E440" s="340"/>
      <c r="F440" s="340"/>
      <c r="G440" s="339"/>
      <c r="H440" s="339"/>
      <c r="L440" s="340"/>
      <c r="M440" s="340"/>
      <c r="N440" s="340"/>
      <c r="P440" s="396"/>
      <c r="Q440" s="396"/>
    </row>
    <row r="441" ht="15.75" customHeight="1">
      <c r="E441" s="340"/>
      <c r="F441" s="340"/>
      <c r="G441" s="339"/>
      <c r="H441" s="339"/>
      <c r="L441" s="340"/>
      <c r="M441" s="340"/>
      <c r="N441" s="340"/>
      <c r="P441" s="396"/>
      <c r="Q441" s="396"/>
    </row>
    <row r="442" ht="15.75" customHeight="1">
      <c r="E442" s="340"/>
      <c r="F442" s="340"/>
      <c r="G442" s="339"/>
      <c r="H442" s="339"/>
      <c r="L442" s="340"/>
      <c r="M442" s="340"/>
      <c r="N442" s="340"/>
      <c r="P442" s="396"/>
      <c r="Q442" s="396"/>
    </row>
    <row r="443" ht="15.75" customHeight="1">
      <c r="E443" s="340"/>
      <c r="F443" s="340"/>
      <c r="G443" s="339"/>
      <c r="H443" s="339"/>
      <c r="L443" s="340"/>
      <c r="M443" s="340"/>
      <c r="N443" s="340"/>
      <c r="P443" s="396"/>
      <c r="Q443" s="396"/>
    </row>
    <row r="444" ht="15.75" customHeight="1">
      <c r="E444" s="340"/>
      <c r="F444" s="340"/>
      <c r="G444" s="339"/>
      <c r="H444" s="339"/>
      <c r="L444" s="340"/>
      <c r="M444" s="340"/>
      <c r="N444" s="340"/>
      <c r="P444" s="396"/>
      <c r="Q444" s="396"/>
    </row>
    <row r="445" ht="15.75" customHeight="1">
      <c r="E445" s="340"/>
      <c r="F445" s="340"/>
      <c r="G445" s="339"/>
      <c r="H445" s="339"/>
      <c r="L445" s="340"/>
      <c r="M445" s="340"/>
      <c r="N445" s="340"/>
      <c r="P445" s="396"/>
      <c r="Q445" s="396"/>
    </row>
    <row r="446" ht="15.75" customHeight="1">
      <c r="E446" s="340"/>
      <c r="F446" s="340"/>
      <c r="G446" s="339"/>
      <c r="H446" s="339"/>
      <c r="L446" s="340"/>
      <c r="M446" s="340"/>
      <c r="N446" s="340"/>
      <c r="P446" s="396"/>
      <c r="Q446" s="396"/>
    </row>
    <row r="447" ht="15.75" customHeight="1">
      <c r="E447" s="340"/>
      <c r="F447" s="340"/>
      <c r="G447" s="339"/>
      <c r="H447" s="339"/>
      <c r="L447" s="340"/>
      <c r="M447" s="340"/>
      <c r="N447" s="340"/>
      <c r="P447" s="396"/>
      <c r="Q447" s="396"/>
    </row>
    <row r="448" ht="15.75" customHeight="1">
      <c r="E448" s="340"/>
      <c r="F448" s="340"/>
      <c r="G448" s="339"/>
      <c r="H448" s="339"/>
      <c r="L448" s="340"/>
      <c r="M448" s="340"/>
      <c r="N448" s="340"/>
      <c r="P448" s="396"/>
      <c r="Q448" s="396"/>
    </row>
    <row r="449" ht="15.75" customHeight="1">
      <c r="E449" s="340"/>
      <c r="F449" s="340"/>
      <c r="G449" s="339"/>
      <c r="H449" s="339"/>
      <c r="L449" s="340"/>
      <c r="M449" s="340"/>
      <c r="N449" s="340"/>
      <c r="P449" s="396"/>
      <c r="Q449" s="396"/>
    </row>
    <row r="450" ht="15.75" customHeight="1">
      <c r="E450" s="340"/>
      <c r="F450" s="340"/>
      <c r="G450" s="339"/>
      <c r="H450" s="339"/>
      <c r="L450" s="340"/>
      <c r="M450" s="340"/>
      <c r="N450" s="340"/>
      <c r="P450" s="396"/>
      <c r="Q450" s="396"/>
    </row>
    <row r="451" ht="15.75" customHeight="1">
      <c r="E451" s="340"/>
      <c r="F451" s="340"/>
      <c r="G451" s="339"/>
      <c r="H451" s="339"/>
      <c r="L451" s="340"/>
      <c r="M451" s="340"/>
      <c r="N451" s="340"/>
      <c r="P451" s="396"/>
      <c r="Q451" s="396"/>
    </row>
    <row r="452" ht="15.75" customHeight="1">
      <c r="E452" s="340"/>
      <c r="F452" s="340"/>
      <c r="G452" s="339"/>
      <c r="H452" s="339"/>
      <c r="L452" s="340"/>
      <c r="M452" s="340"/>
      <c r="N452" s="340"/>
      <c r="P452" s="396"/>
      <c r="Q452" s="396"/>
    </row>
    <row r="453" ht="15.75" customHeight="1">
      <c r="E453" s="340"/>
      <c r="F453" s="340"/>
      <c r="G453" s="339"/>
      <c r="H453" s="339"/>
      <c r="L453" s="340"/>
      <c r="M453" s="340"/>
      <c r="N453" s="340"/>
      <c r="P453" s="396"/>
      <c r="Q453" s="396"/>
    </row>
    <row r="454" ht="15.75" customHeight="1">
      <c r="E454" s="340"/>
      <c r="F454" s="340"/>
      <c r="G454" s="339"/>
      <c r="H454" s="339"/>
      <c r="L454" s="340"/>
      <c r="M454" s="340"/>
      <c r="N454" s="340"/>
      <c r="P454" s="396"/>
      <c r="Q454" s="396"/>
    </row>
    <row r="455" ht="15.75" customHeight="1">
      <c r="E455" s="340"/>
      <c r="F455" s="340"/>
      <c r="G455" s="339"/>
      <c r="H455" s="339"/>
      <c r="L455" s="340"/>
      <c r="M455" s="340"/>
      <c r="N455" s="340"/>
      <c r="P455" s="396"/>
      <c r="Q455" s="396"/>
    </row>
    <row r="456" ht="15.75" customHeight="1">
      <c r="E456" s="340"/>
      <c r="F456" s="340"/>
      <c r="G456" s="339"/>
      <c r="H456" s="339"/>
      <c r="L456" s="340"/>
      <c r="M456" s="340"/>
      <c r="N456" s="340"/>
      <c r="P456" s="396"/>
      <c r="Q456" s="396"/>
    </row>
    <row r="457" ht="15.75" customHeight="1">
      <c r="E457" s="340"/>
      <c r="F457" s="340"/>
      <c r="G457" s="339"/>
      <c r="H457" s="339"/>
      <c r="L457" s="340"/>
      <c r="M457" s="340"/>
      <c r="N457" s="340"/>
      <c r="P457" s="396"/>
      <c r="Q457" s="396"/>
    </row>
    <row r="458" ht="15.75" customHeight="1">
      <c r="E458" s="340"/>
      <c r="F458" s="340"/>
      <c r="G458" s="339"/>
      <c r="H458" s="339"/>
      <c r="L458" s="340"/>
      <c r="M458" s="340"/>
      <c r="N458" s="340"/>
      <c r="P458" s="396"/>
      <c r="Q458" s="396"/>
    </row>
    <row r="459" ht="15.75" customHeight="1">
      <c r="E459" s="340"/>
      <c r="F459" s="340"/>
      <c r="G459" s="339"/>
      <c r="H459" s="339"/>
      <c r="L459" s="340"/>
      <c r="M459" s="340"/>
      <c r="N459" s="340"/>
      <c r="P459" s="396"/>
      <c r="Q459" s="396"/>
    </row>
    <row r="460" ht="15.75" customHeight="1">
      <c r="E460" s="340"/>
      <c r="F460" s="340"/>
      <c r="G460" s="339"/>
      <c r="H460" s="339"/>
      <c r="L460" s="340"/>
      <c r="M460" s="340"/>
      <c r="N460" s="340"/>
      <c r="P460" s="396"/>
      <c r="Q460" s="396"/>
    </row>
    <row r="461" ht="15.75" customHeight="1">
      <c r="E461" s="340"/>
      <c r="F461" s="340"/>
      <c r="G461" s="339"/>
      <c r="H461" s="339"/>
      <c r="L461" s="340"/>
      <c r="M461" s="340"/>
      <c r="N461" s="340"/>
      <c r="P461" s="396"/>
      <c r="Q461" s="396"/>
    </row>
    <row r="462" ht="15.75" customHeight="1">
      <c r="E462" s="340"/>
      <c r="F462" s="340"/>
      <c r="G462" s="339"/>
      <c r="H462" s="339"/>
      <c r="L462" s="340"/>
      <c r="M462" s="340"/>
      <c r="N462" s="340"/>
      <c r="P462" s="396"/>
      <c r="Q462" s="396"/>
    </row>
    <row r="463" ht="15.75" customHeight="1">
      <c r="E463" s="340"/>
      <c r="F463" s="340"/>
      <c r="G463" s="339"/>
      <c r="H463" s="339"/>
      <c r="L463" s="340"/>
      <c r="M463" s="340"/>
      <c r="N463" s="340"/>
      <c r="P463" s="396"/>
      <c r="Q463" s="396"/>
    </row>
    <row r="464" ht="15.75" customHeight="1">
      <c r="E464" s="340"/>
      <c r="F464" s="340"/>
      <c r="G464" s="339"/>
      <c r="H464" s="339"/>
      <c r="L464" s="340"/>
      <c r="M464" s="340"/>
      <c r="N464" s="340"/>
      <c r="P464" s="396"/>
      <c r="Q464" s="396"/>
    </row>
    <row r="465" ht="15.75" customHeight="1">
      <c r="E465" s="340"/>
      <c r="F465" s="340"/>
      <c r="G465" s="339"/>
      <c r="H465" s="339"/>
      <c r="L465" s="340"/>
      <c r="M465" s="340"/>
      <c r="N465" s="340"/>
      <c r="P465" s="396"/>
      <c r="Q465" s="396"/>
    </row>
    <row r="466" ht="15.75" customHeight="1">
      <c r="E466" s="340"/>
      <c r="F466" s="340"/>
      <c r="G466" s="339"/>
      <c r="H466" s="339"/>
      <c r="L466" s="340"/>
      <c r="M466" s="340"/>
      <c r="N466" s="340"/>
      <c r="P466" s="396"/>
      <c r="Q466" s="396"/>
    </row>
    <row r="467" ht="15.75" customHeight="1">
      <c r="E467" s="340"/>
      <c r="F467" s="340"/>
      <c r="G467" s="339"/>
      <c r="H467" s="339"/>
      <c r="L467" s="340"/>
      <c r="M467" s="340"/>
      <c r="N467" s="340"/>
      <c r="P467" s="396"/>
      <c r="Q467" s="396"/>
    </row>
    <row r="468" ht="15.75" customHeight="1">
      <c r="E468" s="340"/>
      <c r="F468" s="340"/>
      <c r="G468" s="339"/>
      <c r="H468" s="339"/>
      <c r="L468" s="340"/>
      <c r="M468" s="340"/>
      <c r="N468" s="340"/>
      <c r="P468" s="396"/>
      <c r="Q468" s="396"/>
    </row>
    <row r="469" ht="15.75" customHeight="1">
      <c r="E469" s="340"/>
      <c r="F469" s="340"/>
      <c r="G469" s="339"/>
      <c r="H469" s="339"/>
      <c r="L469" s="340"/>
      <c r="M469" s="340"/>
      <c r="N469" s="340"/>
      <c r="P469" s="396"/>
      <c r="Q469" s="396"/>
    </row>
    <row r="470" ht="15.75" customHeight="1">
      <c r="E470" s="340"/>
      <c r="F470" s="340"/>
      <c r="G470" s="339"/>
      <c r="H470" s="339"/>
      <c r="L470" s="340"/>
      <c r="M470" s="340"/>
      <c r="N470" s="340"/>
      <c r="P470" s="396"/>
      <c r="Q470" s="396"/>
    </row>
    <row r="471" ht="15.75" customHeight="1">
      <c r="E471" s="340"/>
      <c r="F471" s="340"/>
      <c r="G471" s="339"/>
      <c r="H471" s="339"/>
      <c r="L471" s="340"/>
      <c r="M471" s="340"/>
      <c r="N471" s="340"/>
      <c r="P471" s="396"/>
      <c r="Q471" s="396"/>
    </row>
    <row r="472" ht="15.75" customHeight="1">
      <c r="E472" s="340"/>
      <c r="F472" s="340"/>
      <c r="G472" s="339"/>
      <c r="H472" s="339"/>
      <c r="L472" s="340"/>
      <c r="M472" s="340"/>
      <c r="N472" s="340"/>
      <c r="P472" s="396"/>
      <c r="Q472" s="396"/>
    </row>
    <row r="473" ht="15.75" customHeight="1">
      <c r="E473" s="340"/>
      <c r="F473" s="340"/>
      <c r="G473" s="339"/>
      <c r="H473" s="339"/>
      <c r="L473" s="340"/>
      <c r="M473" s="340"/>
      <c r="N473" s="340"/>
      <c r="P473" s="396"/>
      <c r="Q473" s="396"/>
    </row>
    <row r="474" ht="15.75" customHeight="1">
      <c r="E474" s="340"/>
      <c r="F474" s="340"/>
      <c r="G474" s="339"/>
      <c r="H474" s="339"/>
      <c r="L474" s="340"/>
      <c r="M474" s="340"/>
      <c r="N474" s="340"/>
      <c r="P474" s="396"/>
      <c r="Q474" s="396"/>
    </row>
    <row r="475" ht="15.75" customHeight="1">
      <c r="E475" s="340"/>
      <c r="F475" s="340"/>
      <c r="G475" s="339"/>
      <c r="H475" s="339"/>
      <c r="L475" s="340"/>
      <c r="M475" s="340"/>
      <c r="N475" s="340"/>
      <c r="P475" s="396"/>
      <c r="Q475" s="396"/>
    </row>
    <row r="476" ht="15.75" customHeight="1">
      <c r="E476" s="340"/>
      <c r="F476" s="340"/>
      <c r="G476" s="339"/>
      <c r="H476" s="339"/>
      <c r="L476" s="340"/>
      <c r="M476" s="340"/>
      <c r="N476" s="340"/>
      <c r="P476" s="396"/>
      <c r="Q476" s="396"/>
    </row>
    <row r="477" ht="15.75" customHeight="1">
      <c r="E477" s="340"/>
      <c r="F477" s="340"/>
      <c r="G477" s="339"/>
      <c r="H477" s="339"/>
      <c r="L477" s="340"/>
      <c r="M477" s="340"/>
      <c r="N477" s="340"/>
      <c r="P477" s="396"/>
      <c r="Q477" s="396"/>
    </row>
    <row r="478" ht="15.75" customHeight="1">
      <c r="E478" s="340"/>
      <c r="F478" s="340"/>
      <c r="G478" s="339"/>
      <c r="H478" s="339"/>
      <c r="L478" s="340"/>
      <c r="M478" s="340"/>
      <c r="N478" s="340"/>
      <c r="P478" s="396"/>
      <c r="Q478" s="396"/>
    </row>
    <row r="479" ht="15.75" customHeight="1">
      <c r="E479" s="340"/>
      <c r="F479" s="340"/>
      <c r="G479" s="339"/>
      <c r="H479" s="339"/>
      <c r="L479" s="340"/>
      <c r="M479" s="340"/>
      <c r="N479" s="340"/>
      <c r="P479" s="396"/>
      <c r="Q479" s="396"/>
    </row>
    <row r="480" ht="15.75" customHeight="1">
      <c r="E480" s="340"/>
      <c r="F480" s="340"/>
      <c r="G480" s="339"/>
      <c r="H480" s="339"/>
      <c r="L480" s="340"/>
      <c r="M480" s="340"/>
      <c r="N480" s="340"/>
      <c r="P480" s="396"/>
      <c r="Q480" s="396"/>
    </row>
    <row r="481" ht="15.75" customHeight="1">
      <c r="E481" s="340"/>
      <c r="F481" s="340"/>
      <c r="G481" s="339"/>
      <c r="H481" s="339"/>
      <c r="L481" s="340"/>
      <c r="M481" s="340"/>
      <c r="N481" s="340"/>
      <c r="P481" s="396"/>
      <c r="Q481" s="396"/>
    </row>
    <row r="482" ht="15.75" customHeight="1">
      <c r="E482" s="340"/>
      <c r="F482" s="340"/>
      <c r="G482" s="339"/>
      <c r="H482" s="339"/>
      <c r="L482" s="340"/>
      <c r="M482" s="340"/>
      <c r="N482" s="340"/>
      <c r="P482" s="396"/>
      <c r="Q482" s="396"/>
    </row>
    <row r="483" ht="15.75" customHeight="1">
      <c r="E483" s="340"/>
      <c r="F483" s="340"/>
      <c r="G483" s="339"/>
      <c r="H483" s="339"/>
      <c r="L483" s="340"/>
      <c r="M483" s="340"/>
      <c r="N483" s="340"/>
      <c r="P483" s="396"/>
      <c r="Q483" s="396"/>
    </row>
    <row r="484" ht="15.75" customHeight="1">
      <c r="E484" s="340"/>
      <c r="F484" s="340"/>
      <c r="G484" s="339"/>
      <c r="H484" s="339"/>
      <c r="L484" s="340"/>
      <c r="M484" s="340"/>
      <c r="N484" s="340"/>
      <c r="P484" s="396"/>
      <c r="Q484" s="396"/>
    </row>
    <row r="485" ht="15.75" customHeight="1">
      <c r="E485" s="340"/>
      <c r="F485" s="340"/>
      <c r="G485" s="339"/>
      <c r="H485" s="339"/>
      <c r="L485" s="340"/>
      <c r="M485" s="340"/>
      <c r="N485" s="340"/>
      <c r="P485" s="396"/>
      <c r="Q485" s="396"/>
    </row>
    <row r="486" ht="15.75" customHeight="1">
      <c r="E486" s="340"/>
      <c r="F486" s="340"/>
      <c r="G486" s="339"/>
      <c r="H486" s="339"/>
      <c r="L486" s="340"/>
      <c r="M486" s="340"/>
      <c r="N486" s="340"/>
      <c r="P486" s="396"/>
      <c r="Q486" s="396"/>
    </row>
    <row r="487" ht="15.75" customHeight="1">
      <c r="E487" s="340"/>
      <c r="F487" s="340"/>
      <c r="G487" s="339"/>
      <c r="H487" s="339"/>
      <c r="L487" s="340"/>
      <c r="M487" s="340"/>
      <c r="N487" s="340"/>
      <c r="P487" s="396"/>
      <c r="Q487" s="396"/>
    </row>
    <row r="488" ht="15.75" customHeight="1">
      <c r="E488" s="340"/>
      <c r="F488" s="340"/>
      <c r="G488" s="339"/>
      <c r="H488" s="339"/>
      <c r="L488" s="340"/>
      <c r="M488" s="340"/>
      <c r="N488" s="340"/>
      <c r="P488" s="396"/>
      <c r="Q488" s="396"/>
    </row>
    <row r="489" ht="15.75" customHeight="1">
      <c r="E489" s="340"/>
      <c r="F489" s="340"/>
      <c r="G489" s="339"/>
      <c r="H489" s="339"/>
      <c r="L489" s="340"/>
      <c r="M489" s="340"/>
      <c r="N489" s="340"/>
      <c r="P489" s="396"/>
      <c r="Q489" s="396"/>
    </row>
    <row r="490" ht="15.75" customHeight="1">
      <c r="E490" s="340"/>
      <c r="F490" s="340"/>
      <c r="G490" s="339"/>
      <c r="H490" s="339"/>
      <c r="L490" s="340"/>
      <c r="M490" s="340"/>
      <c r="N490" s="340"/>
      <c r="P490" s="396"/>
      <c r="Q490" s="396"/>
    </row>
    <row r="491" ht="15.75" customHeight="1">
      <c r="E491" s="340"/>
      <c r="F491" s="340"/>
      <c r="G491" s="339"/>
      <c r="H491" s="339"/>
      <c r="L491" s="340"/>
      <c r="M491" s="340"/>
      <c r="N491" s="340"/>
      <c r="P491" s="396"/>
      <c r="Q491" s="396"/>
    </row>
    <row r="492" ht="15.75" customHeight="1">
      <c r="E492" s="340"/>
      <c r="F492" s="340"/>
      <c r="G492" s="339"/>
      <c r="H492" s="339"/>
      <c r="L492" s="340"/>
      <c r="M492" s="340"/>
      <c r="N492" s="340"/>
      <c r="P492" s="396"/>
      <c r="Q492" s="396"/>
    </row>
    <row r="493" ht="15.75" customHeight="1">
      <c r="E493" s="340"/>
      <c r="F493" s="340"/>
      <c r="G493" s="339"/>
      <c r="H493" s="339"/>
      <c r="L493" s="340"/>
      <c r="M493" s="340"/>
      <c r="N493" s="340"/>
      <c r="P493" s="396"/>
      <c r="Q493" s="396"/>
    </row>
    <row r="494" ht="15.75" customHeight="1">
      <c r="E494" s="340"/>
      <c r="F494" s="340"/>
      <c r="G494" s="339"/>
      <c r="H494" s="339"/>
      <c r="L494" s="340"/>
      <c r="M494" s="340"/>
      <c r="N494" s="340"/>
      <c r="P494" s="396"/>
      <c r="Q494" s="396"/>
    </row>
    <row r="495" ht="15.75" customHeight="1">
      <c r="E495" s="340"/>
      <c r="F495" s="340"/>
      <c r="G495" s="339"/>
      <c r="H495" s="339"/>
      <c r="L495" s="340"/>
      <c r="M495" s="340"/>
      <c r="N495" s="340"/>
      <c r="P495" s="396"/>
      <c r="Q495" s="396"/>
    </row>
    <row r="496" ht="15.75" customHeight="1">
      <c r="E496" s="340"/>
      <c r="F496" s="340"/>
      <c r="G496" s="339"/>
      <c r="H496" s="339"/>
      <c r="L496" s="340"/>
      <c r="M496" s="340"/>
      <c r="N496" s="340"/>
      <c r="P496" s="396"/>
      <c r="Q496" s="396"/>
    </row>
    <row r="497" ht="15.75" customHeight="1">
      <c r="E497" s="340"/>
      <c r="F497" s="340"/>
      <c r="G497" s="339"/>
      <c r="H497" s="339"/>
      <c r="L497" s="340"/>
      <c r="M497" s="340"/>
      <c r="N497" s="340"/>
      <c r="P497" s="396"/>
      <c r="Q497" s="396"/>
    </row>
    <row r="498" ht="15.75" customHeight="1">
      <c r="E498" s="340"/>
      <c r="F498" s="340"/>
      <c r="G498" s="339"/>
      <c r="H498" s="339"/>
      <c r="L498" s="340"/>
      <c r="M498" s="340"/>
      <c r="N498" s="340"/>
      <c r="P498" s="396"/>
      <c r="Q498" s="396"/>
    </row>
    <row r="499" ht="15.75" customHeight="1">
      <c r="E499" s="340"/>
      <c r="F499" s="340"/>
      <c r="G499" s="339"/>
      <c r="H499" s="339"/>
      <c r="L499" s="340"/>
      <c r="M499" s="340"/>
      <c r="N499" s="340"/>
      <c r="P499" s="396"/>
      <c r="Q499" s="396"/>
    </row>
    <row r="500" ht="15.75" customHeight="1">
      <c r="E500" s="340"/>
      <c r="F500" s="340"/>
      <c r="G500" s="339"/>
      <c r="H500" s="339"/>
      <c r="L500" s="340"/>
      <c r="M500" s="340"/>
      <c r="N500" s="340"/>
      <c r="P500" s="396"/>
      <c r="Q500" s="396"/>
    </row>
    <row r="501" ht="15.75" customHeight="1">
      <c r="E501" s="340"/>
      <c r="F501" s="340"/>
      <c r="G501" s="339"/>
      <c r="H501" s="339"/>
      <c r="L501" s="340"/>
      <c r="M501" s="340"/>
      <c r="N501" s="340"/>
      <c r="P501" s="396"/>
      <c r="Q501" s="396"/>
    </row>
    <row r="502" ht="15.75" customHeight="1">
      <c r="E502" s="340"/>
      <c r="F502" s="340"/>
      <c r="G502" s="339"/>
      <c r="H502" s="339"/>
      <c r="L502" s="340"/>
      <c r="M502" s="340"/>
      <c r="N502" s="340"/>
      <c r="P502" s="396"/>
      <c r="Q502" s="396"/>
    </row>
    <row r="503" ht="15.75" customHeight="1">
      <c r="E503" s="340"/>
      <c r="F503" s="340"/>
      <c r="G503" s="339"/>
      <c r="H503" s="339"/>
      <c r="L503" s="340"/>
      <c r="M503" s="340"/>
      <c r="N503" s="340"/>
      <c r="P503" s="396"/>
      <c r="Q503" s="396"/>
    </row>
    <row r="504" ht="15.75" customHeight="1">
      <c r="E504" s="340"/>
      <c r="F504" s="340"/>
      <c r="G504" s="339"/>
      <c r="H504" s="339"/>
      <c r="L504" s="340"/>
      <c r="M504" s="340"/>
      <c r="N504" s="340"/>
      <c r="P504" s="396"/>
      <c r="Q504" s="396"/>
    </row>
    <row r="505" ht="15.75" customHeight="1">
      <c r="E505" s="340"/>
      <c r="F505" s="340"/>
      <c r="G505" s="339"/>
      <c r="H505" s="339"/>
      <c r="L505" s="340"/>
      <c r="M505" s="340"/>
      <c r="N505" s="340"/>
      <c r="P505" s="396"/>
      <c r="Q505" s="396"/>
    </row>
    <row r="506" ht="15.75" customHeight="1">
      <c r="E506" s="340"/>
      <c r="F506" s="340"/>
      <c r="G506" s="339"/>
      <c r="H506" s="339"/>
      <c r="L506" s="340"/>
      <c r="M506" s="340"/>
      <c r="N506" s="340"/>
      <c r="P506" s="396"/>
      <c r="Q506" s="396"/>
    </row>
    <row r="507" ht="15.75" customHeight="1">
      <c r="E507" s="340"/>
      <c r="F507" s="340"/>
      <c r="G507" s="339"/>
      <c r="H507" s="339"/>
      <c r="L507" s="340"/>
      <c r="M507" s="340"/>
      <c r="N507" s="340"/>
      <c r="P507" s="396"/>
      <c r="Q507" s="396"/>
    </row>
    <row r="508" ht="15.75" customHeight="1">
      <c r="E508" s="340"/>
      <c r="F508" s="340"/>
      <c r="G508" s="339"/>
      <c r="H508" s="339"/>
      <c r="L508" s="340"/>
      <c r="M508" s="340"/>
      <c r="N508" s="340"/>
      <c r="P508" s="396"/>
      <c r="Q508" s="396"/>
    </row>
    <row r="509" ht="15.75" customHeight="1">
      <c r="E509" s="340"/>
      <c r="F509" s="340"/>
      <c r="G509" s="339"/>
      <c r="H509" s="339"/>
      <c r="L509" s="340"/>
      <c r="M509" s="340"/>
      <c r="N509" s="340"/>
      <c r="P509" s="396"/>
      <c r="Q509" s="396"/>
    </row>
    <row r="510" ht="15.75" customHeight="1">
      <c r="E510" s="340"/>
      <c r="F510" s="340"/>
      <c r="G510" s="339"/>
      <c r="H510" s="339"/>
      <c r="L510" s="340"/>
      <c r="M510" s="340"/>
      <c r="N510" s="340"/>
      <c r="P510" s="396"/>
      <c r="Q510" s="396"/>
    </row>
    <row r="511" ht="15.75" customHeight="1">
      <c r="E511" s="340"/>
      <c r="F511" s="340"/>
      <c r="G511" s="339"/>
      <c r="H511" s="339"/>
      <c r="L511" s="340"/>
      <c r="M511" s="340"/>
      <c r="N511" s="340"/>
      <c r="P511" s="396"/>
      <c r="Q511" s="396"/>
    </row>
    <row r="512" ht="15.75" customHeight="1">
      <c r="E512" s="340"/>
      <c r="F512" s="340"/>
      <c r="G512" s="339"/>
      <c r="H512" s="339"/>
      <c r="L512" s="340"/>
      <c r="M512" s="340"/>
      <c r="N512" s="340"/>
      <c r="P512" s="396"/>
      <c r="Q512" s="396"/>
    </row>
    <row r="513" ht="15.75" customHeight="1">
      <c r="E513" s="340"/>
      <c r="F513" s="340"/>
      <c r="G513" s="339"/>
      <c r="H513" s="339"/>
      <c r="L513" s="340"/>
      <c r="M513" s="340"/>
      <c r="N513" s="340"/>
      <c r="P513" s="396"/>
      <c r="Q513" s="396"/>
    </row>
    <row r="514" ht="15.75" customHeight="1">
      <c r="E514" s="340"/>
      <c r="F514" s="340"/>
      <c r="G514" s="339"/>
      <c r="H514" s="339"/>
      <c r="L514" s="340"/>
      <c r="M514" s="340"/>
      <c r="N514" s="340"/>
      <c r="P514" s="396"/>
      <c r="Q514" s="396"/>
    </row>
    <row r="515" ht="15.75" customHeight="1">
      <c r="E515" s="340"/>
      <c r="F515" s="340"/>
      <c r="G515" s="339"/>
      <c r="H515" s="339"/>
      <c r="L515" s="340"/>
      <c r="M515" s="340"/>
      <c r="N515" s="340"/>
      <c r="P515" s="396"/>
      <c r="Q515" s="396"/>
    </row>
    <row r="516" ht="15.75" customHeight="1">
      <c r="E516" s="340"/>
      <c r="F516" s="340"/>
      <c r="G516" s="339"/>
      <c r="H516" s="339"/>
      <c r="L516" s="340"/>
      <c r="M516" s="340"/>
      <c r="N516" s="340"/>
      <c r="P516" s="396"/>
      <c r="Q516" s="396"/>
    </row>
    <row r="517" ht="15.75" customHeight="1">
      <c r="E517" s="340"/>
      <c r="F517" s="340"/>
      <c r="G517" s="339"/>
      <c r="H517" s="339"/>
      <c r="L517" s="340"/>
      <c r="M517" s="340"/>
      <c r="N517" s="340"/>
      <c r="P517" s="396"/>
      <c r="Q517" s="396"/>
    </row>
    <row r="518" ht="15.75" customHeight="1">
      <c r="E518" s="340"/>
      <c r="F518" s="340"/>
      <c r="G518" s="339"/>
      <c r="H518" s="339"/>
      <c r="L518" s="340"/>
      <c r="M518" s="340"/>
      <c r="N518" s="340"/>
      <c r="P518" s="396"/>
      <c r="Q518" s="396"/>
    </row>
    <row r="519" ht="15.75" customHeight="1">
      <c r="E519" s="340"/>
      <c r="F519" s="340"/>
      <c r="G519" s="339"/>
      <c r="H519" s="339"/>
      <c r="L519" s="340"/>
      <c r="M519" s="340"/>
      <c r="N519" s="340"/>
      <c r="P519" s="396"/>
      <c r="Q519" s="396"/>
    </row>
    <row r="520" ht="15.75" customHeight="1">
      <c r="E520" s="340"/>
      <c r="F520" s="340"/>
      <c r="G520" s="339"/>
      <c r="H520" s="339"/>
      <c r="L520" s="340"/>
      <c r="M520" s="340"/>
      <c r="N520" s="340"/>
      <c r="P520" s="396"/>
      <c r="Q520" s="396"/>
    </row>
    <row r="521" ht="15.75" customHeight="1">
      <c r="E521" s="340"/>
      <c r="F521" s="340"/>
      <c r="G521" s="339"/>
      <c r="H521" s="339"/>
      <c r="L521" s="340"/>
      <c r="M521" s="340"/>
      <c r="N521" s="340"/>
      <c r="P521" s="396"/>
      <c r="Q521" s="396"/>
    </row>
    <row r="522" ht="15.75" customHeight="1">
      <c r="E522" s="340"/>
      <c r="F522" s="340"/>
      <c r="G522" s="339"/>
      <c r="H522" s="339"/>
      <c r="L522" s="340"/>
      <c r="M522" s="340"/>
      <c r="N522" s="340"/>
      <c r="P522" s="396"/>
      <c r="Q522" s="396"/>
    </row>
    <row r="523" ht="15.75" customHeight="1">
      <c r="E523" s="340"/>
      <c r="F523" s="340"/>
      <c r="G523" s="339"/>
      <c r="H523" s="339"/>
      <c r="L523" s="340"/>
      <c r="M523" s="340"/>
      <c r="N523" s="340"/>
      <c r="P523" s="396"/>
      <c r="Q523" s="396"/>
    </row>
    <row r="524" ht="15.75" customHeight="1">
      <c r="E524" s="340"/>
      <c r="F524" s="340"/>
      <c r="G524" s="339"/>
      <c r="H524" s="339"/>
      <c r="L524" s="340"/>
      <c r="M524" s="340"/>
      <c r="N524" s="340"/>
      <c r="P524" s="396"/>
      <c r="Q524" s="396"/>
    </row>
    <row r="525" ht="15.75" customHeight="1">
      <c r="E525" s="340"/>
      <c r="F525" s="340"/>
      <c r="G525" s="339"/>
      <c r="H525" s="339"/>
      <c r="L525" s="340"/>
      <c r="M525" s="340"/>
      <c r="N525" s="340"/>
      <c r="P525" s="396"/>
      <c r="Q525" s="396"/>
    </row>
    <row r="526" ht="15.75" customHeight="1">
      <c r="E526" s="340"/>
      <c r="F526" s="340"/>
      <c r="G526" s="339"/>
      <c r="H526" s="339"/>
      <c r="L526" s="340"/>
      <c r="M526" s="340"/>
      <c r="N526" s="340"/>
      <c r="P526" s="396"/>
      <c r="Q526" s="396"/>
    </row>
    <row r="527" ht="15.75" customHeight="1">
      <c r="E527" s="340"/>
      <c r="F527" s="340"/>
      <c r="G527" s="339"/>
      <c r="H527" s="339"/>
      <c r="L527" s="340"/>
      <c r="M527" s="340"/>
      <c r="N527" s="340"/>
      <c r="P527" s="396"/>
      <c r="Q527" s="396"/>
    </row>
    <row r="528" ht="15.75" customHeight="1">
      <c r="E528" s="340"/>
      <c r="F528" s="340"/>
      <c r="G528" s="339"/>
      <c r="H528" s="339"/>
      <c r="L528" s="340"/>
      <c r="M528" s="340"/>
      <c r="N528" s="340"/>
      <c r="P528" s="396"/>
      <c r="Q528" s="396"/>
    </row>
    <row r="529" ht="15.75" customHeight="1">
      <c r="E529" s="340"/>
      <c r="F529" s="340"/>
      <c r="G529" s="339"/>
      <c r="H529" s="339"/>
      <c r="L529" s="340"/>
      <c r="M529" s="340"/>
      <c r="N529" s="340"/>
      <c r="P529" s="396"/>
      <c r="Q529" s="396"/>
    </row>
    <row r="530" ht="15.75" customHeight="1">
      <c r="E530" s="340"/>
      <c r="F530" s="340"/>
      <c r="G530" s="339"/>
      <c r="H530" s="339"/>
      <c r="L530" s="340"/>
      <c r="M530" s="340"/>
      <c r="N530" s="340"/>
      <c r="P530" s="396"/>
      <c r="Q530" s="396"/>
    </row>
    <row r="531" ht="15.75" customHeight="1">
      <c r="E531" s="340"/>
      <c r="F531" s="340"/>
      <c r="G531" s="339"/>
      <c r="H531" s="339"/>
      <c r="L531" s="340"/>
      <c r="M531" s="340"/>
      <c r="N531" s="340"/>
      <c r="P531" s="396"/>
      <c r="Q531" s="396"/>
    </row>
    <row r="532" ht="15.75" customHeight="1">
      <c r="E532" s="340"/>
      <c r="F532" s="340"/>
      <c r="G532" s="339"/>
      <c r="H532" s="339"/>
      <c r="L532" s="340"/>
      <c r="M532" s="340"/>
      <c r="N532" s="340"/>
      <c r="P532" s="396"/>
      <c r="Q532" s="396"/>
    </row>
    <row r="533" ht="15.75" customHeight="1">
      <c r="E533" s="340"/>
      <c r="F533" s="340"/>
      <c r="G533" s="339"/>
      <c r="H533" s="339"/>
      <c r="L533" s="340"/>
      <c r="M533" s="340"/>
      <c r="N533" s="340"/>
      <c r="P533" s="396"/>
      <c r="Q533" s="396"/>
    </row>
    <row r="534" ht="15.75" customHeight="1">
      <c r="E534" s="340"/>
      <c r="F534" s="340"/>
      <c r="G534" s="339"/>
      <c r="H534" s="339"/>
      <c r="L534" s="340"/>
      <c r="M534" s="340"/>
      <c r="N534" s="340"/>
      <c r="P534" s="396"/>
      <c r="Q534" s="396"/>
    </row>
    <row r="535" ht="15.75" customHeight="1">
      <c r="E535" s="340"/>
      <c r="F535" s="340"/>
      <c r="G535" s="339"/>
      <c r="H535" s="339"/>
      <c r="L535" s="340"/>
      <c r="M535" s="340"/>
      <c r="N535" s="340"/>
      <c r="P535" s="396"/>
      <c r="Q535" s="396"/>
    </row>
    <row r="536" ht="15.75" customHeight="1">
      <c r="E536" s="340"/>
      <c r="F536" s="340"/>
      <c r="G536" s="339"/>
      <c r="H536" s="339"/>
      <c r="L536" s="340"/>
      <c r="M536" s="340"/>
      <c r="N536" s="340"/>
      <c r="P536" s="396"/>
      <c r="Q536" s="396"/>
    </row>
    <row r="537" ht="15.75" customHeight="1">
      <c r="E537" s="340"/>
      <c r="F537" s="340"/>
      <c r="G537" s="339"/>
      <c r="H537" s="339"/>
      <c r="L537" s="340"/>
      <c r="M537" s="340"/>
      <c r="N537" s="340"/>
      <c r="P537" s="396"/>
      <c r="Q537" s="396"/>
    </row>
    <row r="538" ht="15.75" customHeight="1">
      <c r="E538" s="340"/>
      <c r="F538" s="340"/>
      <c r="G538" s="339"/>
      <c r="H538" s="339"/>
      <c r="L538" s="340"/>
      <c r="M538" s="340"/>
      <c r="N538" s="340"/>
      <c r="P538" s="396"/>
      <c r="Q538" s="396"/>
    </row>
    <row r="539" ht="15.75" customHeight="1">
      <c r="E539" s="340"/>
      <c r="F539" s="340"/>
      <c r="G539" s="339"/>
      <c r="H539" s="339"/>
      <c r="L539" s="340"/>
      <c r="M539" s="340"/>
      <c r="N539" s="340"/>
      <c r="P539" s="396"/>
      <c r="Q539" s="396"/>
    </row>
    <row r="540" ht="15.75" customHeight="1">
      <c r="E540" s="340"/>
      <c r="F540" s="340"/>
      <c r="G540" s="339"/>
      <c r="H540" s="339"/>
      <c r="L540" s="340"/>
      <c r="M540" s="340"/>
      <c r="N540" s="340"/>
      <c r="P540" s="396"/>
      <c r="Q540" s="396"/>
    </row>
    <row r="541" ht="15.75" customHeight="1">
      <c r="E541" s="340"/>
      <c r="F541" s="340"/>
      <c r="G541" s="339"/>
      <c r="H541" s="339"/>
      <c r="L541" s="340"/>
      <c r="M541" s="340"/>
      <c r="N541" s="340"/>
      <c r="P541" s="396"/>
      <c r="Q541" s="396"/>
    </row>
    <row r="542" ht="15.75" customHeight="1">
      <c r="E542" s="340"/>
      <c r="F542" s="340"/>
      <c r="G542" s="339"/>
      <c r="H542" s="339"/>
      <c r="L542" s="340"/>
      <c r="M542" s="340"/>
      <c r="N542" s="340"/>
      <c r="P542" s="396"/>
      <c r="Q542" s="396"/>
    </row>
    <row r="543" ht="15.75" customHeight="1">
      <c r="E543" s="340"/>
      <c r="F543" s="340"/>
      <c r="G543" s="339"/>
      <c r="H543" s="339"/>
      <c r="L543" s="340"/>
      <c r="M543" s="340"/>
      <c r="N543" s="340"/>
      <c r="P543" s="396"/>
      <c r="Q543" s="396"/>
    </row>
    <row r="544" ht="15.75" customHeight="1">
      <c r="E544" s="340"/>
      <c r="F544" s="340"/>
      <c r="G544" s="339"/>
      <c r="H544" s="339"/>
      <c r="L544" s="340"/>
      <c r="M544" s="340"/>
      <c r="N544" s="340"/>
      <c r="P544" s="396"/>
      <c r="Q544" s="396"/>
    </row>
    <row r="545" ht="15.75" customHeight="1">
      <c r="E545" s="340"/>
      <c r="F545" s="340"/>
      <c r="G545" s="339"/>
      <c r="H545" s="339"/>
      <c r="L545" s="340"/>
      <c r="M545" s="340"/>
      <c r="N545" s="340"/>
      <c r="P545" s="396"/>
      <c r="Q545" s="396"/>
    </row>
    <row r="546" ht="15.75" customHeight="1">
      <c r="E546" s="340"/>
      <c r="F546" s="340"/>
      <c r="G546" s="339"/>
      <c r="H546" s="339"/>
      <c r="L546" s="340"/>
      <c r="M546" s="340"/>
      <c r="N546" s="340"/>
      <c r="P546" s="396"/>
      <c r="Q546" s="396"/>
    </row>
    <row r="547" ht="15.75" customHeight="1">
      <c r="E547" s="340"/>
      <c r="F547" s="340"/>
      <c r="G547" s="339"/>
      <c r="H547" s="339"/>
      <c r="L547" s="340"/>
      <c r="M547" s="340"/>
      <c r="N547" s="340"/>
      <c r="P547" s="396"/>
      <c r="Q547" s="396"/>
    </row>
    <row r="548" ht="15.75" customHeight="1">
      <c r="E548" s="340"/>
      <c r="F548" s="340"/>
      <c r="G548" s="339"/>
      <c r="H548" s="339"/>
      <c r="L548" s="340"/>
      <c r="M548" s="340"/>
      <c r="N548" s="340"/>
      <c r="P548" s="396"/>
      <c r="Q548" s="396"/>
    </row>
    <row r="549" ht="15.75" customHeight="1">
      <c r="E549" s="340"/>
      <c r="F549" s="340"/>
      <c r="G549" s="339"/>
      <c r="H549" s="339"/>
      <c r="L549" s="340"/>
      <c r="M549" s="340"/>
      <c r="N549" s="340"/>
      <c r="P549" s="396"/>
      <c r="Q549" s="396"/>
    </row>
    <row r="550" ht="15.75" customHeight="1">
      <c r="E550" s="340"/>
      <c r="F550" s="340"/>
      <c r="G550" s="339"/>
      <c r="H550" s="339"/>
      <c r="L550" s="340"/>
      <c r="M550" s="340"/>
      <c r="N550" s="340"/>
      <c r="P550" s="396"/>
      <c r="Q550" s="396"/>
    </row>
    <row r="551" ht="15.75" customHeight="1">
      <c r="E551" s="340"/>
      <c r="F551" s="340"/>
      <c r="G551" s="339"/>
      <c r="H551" s="339"/>
      <c r="L551" s="340"/>
      <c r="M551" s="340"/>
      <c r="N551" s="340"/>
      <c r="P551" s="396"/>
      <c r="Q551" s="396"/>
    </row>
    <row r="552" ht="15.75" customHeight="1">
      <c r="E552" s="340"/>
      <c r="F552" s="340"/>
      <c r="G552" s="339"/>
      <c r="H552" s="339"/>
      <c r="L552" s="340"/>
      <c r="M552" s="340"/>
      <c r="N552" s="340"/>
      <c r="P552" s="396"/>
      <c r="Q552" s="396"/>
    </row>
    <row r="553" ht="15.75" customHeight="1">
      <c r="E553" s="340"/>
      <c r="F553" s="340"/>
      <c r="G553" s="339"/>
      <c r="H553" s="339"/>
      <c r="L553" s="340"/>
      <c r="M553" s="340"/>
      <c r="N553" s="340"/>
      <c r="P553" s="396"/>
      <c r="Q553" s="396"/>
    </row>
    <row r="554" ht="15.75" customHeight="1">
      <c r="E554" s="340"/>
      <c r="F554" s="340"/>
      <c r="G554" s="339"/>
      <c r="H554" s="339"/>
      <c r="L554" s="340"/>
      <c r="M554" s="340"/>
      <c r="N554" s="340"/>
      <c r="P554" s="396"/>
      <c r="Q554" s="396"/>
    </row>
    <row r="555" ht="15.75" customHeight="1">
      <c r="E555" s="340"/>
      <c r="F555" s="340"/>
      <c r="G555" s="339"/>
      <c r="H555" s="339"/>
      <c r="L555" s="340"/>
      <c r="M555" s="340"/>
      <c r="N555" s="340"/>
      <c r="P555" s="396"/>
      <c r="Q555" s="396"/>
    </row>
    <row r="556" ht="15.75" customHeight="1">
      <c r="E556" s="340"/>
      <c r="F556" s="340"/>
      <c r="G556" s="339"/>
      <c r="H556" s="339"/>
      <c r="L556" s="340"/>
      <c r="M556" s="340"/>
      <c r="N556" s="340"/>
      <c r="P556" s="396"/>
      <c r="Q556" s="396"/>
    </row>
    <row r="557" ht="15.75" customHeight="1">
      <c r="E557" s="340"/>
      <c r="F557" s="340"/>
      <c r="G557" s="339"/>
      <c r="H557" s="339"/>
      <c r="L557" s="340"/>
      <c r="M557" s="340"/>
      <c r="N557" s="340"/>
      <c r="P557" s="396"/>
      <c r="Q557" s="396"/>
    </row>
    <row r="558" ht="15.75" customHeight="1">
      <c r="E558" s="340"/>
      <c r="F558" s="340"/>
      <c r="G558" s="339"/>
      <c r="H558" s="339"/>
      <c r="L558" s="340"/>
      <c r="M558" s="340"/>
      <c r="N558" s="340"/>
      <c r="P558" s="396"/>
      <c r="Q558" s="396"/>
    </row>
    <row r="559" ht="15.75" customHeight="1">
      <c r="E559" s="340"/>
      <c r="F559" s="340"/>
      <c r="G559" s="339"/>
      <c r="H559" s="339"/>
      <c r="L559" s="340"/>
      <c r="M559" s="340"/>
      <c r="N559" s="340"/>
      <c r="P559" s="396"/>
      <c r="Q559" s="396"/>
    </row>
    <row r="560" ht="15.75" customHeight="1">
      <c r="E560" s="340"/>
      <c r="F560" s="340"/>
      <c r="G560" s="339"/>
      <c r="H560" s="339"/>
      <c r="L560" s="340"/>
      <c r="M560" s="340"/>
      <c r="N560" s="340"/>
      <c r="P560" s="396"/>
      <c r="Q560" s="396"/>
    </row>
    <row r="561" ht="15.75" customHeight="1">
      <c r="E561" s="340"/>
      <c r="F561" s="340"/>
      <c r="G561" s="339"/>
      <c r="H561" s="339"/>
      <c r="L561" s="340"/>
      <c r="M561" s="340"/>
      <c r="N561" s="340"/>
      <c r="P561" s="396"/>
      <c r="Q561" s="396"/>
    </row>
    <row r="562" ht="15.75" customHeight="1">
      <c r="E562" s="340"/>
      <c r="F562" s="340"/>
      <c r="G562" s="339"/>
      <c r="H562" s="339"/>
      <c r="L562" s="340"/>
      <c r="M562" s="340"/>
      <c r="N562" s="340"/>
      <c r="P562" s="396"/>
      <c r="Q562" s="396"/>
    </row>
    <row r="563" ht="15.75" customHeight="1">
      <c r="E563" s="340"/>
      <c r="F563" s="340"/>
      <c r="G563" s="339"/>
      <c r="H563" s="339"/>
      <c r="L563" s="340"/>
      <c r="M563" s="340"/>
      <c r="N563" s="340"/>
      <c r="P563" s="396"/>
      <c r="Q563" s="396"/>
    </row>
    <row r="564" ht="15.75" customHeight="1">
      <c r="E564" s="340"/>
      <c r="F564" s="340"/>
      <c r="G564" s="339"/>
      <c r="H564" s="339"/>
      <c r="L564" s="340"/>
      <c r="M564" s="340"/>
      <c r="N564" s="340"/>
      <c r="P564" s="396"/>
      <c r="Q564" s="396"/>
    </row>
    <row r="565" ht="15.75" customHeight="1">
      <c r="E565" s="340"/>
      <c r="F565" s="340"/>
      <c r="G565" s="339"/>
      <c r="H565" s="339"/>
      <c r="L565" s="340"/>
      <c r="M565" s="340"/>
      <c r="N565" s="340"/>
      <c r="P565" s="396"/>
      <c r="Q565" s="396"/>
    </row>
    <row r="566" ht="15.75" customHeight="1">
      <c r="E566" s="340"/>
      <c r="F566" s="340"/>
      <c r="G566" s="339"/>
      <c r="H566" s="339"/>
      <c r="L566" s="340"/>
      <c r="M566" s="340"/>
      <c r="N566" s="340"/>
      <c r="P566" s="396"/>
      <c r="Q566" s="396"/>
    </row>
    <row r="567" ht="15.75" customHeight="1">
      <c r="E567" s="340"/>
      <c r="F567" s="340"/>
      <c r="G567" s="339"/>
      <c r="H567" s="339"/>
      <c r="L567" s="340"/>
      <c r="M567" s="340"/>
      <c r="N567" s="340"/>
      <c r="P567" s="396"/>
      <c r="Q567" s="396"/>
    </row>
    <row r="568" ht="15.75" customHeight="1">
      <c r="E568" s="340"/>
      <c r="F568" s="340"/>
      <c r="G568" s="339"/>
      <c r="H568" s="339"/>
      <c r="L568" s="340"/>
      <c r="M568" s="340"/>
      <c r="N568" s="340"/>
      <c r="P568" s="396"/>
      <c r="Q568" s="396"/>
    </row>
    <row r="569" ht="15.75" customHeight="1">
      <c r="E569" s="340"/>
      <c r="F569" s="340"/>
      <c r="G569" s="339"/>
      <c r="H569" s="339"/>
      <c r="L569" s="340"/>
      <c r="M569" s="340"/>
      <c r="N569" s="340"/>
      <c r="P569" s="396"/>
      <c r="Q569" s="396"/>
    </row>
    <row r="570" ht="15.75" customHeight="1">
      <c r="E570" s="340"/>
      <c r="F570" s="340"/>
      <c r="G570" s="339"/>
      <c r="H570" s="339"/>
      <c r="L570" s="340"/>
      <c r="M570" s="340"/>
      <c r="N570" s="340"/>
      <c r="P570" s="396"/>
      <c r="Q570" s="396"/>
    </row>
    <row r="571" ht="15.75" customHeight="1">
      <c r="E571" s="340"/>
      <c r="F571" s="340"/>
      <c r="G571" s="339"/>
      <c r="H571" s="339"/>
      <c r="L571" s="340"/>
      <c r="M571" s="340"/>
      <c r="N571" s="340"/>
      <c r="P571" s="396"/>
      <c r="Q571" s="396"/>
    </row>
    <row r="572" ht="15.75" customHeight="1">
      <c r="E572" s="340"/>
      <c r="F572" s="340"/>
      <c r="G572" s="339"/>
      <c r="H572" s="339"/>
      <c r="L572" s="340"/>
      <c r="M572" s="340"/>
      <c r="N572" s="340"/>
      <c r="P572" s="396"/>
      <c r="Q572" s="396"/>
    </row>
    <row r="573" ht="15.75" customHeight="1">
      <c r="E573" s="340"/>
      <c r="F573" s="340"/>
      <c r="G573" s="339"/>
      <c r="H573" s="339"/>
      <c r="L573" s="340"/>
      <c r="M573" s="340"/>
      <c r="N573" s="340"/>
      <c r="P573" s="396"/>
      <c r="Q573" s="396"/>
    </row>
    <row r="574" ht="15.75" customHeight="1">
      <c r="E574" s="340"/>
      <c r="F574" s="340"/>
      <c r="G574" s="339"/>
      <c r="H574" s="339"/>
      <c r="L574" s="340"/>
      <c r="M574" s="340"/>
      <c r="N574" s="340"/>
      <c r="P574" s="396"/>
      <c r="Q574" s="396"/>
    </row>
    <row r="575" ht="15.75" customHeight="1">
      <c r="E575" s="340"/>
      <c r="F575" s="340"/>
      <c r="G575" s="339"/>
      <c r="H575" s="339"/>
      <c r="L575" s="340"/>
      <c r="M575" s="340"/>
      <c r="N575" s="340"/>
      <c r="P575" s="396"/>
      <c r="Q575" s="396"/>
    </row>
    <row r="576" ht="15.75" customHeight="1">
      <c r="E576" s="340"/>
      <c r="F576" s="340"/>
      <c r="G576" s="339"/>
      <c r="H576" s="339"/>
      <c r="L576" s="340"/>
      <c r="M576" s="340"/>
      <c r="N576" s="340"/>
      <c r="P576" s="396"/>
      <c r="Q576" s="396"/>
    </row>
    <row r="577" ht="15.75" customHeight="1">
      <c r="E577" s="340"/>
      <c r="F577" s="340"/>
      <c r="G577" s="339"/>
      <c r="H577" s="339"/>
      <c r="L577" s="340"/>
      <c r="M577" s="340"/>
      <c r="N577" s="340"/>
      <c r="P577" s="396"/>
      <c r="Q577" s="396"/>
    </row>
    <row r="578" ht="15.75" customHeight="1">
      <c r="E578" s="340"/>
      <c r="F578" s="340"/>
      <c r="G578" s="339"/>
      <c r="H578" s="339"/>
      <c r="L578" s="340"/>
      <c r="M578" s="340"/>
      <c r="N578" s="340"/>
      <c r="P578" s="396"/>
      <c r="Q578" s="396"/>
    </row>
    <row r="579" ht="15.75" customHeight="1">
      <c r="E579" s="340"/>
      <c r="F579" s="340"/>
      <c r="G579" s="339"/>
      <c r="H579" s="339"/>
      <c r="L579" s="340"/>
      <c r="M579" s="340"/>
      <c r="N579" s="340"/>
      <c r="P579" s="396"/>
      <c r="Q579" s="396"/>
    </row>
    <row r="580" ht="15.75" customHeight="1">
      <c r="E580" s="340"/>
      <c r="F580" s="340"/>
      <c r="G580" s="339"/>
      <c r="H580" s="339"/>
      <c r="L580" s="340"/>
      <c r="M580" s="340"/>
      <c r="N580" s="340"/>
      <c r="P580" s="396"/>
      <c r="Q580" s="396"/>
    </row>
    <row r="581" ht="15.75" customHeight="1">
      <c r="E581" s="340"/>
      <c r="F581" s="340"/>
      <c r="G581" s="339"/>
      <c r="H581" s="339"/>
      <c r="L581" s="340"/>
      <c r="M581" s="340"/>
      <c r="N581" s="340"/>
      <c r="P581" s="396"/>
      <c r="Q581" s="396"/>
    </row>
    <row r="582" ht="15.75" customHeight="1">
      <c r="E582" s="340"/>
      <c r="F582" s="340"/>
      <c r="G582" s="339"/>
      <c r="H582" s="339"/>
      <c r="L582" s="340"/>
      <c r="M582" s="340"/>
      <c r="N582" s="340"/>
      <c r="P582" s="396"/>
      <c r="Q582" s="396"/>
    </row>
    <row r="583" ht="15.75" customHeight="1">
      <c r="E583" s="340"/>
      <c r="F583" s="340"/>
      <c r="G583" s="339"/>
      <c r="H583" s="339"/>
      <c r="L583" s="340"/>
      <c r="M583" s="340"/>
      <c r="N583" s="340"/>
      <c r="P583" s="396"/>
      <c r="Q583" s="396"/>
    </row>
    <row r="584" ht="15.75" customHeight="1">
      <c r="E584" s="340"/>
      <c r="F584" s="340"/>
      <c r="G584" s="339"/>
      <c r="H584" s="339"/>
      <c r="L584" s="340"/>
      <c r="M584" s="340"/>
      <c r="N584" s="340"/>
      <c r="P584" s="396"/>
      <c r="Q584" s="396"/>
    </row>
    <row r="585" ht="15.75" customHeight="1">
      <c r="E585" s="340"/>
      <c r="F585" s="340"/>
      <c r="G585" s="339"/>
      <c r="H585" s="339"/>
      <c r="L585" s="340"/>
      <c r="M585" s="340"/>
      <c r="N585" s="340"/>
      <c r="P585" s="396"/>
      <c r="Q585" s="396"/>
    </row>
    <row r="586" ht="15.75" customHeight="1">
      <c r="E586" s="340"/>
      <c r="F586" s="340"/>
      <c r="G586" s="339"/>
      <c r="H586" s="339"/>
      <c r="L586" s="340"/>
      <c r="M586" s="340"/>
      <c r="N586" s="340"/>
      <c r="P586" s="396"/>
      <c r="Q586" s="396"/>
    </row>
    <row r="587" ht="15.75" customHeight="1">
      <c r="E587" s="340"/>
      <c r="F587" s="340"/>
      <c r="G587" s="339"/>
      <c r="H587" s="339"/>
      <c r="L587" s="340"/>
      <c r="M587" s="340"/>
      <c r="N587" s="340"/>
      <c r="P587" s="396"/>
      <c r="Q587" s="396"/>
    </row>
    <row r="588" ht="15.75" customHeight="1">
      <c r="E588" s="340"/>
      <c r="F588" s="340"/>
      <c r="G588" s="339"/>
      <c r="H588" s="339"/>
      <c r="L588" s="340"/>
      <c r="M588" s="340"/>
      <c r="N588" s="340"/>
      <c r="P588" s="396"/>
      <c r="Q588" s="396"/>
    </row>
    <row r="589" ht="15.75" customHeight="1">
      <c r="E589" s="340"/>
      <c r="F589" s="340"/>
      <c r="G589" s="339"/>
      <c r="H589" s="339"/>
      <c r="L589" s="340"/>
      <c r="M589" s="340"/>
      <c r="N589" s="340"/>
      <c r="P589" s="396"/>
      <c r="Q589" s="396"/>
    </row>
    <row r="590" ht="15.75" customHeight="1">
      <c r="E590" s="340"/>
      <c r="F590" s="340"/>
      <c r="G590" s="339"/>
      <c r="H590" s="339"/>
      <c r="L590" s="340"/>
      <c r="M590" s="340"/>
      <c r="N590" s="340"/>
      <c r="P590" s="396"/>
      <c r="Q590" s="396"/>
    </row>
    <row r="591" ht="15.75" customHeight="1">
      <c r="E591" s="340"/>
      <c r="F591" s="340"/>
      <c r="G591" s="339"/>
      <c r="H591" s="339"/>
      <c r="L591" s="340"/>
      <c r="M591" s="340"/>
      <c r="N591" s="340"/>
      <c r="P591" s="396"/>
      <c r="Q591" s="396"/>
    </row>
    <row r="592" ht="15.75" customHeight="1">
      <c r="E592" s="340"/>
      <c r="F592" s="340"/>
      <c r="G592" s="339"/>
      <c r="H592" s="339"/>
      <c r="L592" s="340"/>
      <c r="M592" s="340"/>
      <c r="N592" s="340"/>
      <c r="P592" s="396"/>
      <c r="Q592" s="396"/>
    </row>
    <row r="593" ht="15.75" customHeight="1">
      <c r="E593" s="340"/>
      <c r="F593" s="340"/>
      <c r="G593" s="339"/>
      <c r="H593" s="339"/>
      <c r="L593" s="340"/>
      <c r="M593" s="340"/>
      <c r="N593" s="340"/>
      <c r="P593" s="396"/>
      <c r="Q593" s="396"/>
    </row>
    <row r="594" ht="15.75" customHeight="1">
      <c r="E594" s="340"/>
      <c r="F594" s="340"/>
      <c r="G594" s="339"/>
      <c r="H594" s="339"/>
      <c r="L594" s="340"/>
      <c r="M594" s="340"/>
      <c r="N594" s="340"/>
      <c r="P594" s="396"/>
      <c r="Q594" s="396"/>
    </row>
    <row r="595" ht="15.75" customHeight="1">
      <c r="E595" s="340"/>
      <c r="F595" s="340"/>
      <c r="G595" s="339"/>
      <c r="H595" s="339"/>
      <c r="L595" s="340"/>
      <c r="M595" s="340"/>
      <c r="N595" s="340"/>
      <c r="P595" s="396"/>
      <c r="Q595" s="396"/>
    </row>
    <row r="596" ht="15.75" customHeight="1">
      <c r="E596" s="340"/>
      <c r="F596" s="340"/>
      <c r="G596" s="339"/>
      <c r="H596" s="339"/>
      <c r="L596" s="340"/>
      <c r="M596" s="340"/>
      <c r="N596" s="340"/>
      <c r="P596" s="396"/>
      <c r="Q596" s="396"/>
    </row>
    <row r="597" ht="15.75" customHeight="1">
      <c r="E597" s="340"/>
      <c r="F597" s="340"/>
      <c r="G597" s="339"/>
      <c r="H597" s="339"/>
      <c r="L597" s="340"/>
      <c r="M597" s="340"/>
      <c r="N597" s="340"/>
      <c r="P597" s="396"/>
      <c r="Q597" s="396"/>
    </row>
    <row r="598" ht="15.75" customHeight="1">
      <c r="E598" s="340"/>
      <c r="F598" s="340"/>
      <c r="G598" s="339"/>
      <c r="H598" s="339"/>
      <c r="L598" s="340"/>
      <c r="M598" s="340"/>
      <c r="N598" s="340"/>
      <c r="P598" s="396"/>
      <c r="Q598" s="396"/>
    </row>
    <row r="599" ht="15.75" customHeight="1">
      <c r="E599" s="340"/>
      <c r="F599" s="340"/>
      <c r="G599" s="339"/>
      <c r="H599" s="339"/>
      <c r="L599" s="340"/>
      <c r="M599" s="340"/>
      <c r="N599" s="340"/>
      <c r="P599" s="396"/>
      <c r="Q599" s="396"/>
    </row>
    <row r="600" ht="15.75" customHeight="1">
      <c r="E600" s="340"/>
      <c r="F600" s="340"/>
      <c r="G600" s="339"/>
      <c r="H600" s="339"/>
      <c r="L600" s="340"/>
      <c r="M600" s="340"/>
      <c r="N600" s="340"/>
      <c r="P600" s="396"/>
      <c r="Q600" s="396"/>
    </row>
    <row r="601" ht="15.75" customHeight="1">
      <c r="E601" s="340"/>
      <c r="F601" s="340"/>
      <c r="G601" s="339"/>
      <c r="H601" s="339"/>
      <c r="L601" s="340"/>
      <c r="M601" s="340"/>
      <c r="N601" s="340"/>
      <c r="P601" s="396"/>
      <c r="Q601" s="396"/>
    </row>
    <row r="602" ht="15.75" customHeight="1">
      <c r="E602" s="340"/>
      <c r="F602" s="340"/>
      <c r="G602" s="339"/>
      <c r="H602" s="339"/>
      <c r="L602" s="340"/>
      <c r="M602" s="340"/>
      <c r="N602" s="340"/>
      <c r="P602" s="396"/>
      <c r="Q602" s="396"/>
    </row>
    <row r="603" ht="15.75" customHeight="1">
      <c r="E603" s="340"/>
      <c r="F603" s="340"/>
      <c r="G603" s="339"/>
      <c r="H603" s="339"/>
      <c r="L603" s="340"/>
      <c r="M603" s="340"/>
      <c r="N603" s="340"/>
      <c r="P603" s="396"/>
      <c r="Q603" s="396"/>
    </row>
    <row r="604" ht="15.75" customHeight="1">
      <c r="E604" s="340"/>
      <c r="F604" s="340"/>
      <c r="G604" s="339"/>
      <c r="H604" s="339"/>
      <c r="L604" s="340"/>
      <c r="M604" s="340"/>
      <c r="N604" s="340"/>
      <c r="P604" s="396"/>
      <c r="Q604" s="396"/>
    </row>
    <row r="605" ht="15.75" customHeight="1">
      <c r="E605" s="340"/>
      <c r="F605" s="340"/>
      <c r="G605" s="339"/>
      <c r="H605" s="339"/>
      <c r="L605" s="340"/>
      <c r="M605" s="340"/>
      <c r="N605" s="340"/>
      <c r="P605" s="396"/>
      <c r="Q605" s="396"/>
    </row>
    <row r="606" ht="15.75" customHeight="1">
      <c r="E606" s="340"/>
      <c r="F606" s="340"/>
      <c r="G606" s="339"/>
      <c r="H606" s="339"/>
      <c r="L606" s="340"/>
      <c r="M606" s="340"/>
      <c r="N606" s="340"/>
      <c r="P606" s="396"/>
      <c r="Q606" s="396"/>
    </row>
    <row r="607" ht="15.75" customHeight="1">
      <c r="E607" s="340"/>
      <c r="F607" s="340"/>
      <c r="G607" s="339"/>
      <c r="H607" s="339"/>
      <c r="L607" s="340"/>
      <c r="M607" s="340"/>
      <c r="N607" s="340"/>
      <c r="P607" s="396"/>
      <c r="Q607" s="396"/>
    </row>
    <row r="608" ht="15.75" customHeight="1">
      <c r="E608" s="340"/>
      <c r="F608" s="340"/>
      <c r="G608" s="339"/>
      <c r="H608" s="339"/>
      <c r="L608" s="340"/>
      <c r="M608" s="340"/>
      <c r="N608" s="340"/>
      <c r="P608" s="396"/>
      <c r="Q608" s="396"/>
    </row>
    <row r="609" ht="15.75" customHeight="1">
      <c r="E609" s="340"/>
      <c r="F609" s="340"/>
      <c r="G609" s="339"/>
      <c r="H609" s="339"/>
      <c r="L609" s="340"/>
      <c r="M609" s="340"/>
      <c r="N609" s="340"/>
      <c r="P609" s="396"/>
      <c r="Q609" s="396"/>
    </row>
    <row r="610" ht="15.75" customHeight="1">
      <c r="E610" s="340"/>
      <c r="F610" s="340"/>
      <c r="G610" s="339"/>
      <c r="H610" s="339"/>
      <c r="L610" s="340"/>
      <c r="M610" s="340"/>
      <c r="N610" s="340"/>
      <c r="P610" s="396"/>
      <c r="Q610" s="396"/>
    </row>
    <row r="611" ht="15.75" customHeight="1">
      <c r="E611" s="340"/>
      <c r="F611" s="340"/>
      <c r="G611" s="339"/>
      <c r="H611" s="339"/>
      <c r="L611" s="340"/>
      <c r="M611" s="340"/>
      <c r="N611" s="340"/>
      <c r="P611" s="396"/>
      <c r="Q611" s="396"/>
    </row>
    <row r="612" ht="15.75" customHeight="1">
      <c r="E612" s="340"/>
      <c r="F612" s="340"/>
      <c r="G612" s="339"/>
      <c r="H612" s="339"/>
      <c r="L612" s="340"/>
      <c r="M612" s="340"/>
      <c r="N612" s="340"/>
      <c r="P612" s="396"/>
      <c r="Q612" s="396"/>
    </row>
    <row r="613" ht="15.75" customHeight="1">
      <c r="E613" s="340"/>
      <c r="F613" s="340"/>
      <c r="G613" s="339"/>
      <c r="H613" s="339"/>
      <c r="L613" s="340"/>
      <c r="M613" s="340"/>
      <c r="N613" s="340"/>
      <c r="P613" s="396"/>
      <c r="Q613" s="396"/>
    </row>
    <row r="614" ht="15.75" customHeight="1">
      <c r="E614" s="340"/>
      <c r="F614" s="340"/>
      <c r="G614" s="339"/>
      <c r="H614" s="339"/>
      <c r="L614" s="340"/>
      <c r="M614" s="340"/>
      <c r="N614" s="340"/>
      <c r="P614" s="396"/>
      <c r="Q614" s="396"/>
    </row>
    <row r="615" ht="15.75" customHeight="1">
      <c r="E615" s="340"/>
      <c r="F615" s="340"/>
      <c r="G615" s="339"/>
      <c r="H615" s="339"/>
      <c r="L615" s="340"/>
      <c r="M615" s="340"/>
      <c r="N615" s="340"/>
      <c r="P615" s="396"/>
      <c r="Q615" s="396"/>
    </row>
    <row r="616" ht="15.75" customHeight="1">
      <c r="E616" s="340"/>
      <c r="F616" s="340"/>
      <c r="G616" s="339"/>
      <c r="H616" s="339"/>
      <c r="L616" s="340"/>
      <c r="M616" s="340"/>
      <c r="N616" s="340"/>
      <c r="P616" s="396"/>
      <c r="Q616" s="396"/>
    </row>
    <row r="617" ht="15.75" customHeight="1">
      <c r="E617" s="340"/>
      <c r="F617" s="340"/>
      <c r="G617" s="339"/>
      <c r="H617" s="339"/>
      <c r="L617" s="340"/>
      <c r="M617" s="340"/>
      <c r="N617" s="340"/>
      <c r="P617" s="396"/>
      <c r="Q617" s="396"/>
    </row>
    <row r="618" ht="15.75" customHeight="1">
      <c r="E618" s="340"/>
      <c r="F618" s="340"/>
      <c r="G618" s="339"/>
      <c r="H618" s="339"/>
      <c r="L618" s="340"/>
      <c r="M618" s="340"/>
      <c r="N618" s="340"/>
      <c r="P618" s="396"/>
      <c r="Q618" s="396"/>
    </row>
    <row r="619" ht="15.75" customHeight="1">
      <c r="E619" s="340"/>
      <c r="F619" s="340"/>
      <c r="G619" s="339"/>
      <c r="H619" s="339"/>
      <c r="L619" s="340"/>
      <c r="M619" s="340"/>
      <c r="N619" s="340"/>
      <c r="P619" s="396"/>
      <c r="Q619" s="396"/>
    </row>
    <row r="620" ht="15.75" customHeight="1">
      <c r="E620" s="340"/>
      <c r="F620" s="340"/>
      <c r="G620" s="339"/>
      <c r="H620" s="339"/>
      <c r="L620" s="340"/>
      <c r="M620" s="340"/>
      <c r="N620" s="340"/>
      <c r="P620" s="396"/>
      <c r="Q620" s="396"/>
    </row>
    <row r="621" ht="15.75" customHeight="1">
      <c r="E621" s="340"/>
      <c r="F621" s="340"/>
      <c r="G621" s="339"/>
      <c r="H621" s="339"/>
      <c r="L621" s="340"/>
      <c r="M621" s="340"/>
      <c r="N621" s="340"/>
      <c r="P621" s="396"/>
      <c r="Q621" s="396"/>
    </row>
    <row r="622" ht="15.75" customHeight="1">
      <c r="E622" s="340"/>
      <c r="F622" s="340"/>
      <c r="G622" s="339"/>
      <c r="H622" s="339"/>
      <c r="L622" s="340"/>
      <c r="M622" s="340"/>
      <c r="N622" s="340"/>
      <c r="P622" s="396"/>
      <c r="Q622" s="396"/>
    </row>
    <row r="623" ht="15.75" customHeight="1">
      <c r="E623" s="340"/>
      <c r="F623" s="340"/>
      <c r="G623" s="339"/>
      <c r="H623" s="339"/>
      <c r="L623" s="340"/>
      <c r="M623" s="340"/>
      <c r="N623" s="340"/>
      <c r="P623" s="396"/>
      <c r="Q623" s="396"/>
    </row>
    <row r="624" ht="15.75" customHeight="1">
      <c r="E624" s="340"/>
      <c r="F624" s="340"/>
      <c r="G624" s="339"/>
      <c r="H624" s="339"/>
      <c r="L624" s="340"/>
      <c r="M624" s="340"/>
      <c r="N624" s="340"/>
      <c r="P624" s="396"/>
      <c r="Q624" s="396"/>
    </row>
    <row r="625" ht="15.75" customHeight="1">
      <c r="E625" s="340"/>
      <c r="F625" s="340"/>
      <c r="G625" s="339"/>
      <c r="H625" s="339"/>
      <c r="L625" s="340"/>
      <c r="M625" s="340"/>
      <c r="N625" s="340"/>
      <c r="P625" s="396"/>
      <c r="Q625" s="396"/>
    </row>
    <row r="626" ht="15.75" customHeight="1">
      <c r="E626" s="340"/>
      <c r="F626" s="340"/>
      <c r="G626" s="339"/>
      <c r="H626" s="339"/>
      <c r="L626" s="340"/>
      <c r="M626" s="340"/>
      <c r="N626" s="340"/>
      <c r="P626" s="396"/>
      <c r="Q626" s="396"/>
    </row>
    <row r="627" ht="15.75" customHeight="1">
      <c r="E627" s="340"/>
      <c r="F627" s="340"/>
      <c r="G627" s="339"/>
      <c r="H627" s="339"/>
      <c r="L627" s="340"/>
      <c r="M627" s="340"/>
      <c r="N627" s="340"/>
      <c r="P627" s="396"/>
      <c r="Q627" s="396"/>
    </row>
    <row r="628" ht="15.75" customHeight="1">
      <c r="E628" s="340"/>
      <c r="F628" s="340"/>
      <c r="G628" s="339"/>
      <c r="H628" s="339"/>
      <c r="L628" s="340"/>
      <c r="M628" s="340"/>
      <c r="N628" s="340"/>
      <c r="P628" s="396"/>
      <c r="Q628" s="396"/>
    </row>
    <row r="629" ht="15.75" customHeight="1">
      <c r="E629" s="340"/>
      <c r="F629" s="340"/>
      <c r="G629" s="339"/>
      <c r="H629" s="339"/>
      <c r="L629" s="340"/>
      <c r="M629" s="340"/>
      <c r="N629" s="340"/>
      <c r="P629" s="396"/>
      <c r="Q629" s="396"/>
    </row>
    <row r="630" ht="15.75" customHeight="1">
      <c r="E630" s="340"/>
      <c r="F630" s="340"/>
      <c r="G630" s="339"/>
      <c r="H630" s="339"/>
      <c r="L630" s="340"/>
      <c r="M630" s="340"/>
      <c r="N630" s="340"/>
      <c r="P630" s="396"/>
      <c r="Q630" s="396"/>
    </row>
    <row r="631" ht="15.75" customHeight="1">
      <c r="E631" s="340"/>
      <c r="F631" s="340"/>
      <c r="G631" s="339"/>
      <c r="H631" s="339"/>
      <c r="L631" s="340"/>
      <c r="M631" s="340"/>
      <c r="N631" s="340"/>
      <c r="P631" s="396"/>
      <c r="Q631" s="396"/>
    </row>
    <row r="632" ht="15.75" customHeight="1">
      <c r="E632" s="340"/>
      <c r="F632" s="340"/>
      <c r="G632" s="339"/>
      <c r="H632" s="339"/>
      <c r="L632" s="340"/>
      <c r="M632" s="340"/>
      <c r="N632" s="340"/>
      <c r="P632" s="396"/>
      <c r="Q632" s="396"/>
    </row>
    <row r="633" ht="15.75" customHeight="1">
      <c r="E633" s="340"/>
      <c r="F633" s="340"/>
      <c r="G633" s="339"/>
      <c r="H633" s="339"/>
      <c r="L633" s="340"/>
      <c r="M633" s="340"/>
      <c r="N633" s="340"/>
      <c r="P633" s="396"/>
      <c r="Q633" s="396"/>
    </row>
    <row r="634" ht="15.75" customHeight="1">
      <c r="E634" s="340"/>
      <c r="F634" s="340"/>
      <c r="G634" s="339"/>
      <c r="H634" s="339"/>
      <c r="L634" s="340"/>
      <c r="M634" s="340"/>
      <c r="N634" s="340"/>
      <c r="P634" s="396"/>
      <c r="Q634" s="396"/>
    </row>
    <row r="635" ht="15.75" customHeight="1">
      <c r="E635" s="340"/>
      <c r="F635" s="340"/>
      <c r="G635" s="339"/>
      <c r="H635" s="339"/>
      <c r="L635" s="340"/>
      <c r="M635" s="340"/>
      <c r="N635" s="340"/>
      <c r="P635" s="396"/>
      <c r="Q635" s="396"/>
    </row>
    <row r="636" ht="15.75" customHeight="1">
      <c r="E636" s="340"/>
      <c r="F636" s="340"/>
      <c r="G636" s="339"/>
      <c r="H636" s="339"/>
      <c r="L636" s="340"/>
      <c r="M636" s="340"/>
      <c r="N636" s="340"/>
      <c r="P636" s="396"/>
      <c r="Q636" s="396"/>
    </row>
    <row r="637" ht="15.75" customHeight="1">
      <c r="E637" s="340"/>
      <c r="F637" s="340"/>
      <c r="G637" s="339"/>
      <c r="H637" s="339"/>
      <c r="L637" s="340"/>
      <c r="M637" s="340"/>
      <c r="N637" s="340"/>
      <c r="P637" s="396"/>
      <c r="Q637" s="396"/>
    </row>
    <row r="638" ht="15.75" customHeight="1">
      <c r="E638" s="340"/>
      <c r="F638" s="340"/>
      <c r="G638" s="339"/>
      <c r="H638" s="339"/>
      <c r="L638" s="340"/>
      <c r="M638" s="340"/>
      <c r="N638" s="340"/>
      <c r="P638" s="396"/>
      <c r="Q638" s="396"/>
    </row>
    <row r="639" ht="15.75" customHeight="1">
      <c r="E639" s="340"/>
      <c r="F639" s="340"/>
      <c r="G639" s="339"/>
      <c r="H639" s="339"/>
      <c r="L639" s="340"/>
      <c r="M639" s="340"/>
      <c r="N639" s="340"/>
      <c r="P639" s="396"/>
      <c r="Q639" s="396"/>
    </row>
    <row r="640" ht="15.75" customHeight="1">
      <c r="E640" s="340"/>
      <c r="F640" s="340"/>
      <c r="G640" s="339"/>
      <c r="H640" s="339"/>
      <c r="L640" s="340"/>
      <c r="M640" s="340"/>
      <c r="N640" s="340"/>
      <c r="P640" s="396"/>
      <c r="Q640" s="396"/>
    </row>
    <row r="641" ht="15.75" customHeight="1">
      <c r="E641" s="340"/>
      <c r="F641" s="340"/>
      <c r="G641" s="339"/>
      <c r="H641" s="339"/>
      <c r="L641" s="340"/>
      <c r="M641" s="340"/>
      <c r="N641" s="340"/>
      <c r="P641" s="396"/>
      <c r="Q641" s="396"/>
    </row>
    <row r="642" ht="15.75" customHeight="1">
      <c r="E642" s="340"/>
      <c r="F642" s="340"/>
      <c r="G642" s="339"/>
      <c r="H642" s="339"/>
      <c r="L642" s="340"/>
      <c r="M642" s="340"/>
      <c r="N642" s="340"/>
      <c r="P642" s="396"/>
      <c r="Q642" s="396"/>
    </row>
    <row r="643" ht="15.75" customHeight="1">
      <c r="E643" s="340"/>
      <c r="F643" s="340"/>
      <c r="G643" s="339"/>
      <c r="H643" s="339"/>
      <c r="L643" s="340"/>
      <c r="M643" s="340"/>
      <c r="N643" s="340"/>
      <c r="P643" s="396"/>
      <c r="Q643" s="396"/>
    </row>
    <row r="644" ht="15.75" customHeight="1">
      <c r="E644" s="340"/>
      <c r="F644" s="340"/>
      <c r="G644" s="339"/>
      <c r="H644" s="339"/>
      <c r="L644" s="340"/>
      <c r="M644" s="340"/>
      <c r="N644" s="340"/>
      <c r="P644" s="396"/>
      <c r="Q644" s="396"/>
    </row>
    <row r="645" ht="15.75" customHeight="1">
      <c r="E645" s="340"/>
      <c r="F645" s="340"/>
      <c r="G645" s="339"/>
      <c r="H645" s="339"/>
      <c r="L645" s="340"/>
      <c r="M645" s="340"/>
      <c r="N645" s="340"/>
      <c r="P645" s="396"/>
      <c r="Q645" s="396"/>
    </row>
    <row r="646" ht="15.75" customHeight="1">
      <c r="E646" s="340"/>
      <c r="F646" s="340"/>
      <c r="G646" s="339"/>
      <c r="H646" s="339"/>
      <c r="L646" s="340"/>
      <c r="M646" s="340"/>
      <c r="N646" s="340"/>
      <c r="P646" s="396"/>
      <c r="Q646" s="396"/>
    </row>
    <row r="647" ht="15.75" customHeight="1">
      <c r="E647" s="340"/>
      <c r="F647" s="340"/>
      <c r="G647" s="339"/>
      <c r="H647" s="339"/>
      <c r="L647" s="340"/>
      <c r="M647" s="340"/>
      <c r="N647" s="340"/>
      <c r="P647" s="396"/>
      <c r="Q647" s="396"/>
    </row>
    <row r="648" ht="15.75" customHeight="1">
      <c r="E648" s="340"/>
      <c r="F648" s="340"/>
      <c r="G648" s="339"/>
      <c r="H648" s="339"/>
      <c r="L648" s="340"/>
      <c r="M648" s="340"/>
      <c r="N648" s="340"/>
      <c r="P648" s="396"/>
      <c r="Q648" s="396"/>
    </row>
    <row r="649" ht="15.75" customHeight="1">
      <c r="E649" s="340"/>
      <c r="F649" s="340"/>
      <c r="G649" s="339"/>
      <c r="H649" s="339"/>
      <c r="L649" s="340"/>
      <c r="M649" s="340"/>
      <c r="N649" s="340"/>
      <c r="P649" s="396"/>
      <c r="Q649" s="396"/>
    </row>
    <row r="650" ht="15.75" customHeight="1">
      <c r="E650" s="340"/>
      <c r="F650" s="340"/>
      <c r="G650" s="339"/>
      <c r="H650" s="339"/>
      <c r="L650" s="340"/>
      <c r="M650" s="340"/>
      <c r="N650" s="340"/>
      <c r="P650" s="396"/>
      <c r="Q650" s="396"/>
    </row>
    <row r="651" ht="15.75" customHeight="1">
      <c r="E651" s="340"/>
      <c r="F651" s="340"/>
      <c r="G651" s="339"/>
      <c r="H651" s="339"/>
      <c r="L651" s="340"/>
      <c r="M651" s="340"/>
      <c r="N651" s="340"/>
      <c r="P651" s="396"/>
      <c r="Q651" s="396"/>
    </row>
    <row r="652" ht="15.75" customHeight="1">
      <c r="E652" s="340"/>
      <c r="F652" s="340"/>
      <c r="G652" s="339"/>
      <c r="H652" s="339"/>
      <c r="L652" s="340"/>
      <c r="M652" s="340"/>
      <c r="N652" s="340"/>
      <c r="P652" s="396"/>
      <c r="Q652" s="396"/>
    </row>
    <row r="653" ht="15.75" customHeight="1">
      <c r="E653" s="340"/>
      <c r="F653" s="340"/>
      <c r="G653" s="339"/>
      <c r="H653" s="339"/>
      <c r="L653" s="340"/>
      <c r="M653" s="340"/>
      <c r="N653" s="340"/>
      <c r="P653" s="396"/>
      <c r="Q653" s="396"/>
    </row>
    <row r="654" ht="15.75" customHeight="1">
      <c r="E654" s="340"/>
      <c r="F654" s="340"/>
      <c r="G654" s="339"/>
      <c r="H654" s="339"/>
      <c r="L654" s="340"/>
      <c r="M654" s="340"/>
      <c r="N654" s="340"/>
      <c r="P654" s="396"/>
      <c r="Q654" s="396"/>
    </row>
    <row r="655" ht="15.75" customHeight="1">
      <c r="E655" s="340"/>
      <c r="F655" s="340"/>
      <c r="G655" s="339"/>
      <c r="H655" s="339"/>
      <c r="L655" s="340"/>
      <c r="M655" s="340"/>
      <c r="N655" s="340"/>
      <c r="P655" s="396"/>
      <c r="Q655" s="396"/>
    </row>
    <row r="656" ht="15.75" customHeight="1">
      <c r="E656" s="340"/>
      <c r="F656" s="340"/>
      <c r="G656" s="339"/>
      <c r="H656" s="339"/>
      <c r="L656" s="340"/>
      <c r="M656" s="340"/>
      <c r="N656" s="340"/>
      <c r="P656" s="396"/>
      <c r="Q656" s="396"/>
    </row>
    <row r="657" ht="15.75" customHeight="1">
      <c r="E657" s="340"/>
      <c r="F657" s="340"/>
      <c r="G657" s="339"/>
      <c r="H657" s="339"/>
      <c r="L657" s="340"/>
      <c r="M657" s="340"/>
      <c r="N657" s="340"/>
      <c r="P657" s="396"/>
      <c r="Q657" s="396"/>
    </row>
    <row r="658" ht="15.75" customHeight="1">
      <c r="E658" s="340"/>
      <c r="F658" s="340"/>
      <c r="G658" s="339"/>
      <c r="H658" s="339"/>
      <c r="L658" s="340"/>
      <c r="M658" s="340"/>
      <c r="N658" s="340"/>
      <c r="P658" s="396"/>
      <c r="Q658" s="396"/>
    </row>
    <row r="659" ht="15.75" customHeight="1">
      <c r="E659" s="340"/>
      <c r="F659" s="340"/>
      <c r="G659" s="339"/>
      <c r="H659" s="339"/>
      <c r="L659" s="340"/>
      <c r="M659" s="340"/>
      <c r="N659" s="340"/>
      <c r="P659" s="396"/>
      <c r="Q659" s="396"/>
    </row>
    <row r="660" ht="15.75" customHeight="1">
      <c r="E660" s="340"/>
      <c r="F660" s="340"/>
      <c r="G660" s="339"/>
      <c r="H660" s="339"/>
      <c r="L660" s="340"/>
      <c r="M660" s="340"/>
      <c r="N660" s="340"/>
      <c r="P660" s="396"/>
      <c r="Q660" s="396"/>
    </row>
    <row r="661" ht="15.75" customHeight="1">
      <c r="E661" s="340"/>
      <c r="F661" s="340"/>
      <c r="G661" s="339"/>
      <c r="H661" s="339"/>
      <c r="L661" s="340"/>
      <c r="M661" s="340"/>
      <c r="N661" s="340"/>
      <c r="P661" s="396"/>
      <c r="Q661" s="396"/>
    </row>
    <row r="662" ht="15.75" customHeight="1">
      <c r="E662" s="340"/>
      <c r="F662" s="340"/>
      <c r="G662" s="339"/>
      <c r="H662" s="339"/>
      <c r="L662" s="340"/>
      <c r="M662" s="340"/>
      <c r="N662" s="340"/>
      <c r="P662" s="396"/>
      <c r="Q662" s="396"/>
    </row>
    <row r="663" ht="15.75" customHeight="1">
      <c r="E663" s="340"/>
      <c r="F663" s="340"/>
      <c r="G663" s="339"/>
      <c r="H663" s="339"/>
      <c r="L663" s="340"/>
      <c r="M663" s="340"/>
      <c r="N663" s="340"/>
      <c r="P663" s="396"/>
      <c r="Q663" s="396"/>
    </row>
    <row r="664" ht="15.75" customHeight="1">
      <c r="E664" s="340"/>
      <c r="F664" s="340"/>
      <c r="G664" s="339"/>
      <c r="H664" s="339"/>
      <c r="L664" s="340"/>
      <c r="M664" s="340"/>
      <c r="N664" s="340"/>
      <c r="P664" s="396"/>
      <c r="Q664" s="396"/>
    </row>
    <row r="665" ht="15.75" customHeight="1">
      <c r="E665" s="340"/>
      <c r="F665" s="340"/>
      <c r="G665" s="339"/>
      <c r="H665" s="339"/>
      <c r="L665" s="340"/>
      <c r="M665" s="340"/>
      <c r="N665" s="340"/>
      <c r="P665" s="396"/>
      <c r="Q665" s="396"/>
    </row>
    <row r="666" ht="15.75" customHeight="1">
      <c r="E666" s="340"/>
      <c r="F666" s="340"/>
      <c r="G666" s="339"/>
      <c r="H666" s="339"/>
      <c r="L666" s="340"/>
      <c r="M666" s="340"/>
      <c r="N666" s="340"/>
      <c r="P666" s="396"/>
      <c r="Q666" s="396"/>
    </row>
    <row r="667" ht="15.75" customHeight="1">
      <c r="E667" s="340"/>
      <c r="F667" s="340"/>
      <c r="G667" s="339"/>
      <c r="H667" s="339"/>
      <c r="L667" s="340"/>
      <c r="M667" s="340"/>
      <c r="N667" s="340"/>
      <c r="P667" s="396"/>
      <c r="Q667" s="396"/>
    </row>
    <row r="668" ht="15.75" customHeight="1">
      <c r="E668" s="340"/>
      <c r="F668" s="340"/>
      <c r="G668" s="339"/>
      <c r="H668" s="339"/>
      <c r="L668" s="340"/>
      <c r="M668" s="340"/>
      <c r="N668" s="340"/>
      <c r="P668" s="396"/>
      <c r="Q668" s="396"/>
    </row>
    <row r="669" ht="15.75" customHeight="1">
      <c r="E669" s="340"/>
      <c r="F669" s="340"/>
      <c r="G669" s="339"/>
      <c r="H669" s="339"/>
      <c r="L669" s="340"/>
      <c r="M669" s="340"/>
      <c r="N669" s="340"/>
      <c r="P669" s="396"/>
      <c r="Q669" s="396"/>
    </row>
    <row r="670" ht="15.75" customHeight="1">
      <c r="E670" s="340"/>
      <c r="F670" s="340"/>
      <c r="G670" s="339"/>
      <c r="H670" s="339"/>
      <c r="L670" s="340"/>
      <c r="M670" s="340"/>
      <c r="N670" s="340"/>
      <c r="P670" s="396"/>
      <c r="Q670" s="396"/>
    </row>
    <row r="671" ht="15.75" customHeight="1">
      <c r="E671" s="340"/>
      <c r="F671" s="340"/>
      <c r="G671" s="339"/>
      <c r="H671" s="339"/>
      <c r="L671" s="340"/>
      <c r="M671" s="340"/>
      <c r="N671" s="340"/>
      <c r="P671" s="396"/>
      <c r="Q671" s="396"/>
    </row>
    <row r="672" ht="15.75" customHeight="1">
      <c r="E672" s="340"/>
      <c r="F672" s="340"/>
      <c r="G672" s="339"/>
      <c r="H672" s="339"/>
      <c r="L672" s="340"/>
      <c r="M672" s="340"/>
      <c r="N672" s="340"/>
      <c r="P672" s="396"/>
      <c r="Q672" s="396"/>
    </row>
    <row r="673" ht="15.75" customHeight="1">
      <c r="E673" s="340"/>
      <c r="F673" s="340"/>
      <c r="G673" s="339"/>
      <c r="H673" s="339"/>
      <c r="L673" s="340"/>
      <c r="M673" s="340"/>
      <c r="N673" s="340"/>
      <c r="P673" s="396"/>
      <c r="Q673" s="396"/>
    </row>
    <row r="674" ht="15.75" customHeight="1">
      <c r="E674" s="340"/>
      <c r="F674" s="340"/>
      <c r="G674" s="339"/>
      <c r="H674" s="339"/>
      <c r="L674" s="340"/>
      <c r="M674" s="340"/>
      <c r="N674" s="340"/>
      <c r="P674" s="396"/>
      <c r="Q674" s="396"/>
    </row>
    <row r="675" ht="15.75" customHeight="1">
      <c r="E675" s="340"/>
      <c r="F675" s="340"/>
      <c r="G675" s="339"/>
      <c r="H675" s="339"/>
      <c r="L675" s="340"/>
      <c r="M675" s="340"/>
      <c r="N675" s="340"/>
      <c r="P675" s="396"/>
      <c r="Q675" s="396"/>
    </row>
    <row r="676" ht="15.75" customHeight="1">
      <c r="E676" s="340"/>
      <c r="F676" s="340"/>
      <c r="G676" s="339"/>
      <c r="H676" s="339"/>
      <c r="L676" s="340"/>
      <c r="M676" s="340"/>
      <c r="N676" s="340"/>
      <c r="P676" s="396"/>
      <c r="Q676" s="396"/>
    </row>
    <row r="677" ht="15.75" customHeight="1">
      <c r="E677" s="340"/>
      <c r="F677" s="340"/>
      <c r="G677" s="339"/>
      <c r="H677" s="339"/>
      <c r="L677" s="340"/>
      <c r="M677" s="340"/>
      <c r="N677" s="340"/>
      <c r="P677" s="396"/>
      <c r="Q677" s="396"/>
    </row>
    <row r="678" ht="15.75" customHeight="1">
      <c r="E678" s="340"/>
      <c r="F678" s="340"/>
      <c r="G678" s="339"/>
      <c r="H678" s="339"/>
      <c r="L678" s="340"/>
      <c r="M678" s="340"/>
      <c r="N678" s="340"/>
      <c r="P678" s="396"/>
      <c r="Q678" s="396"/>
    </row>
    <row r="679" ht="15.75" customHeight="1">
      <c r="E679" s="340"/>
      <c r="F679" s="340"/>
      <c r="G679" s="339"/>
      <c r="H679" s="339"/>
      <c r="L679" s="340"/>
      <c r="M679" s="340"/>
      <c r="N679" s="340"/>
      <c r="P679" s="396"/>
      <c r="Q679" s="396"/>
    </row>
    <row r="680" ht="15.75" customHeight="1">
      <c r="E680" s="340"/>
      <c r="F680" s="340"/>
      <c r="G680" s="339"/>
      <c r="H680" s="339"/>
      <c r="L680" s="340"/>
      <c r="M680" s="340"/>
      <c r="N680" s="340"/>
      <c r="P680" s="396"/>
      <c r="Q680" s="396"/>
    </row>
    <row r="681" ht="15.75" customHeight="1">
      <c r="E681" s="340"/>
      <c r="F681" s="340"/>
      <c r="G681" s="339"/>
      <c r="H681" s="339"/>
      <c r="L681" s="340"/>
      <c r="M681" s="340"/>
      <c r="N681" s="340"/>
      <c r="P681" s="396"/>
      <c r="Q681" s="396"/>
    </row>
    <row r="682" ht="15.75" customHeight="1">
      <c r="E682" s="340"/>
      <c r="F682" s="340"/>
      <c r="G682" s="339"/>
      <c r="H682" s="339"/>
      <c r="L682" s="340"/>
      <c r="M682" s="340"/>
      <c r="N682" s="340"/>
      <c r="P682" s="396"/>
      <c r="Q682" s="396"/>
    </row>
    <row r="683" ht="15.75" customHeight="1">
      <c r="E683" s="340"/>
      <c r="F683" s="340"/>
      <c r="G683" s="339"/>
      <c r="H683" s="339"/>
      <c r="L683" s="340"/>
      <c r="M683" s="340"/>
      <c r="N683" s="340"/>
      <c r="P683" s="396"/>
      <c r="Q683" s="396"/>
    </row>
    <row r="684" ht="15.75" customHeight="1">
      <c r="E684" s="340"/>
      <c r="F684" s="340"/>
      <c r="G684" s="339"/>
      <c r="H684" s="339"/>
      <c r="L684" s="340"/>
      <c r="M684" s="340"/>
      <c r="N684" s="340"/>
      <c r="P684" s="396"/>
      <c r="Q684" s="396"/>
    </row>
    <row r="685" ht="15.75" customHeight="1">
      <c r="E685" s="340"/>
      <c r="F685" s="340"/>
      <c r="G685" s="339"/>
      <c r="H685" s="339"/>
      <c r="L685" s="340"/>
      <c r="M685" s="340"/>
      <c r="N685" s="340"/>
      <c r="P685" s="396"/>
      <c r="Q685" s="396"/>
    </row>
    <row r="686" ht="15.75" customHeight="1">
      <c r="E686" s="340"/>
      <c r="F686" s="340"/>
      <c r="G686" s="339"/>
      <c r="H686" s="339"/>
      <c r="L686" s="340"/>
      <c r="M686" s="340"/>
      <c r="N686" s="340"/>
      <c r="P686" s="396"/>
      <c r="Q686" s="396"/>
    </row>
    <row r="687" ht="15.75" customHeight="1">
      <c r="E687" s="340"/>
      <c r="F687" s="340"/>
      <c r="G687" s="339"/>
      <c r="H687" s="339"/>
      <c r="L687" s="340"/>
      <c r="M687" s="340"/>
      <c r="N687" s="340"/>
      <c r="P687" s="396"/>
      <c r="Q687" s="396"/>
    </row>
    <row r="688" ht="15.75" customHeight="1">
      <c r="E688" s="340"/>
      <c r="F688" s="340"/>
      <c r="G688" s="339"/>
      <c r="H688" s="339"/>
      <c r="L688" s="340"/>
      <c r="M688" s="340"/>
      <c r="N688" s="340"/>
      <c r="P688" s="396"/>
      <c r="Q688" s="396"/>
    </row>
    <row r="689" ht="15.75" customHeight="1">
      <c r="E689" s="340"/>
      <c r="F689" s="340"/>
      <c r="G689" s="339"/>
      <c r="H689" s="339"/>
      <c r="L689" s="340"/>
      <c r="M689" s="340"/>
      <c r="N689" s="340"/>
      <c r="P689" s="396"/>
      <c r="Q689" s="396"/>
    </row>
    <row r="690" ht="15.75" customHeight="1">
      <c r="E690" s="340"/>
      <c r="F690" s="340"/>
      <c r="G690" s="339"/>
      <c r="H690" s="339"/>
      <c r="L690" s="340"/>
      <c r="M690" s="340"/>
      <c r="N690" s="340"/>
      <c r="P690" s="396"/>
      <c r="Q690" s="396"/>
    </row>
    <row r="691" ht="15.75" customHeight="1">
      <c r="E691" s="340"/>
      <c r="F691" s="340"/>
      <c r="G691" s="339"/>
      <c r="H691" s="339"/>
      <c r="L691" s="340"/>
      <c r="M691" s="340"/>
      <c r="N691" s="340"/>
      <c r="P691" s="396"/>
      <c r="Q691" s="396"/>
    </row>
    <row r="692" ht="15.75" customHeight="1">
      <c r="E692" s="340"/>
      <c r="F692" s="340"/>
      <c r="G692" s="339"/>
      <c r="H692" s="339"/>
      <c r="L692" s="340"/>
      <c r="M692" s="340"/>
      <c r="N692" s="340"/>
      <c r="P692" s="396"/>
      <c r="Q692" s="396"/>
    </row>
    <row r="693" ht="15.75" customHeight="1">
      <c r="E693" s="340"/>
      <c r="F693" s="340"/>
      <c r="G693" s="339"/>
      <c r="H693" s="339"/>
      <c r="L693" s="340"/>
      <c r="M693" s="340"/>
      <c r="N693" s="340"/>
      <c r="P693" s="396"/>
      <c r="Q693" s="396"/>
    </row>
    <row r="694" ht="15.75" customHeight="1">
      <c r="E694" s="340"/>
      <c r="F694" s="340"/>
      <c r="G694" s="339"/>
      <c r="H694" s="339"/>
      <c r="L694" s="340"/>
      <c r="M694" s="340"/>
      <c r="N694" s="340"/>
      <c r="P694" s="396"/>
      <c r="Q694" s="396"/>
    </row>
    <row r="695" ht="15.75" customHeight="1">
      <c r="E695" s="340"/>
      <c r="F695" s="340"/>
      <c r="G695" s="339"/>
      <c r="H695" s="339"/>
      <c r="L695" s="340"/>
      <c r="M695" s="340"/>
      <c r="N695" s="340"/>
      <c r="P695" s="396"/>
      <c r="Q695" s="396"/>
    </row>
    <row r="696" ht="15.75" customHeight="1">
      <c r="E696" s="340"/>
      <c r="F696" s="340"/>
      <c r="G696" s="339"/>
      <c r="H696" s="339"/>
      <c r="L696" s="340"/>
      <c r="M696" s="340"/>
      <c r="N696" s="340"/>
      <c r="P696" s="396"/>
      <c r="Q696" s="396"/>
    </row>
    <row r="697" ht="15.75" customHeight="1">
      <c r="E697" s="340"/>
      <c r="F697" s="340"/>
      <c r="G697" s="339"/>
      <c r="H697" s="339"/>
      <c r="L697" s="340"/>
      <c r="M697" s="340"/>
      <c r="N697" s="340"/>
      <c r="P697" s="396"/>
      <c r="Q697" s="396"/>
    </row>
    <row r="698" ht="15.75" customHeight="1">
      <c r="E698" s="340"/>
      <c r="F698" s="340"/>
      <c r="G698" s="339"/>
      <c r="H698" s="339"/>
      <c r="L698" s="340"/>
      <c r="M698" s="340"/>
      <c r="N698" s="340"/>
      <c r="P698" s="396"/>
      <c r="Q698" s="396"/>
    </row>
    <row r="699" ht="15.75" customHeight="1">
      <c r="E699" s="340"/>
      <c r="F699" s="340"/>
      <c r="G699" s="339"/>
      <c r="H699" s="339"/>
      <c r="L699" s="340"/>
      <c r="M699" s="340"/>
      <c r="N699" s="340"/>
      <c r="P699" s="396"/>
      <c r="Q699" s="396"/>
    </row>
    <row r="700" ht="15.75" customHeight="1">
      <c r="E700" s="340"/>
      <c r="F700" s="340"/>
      <c r="G700" s="339"/>
      <c r="H700" s="339"/>
      <c r="L700" s="340"/>
      <c r="M700" s="340"/>
      <c r="N700" s="340"/>
      <c r="P700" s="396"/>
      <c r="Q700" s="396"/>
    </row>
    <row r="701" ht="15.75" customHeight="1">
      <c r="E701" s="340"/>
      <c r="F701" s="340"/>
      <c r="G701" s="339"/>
      <c r="H701" s="339"/>
      <c r="L701" s="340"/>
      <c r="M701" s="340"/>
      <c r="N701" s="340"/>
      <c r="P701" s="396"/>
      <c r="Q701" s="396"/>
    </row>
    <row r="702" ht="15.75" customHeight="1">
      <c r="E702" s="340"/>
      <c r="F702" s="340"/>
      <c r="G702" s="339"/>
      <c r="H702" s="339"/>
      <c r="L702" s="340"/>
      <c r="M702" s="340"/>
      <c r="N702" s="340"/>
      <c r="P702" s="396"/>
      <c r="Q702" s="396"/>
    </row>
    <row r="703" ht="15.75" customHeight="1">
      <c r="E703" s="340"/>
      <c r="F703" s="340"/>
      <c r="G703" s="339"/>
      <c r="H703" s="339"/>
      <c r="L703" s="340"/>
      <c r="M703" s="340"/>
      <c r="N703" s="340"/>
      <c r="P703" s="396"/>
      <c r="Q703" s="396"/>
    </row>
    <row r="704" ht="15.75" customHeight="1">
      <c r="E704" s="340"/>
      <c r="F704" s="340"/>
      <c r="G704" s="339"/>
      <c r="H704" s="339"/>
      <c r="L704" s="340"/>
      <c r="M704" s="340"/>
      <c r="N704" s="340"/>
      <c r="P704" s="396"/>
      <c r="Q704" s="396"/>
    </row>
    <row r="705" ht="15.75" customHeight="1">
      <c r="E705" s="340"/>
      <c r="F705" s="340"/>
      <c r="G705" s="339"/>
      <c r="H705" s="339"/>
      <c r="L705" s="340"/>
      <c r="M705" s="340"/>
      <c r="N705" s="340"/>
      <c r="P705" s="396"/>
      <c r="Q705" s="396"/>
    </row>
    <row r="706" ht="15.75" customHeight="1">
      <c r="E706" s="340"/>
      <c r="F706" s="340"/>
      <c r="G706" s="339"/>
      <c r="H706" s="339"/>
      <c r="L706" s="340"/>
      <c r="M706" s="340"/>
      <c r="N706" s="340"/>
      <c r="P706" s="396"/>
      <c r="Q706" s="396"/>
    </row>
    <row r="707" ht="15.75" customHeight="1">
      <c r="E707" s="340"/>
      <c r="F707" s="340"/>
      <c r="G707" s="339"/>
      <c r="H707" s="339"/>
      <c r="L707" s="340"/>
      <c r="M707" s="340"/>
      <c r="N707" s="340"/>
      <c r="P707" s="396"/>
      <c r="Q707" s="396"/>
    </row>
    <row r="708" ht="15.75" customHeight="1">
      <c r="E708" s="340"/>
      <c r="F708" s="340"/>
      <c r="G708" s="339"/>
      <c r="H708" s="339"/>
      <c r="L708" s="340"/>
      <c r="M708" s="340"/>
      <c r="N708" s="340"/>
      <c r="P708" s="396"/>
      <c r="Q708" s="396"/>
    </row>
    <row r="709" ht="15.75" customHeight="1">
      <c r="E709" s="340"/>
      <c r="F709" s="340"/>
      <c r="G709" s="339"/>
      <c r="H709" s="339"/>
      <c r="L709" s="340"/>
      <c r="M709" s="340"/>
      <c r="N709" s="340"/>
      <c r="P709" s="396"/>
      <c r="Q709" s="396"/>
    </row>
    <row r="710" ht="15.75" customHeight="1">
      <c r="E710" s="340"/>
      <c r="F710" s="340"/>
      <c r="G710" s="339"/>
      <c r="H710" s="339"/>
      <c r="L710" s="340"/>
      <c r="M710" s="340"/>
      <c r="N710" s="340"/>
      <c r="P710" s="396"/>
      <c r="Q710" s="396"/>
    </row>
    <row r="711" ht="15.75" customHeight="1">
      <c r="E711" s="340"/>
      <c r="F711" s="340"/>
      <c r="G711" s="339"/>
      <c r="H711" s="339"/>
      <c r="L711" s="340"/>
      <c r="M711" s="340"/>
      <c r="N711" s="340"/>
      <c r="P711" s="396"/>
      <c r="Q711" s="396"/>
    </row>
    <row r="712" ht="15.75" customHeight="1">
      <c r="E712" s="340"/>
      <c r="F712" s="340"/>
      <c r="G712" s="339"/>
      <c r="H712" s="339"/>
      <c r="L712" s="340"/>
      <c r="M712" s="340"/>
      <c r="N712" s="340"/>
      <c r="P712" s="396"/>
      <c r="Q712" s="396"/>
    </row>
    <row r="713" ht="15.75" customHeight="1">
      <c r="E713" s="340"/>
      <c r="F713" s="340"/>
      <c r="G713" s="339"/>
      <c r="H713" s="339"/>
      <c r="L713" s="340"/>
      <c r="M713" s="340"/>
      <c r="N713" s="340"/>
      <c r="P713" s="396"/>
      <c r="Q713" s="396"/>
    </row>
    <row r="714" ht="15.75" customHeight="1">
      <c r="E714" s="340"/>
      <c r="F714" s="340"/>
      <c r="G714" s="339"/>
      <c r="H714" s="339"/>
      <c r="L714" s="340"/>
      <c r="M714" s="340"/>
      <c r="N714" s="340"/>
      <c r="P714" s="396"/>
      <c r="Q714" s="396"/>
    </row>
    <row r="715" ht="15.75" customHeight="1">
      <c r="E715" s="340"/>
      <c r="F715" s="340"/>
      <c r="G715" s="339"/>
      <c r="H715" s="339"/>
      <c r="L715" s="340"/>
      <c r="M715" s="340"/>
      <c r="N715" s="340"/>
      <c r="P715" s="396"/>
      <c r="Q715" s="396"/>
    </row>
    <row r="716" ht="15.75" customHeight="1">
      <c r="E716" s="340"/>
      <c r="F716" s="340"/>
      <c r="G716" s="339"/>
      <c r="H716" s="339"/>
      <c r="L716" s="340"/>
      <c r="M716" s="340"/>
      <c r="N716" s="340"/>
      <c r="P716" s="396"/>
      <c r="Q716" s="396"/>
    </row>
    <row r="717" ht="15.75" customHeight="1">
      <c r="E717" s="340"/>
      <c r="F717" s="340"/>
      <c r="G717" s="339"/>
      <c r="H717" s="339"/>
      <c r="L717" s="340"/>
      <c r="M717" s="340"/>
      <c r="N717" s="340"/>
      <c r="P717" s="396"/>
      <c r="Q717" s="396"/>
    </row>
    <row r="718" ht="15.75" customHeight="1">
      <c r="E718" s="340"/>
      <c r="F718" s="340"/>
      <c r="G718" s="339"/>
      <c r="H718" s="339"/>
      <c r="L718" s="340"/>
      <c r="M718" s="340"/>
      <c r="N718" s="340"/>
      <c r="P718" s="396"/>
      <c r="Q718" s="396"/>
    </row>
    <row r="719" ht="15.75" customHeight="1">
      <c r="E719" s="340"/>
      <c r="F719" s="340"/>
      <c r="G719" s="339"/>
      <c r="H719" s="339"/>
      <c r="L719" s="340"/>
      <c r="M719" s="340"/>
      <c r="N719" s="340"/>
      <c r="P719" s="396"/>
      <c r="Q719" s="396"/>
    </row>
    <row r="720" ht="15.75" customHeight="1">
      <c r="E720" s="340"/>
      <c r="F720" s="340"/>
      <c r="G720" s="339"/>
      <c r="H720" s="339"/>
      <c r="L720" s="340"/>
      <c r="M720" s="340"/>
      <c r="N720" s="340"/>
      <c r="P720" s="396"/>
      <c r="Q720" s="396"/>
    </row>
    <row r="721" ht="15.75" customHeight="1">
      <c r="E721" s="340"/>
      <c r="F721" s="340"/>
      <c r="G721" s="339"/>
      <c r="H721" s="339"/>
      <c r="L721" s="340"/>
      <c r="M721" s="340"/>
      <c r="N721" s="340"/>
      <c r="P721" s="396"/>
      <c r="Q721" s="396"/>
    </row>
    <row r="722" ht="15.75" customHeight="1">
      <c r="E722" s="340"/>
      <c r="F722" s="340"/>
      <c r="G722" s="339"/>
      <c r="H722" s="339"/>
      <c r="L722" s="340"/>
      <c r="M722" s="340"/>
      <c r="N722" s="340"/>
      <c r="P722" s="396"/>
      <c r="Q722" s="396"/>
    </row>
    <row r="723" ht="15.75" customHeight="1">
      <c r="E723" s="340"/>
      <c r="F723" s="340"/>
      <c r="G723" s="339"/>
      <c r="H723" s="339"/>
      <c r="L723" s="340"/>
      <c r="M723" s="340"/>
      <c r="N723" s="340"/>
      <c r="P723" s="396"/>
      <c r="Q723" s="396"/>
    </row>
    <row r="724" ht="15.75" customHeight="1">
      <c r="E724" s="340"/>
      <c r="F724" s="340"/>
      <c r="G724" s="339"/>
      <c r="H724" s="339"/>
      <c r="L724" s="340"/>
      <c r="M724" s="340"/>
      <c r="N724" s="340"/>
      <c r="P724" s="396"/>
      <c r="Q724" s="396"/>
    </row>
    <row r="725" ht="15.75" customHeight="1">
      <c r="E725" s="340"/>
      <c r="F725" s="340"/>
      <c r="G725" s="339"/>
      <c r="H725" s="339"/>
      <c r="L725" s="340"/>
      <c r="M725" s="340"/>
      <c r="N725" s="340"/>
      <c r="P725" s="396"/>
      <c r="Q725" s="396"/>
    </row>
    <row r="726" ht="15.75" customHeight="1">
      <c r="E726" s="340"/>
      <c r="F726" s="340"/>
      <c r="G726" s="339"/>
      <c r="H726" s="339"/>
      <c r="L726" s="340"/>
      <c r="M726" s="340"/>
      <c r="N726" s="340"/>
      <c r="P726" s="396"/>
      <c r="Q726" s="396"/>
    </row>
    <row r="727" ht="15.75" customHeight="1">
      <c r="E727" s="340"/>
      <c r="F727" s="340"/>
      <c r="G727" s="339"/>
      <c r="H727" s="339"/>
      <c r="L727" s="340"/>
      <c r="M727" s="340"/>
      <c r="N727" s="340"/>
      <c r="P727" s="396"/>
      <c r="Q727" s="396"/>
    </row>
    <row r="728" ht="15.75" customHeight="1">
      <c r="E728" s="340"/>
      <c r="F728" s="340"/>
      <c r="G728" s="339"/>
      <c r="H728" s="339"/>
      <c r="L728" s="340"/>
      <c r="M728" s="340"/>
      <c r="N728" s="340"/>
      <c r="P728" s="396"/>
      <c r="Q728" s="396"/>
    </row>
    <row r="729" ht="15.75" customHeight="1">
      <c r="E729" s="340"/>
      <c r="F729" s="340"/>
      <c r="G729" s="339"/>
      <c r="H729" s="339"/>
      <c r="L729" s="340"/>
      <c r="M729" s="340"/>
      <c r="N729" s="340"/>
      <c r="P729" s="396"/>
      <c r="Q729" s="396"/>
    </row>
    <row r="730" ht="15.75" customHeight="1">
      <c r="E730" s="340"/>
      <c r="F730" s="340"/>
      <c r="G730" s="339"/>
      <c r="H730" s="339"/>
      <c r="L730" s="340"/>
      <c r="M730" s="340"/>
      <c r="N730" s="340"/>
      <c r="P730" s="396"/>
      <c r="Q730" s="396"/>
    </row>
    <row r="731" ht="15.75" customHeight="1">
      <c r="E731" s="340"/>
      <c r="F731" s="340"/>
      <c r="G731" s="339"/>
      <c r="H731" s="339"/>
      <c r="L731" s="340"/>
      <c r="M731" s="340"/>
      <c r="N731" s="340"/>
      <c r="P731" s="396"/>
      <c r="Q731" s="396"/>
    </row>
    <row r="732" ht="15.75" customHeight="1">
      <c r="E732" s="340"/>
      <c r="F732" s="340"/>
      <c r="G732" s="339"/>
      <c r="H732" s="339"/>
      <c r="L732" s="340"/>
      <c r="M732" s="340"/>
      <c r="N732" s="340"/>
      <c r="P732" s="396"/>
      <c r="Q732" s="396"/>
    </row>
    <row r="733" ht="15.75" customHeight="1">
      <c r="E733" s="340"/>
      <c r="F733" s="340"/>
      <c r="G733" s="339"/>
      <c r="H733" s="339"/>
      <c r="L733" s="340"/>
      <c r="M733" s="340"/>
      <c r="N733" s="340"/>
      <c r="P733" s="396"/>
      <c r="Q733" s="396"/>
    </row>
    <row r="734" ht="15.75" customHeight="1">
      <c r="E734" s="340"/>
      <c r="F734" s="340"/>
      <c r="G734" s="339"/>
      <c r="H734" s="339"/>
      <c r="L734" s="340"/>
      <c r="M734" s="340"/>
      <c r="N734" s="340"/>
      <c r="P734" s="396"/>
      <c r="Q734" s="396"/>
    </row>
    <row r="735" ht="15.75" customHeight="1">
      <c r="E735" s="340"/>
      <c r="F735" s="340"/>
      <c r="G735" s="339"/>
      <c r="H735" s="339"/>
      <c r="L735" s="340"/>
      <c r="M735" s="340"/>
      <c r="N735" s="340"/>
      <c r="P735" s="396"/>
      <c r="Q735" s="396"/>
    </row>
    <row r="736" ht="15.75" customHeight="1">
      <c r="E736" s="340"/>
      <c r="F736" s="340"/>
      <c r="G736" s="339"/>
      <c r="H736" s="339"/>
      <c r="L736" s="340"/>
      <c r="M736" s="340"/>
      <c r="N736" s="340"/>
      <c r="P736" s="396"/>
      <c r="Q736" s="396"/>
    </row>
    <row r="737" ht="15.75" customHeight="1">
      <c r="E737" s="340"/>
      <c r="F737" s="340"/>
      <c r="G737" s="339"/>
      <c r="H737" s="339"/>
      <c r="L737" s="340"/>
      <c r="M737" s="340"/>
      <c r="N737" s="340"/>
      <c r="P737" s="396"/>
      <c r="Q737" s="396"/>
    </row>
    <row r="738" ht="15.75" customHeight="1">
      <c r="E738" s="340"/>
      <c r="F738" s="340"/>
      <c r="G738" s="339"/>
      <c r="H738" s="339"/>
      <c r="L738" s="340"/>
      <c r="M738" s="340"/>
      <c r="N738" s="340"/>
      <c r="P738" s="396"/>
      <c r="Q738" s="396"/>
    </row>
    <row r="739" ht="15.75" customHeight="1">
      <c r="E739" s="340"/>
      <c r="F739" s="340"/>
      <c r="G739" s="339"/>
      <c r="H739" s="339"/>
      <c r="L739" s="340"/>
      <c r="M739" s="340"/>
      <c r="N739" s="340"/>
      <c r="P739" s="396"/>
      <c r="Q739" s="396"/>
    </row>
    <row r="740" ht="15.75" customHeight="1">
      <c r="E740" s="340"/>
      <c r="F740" s="340"/>
      <c r="G740" s="339"/>
      <c r="H740" s="339"/>
      <c r="L740" s="340"/>
      <c r="M740" s="340"/>
      <c r="N740" s="340"/>
      <c r="P740" s="396"/>
      <c r="Q740" s="396"/>
    </row>
    <row r="741" ht="15.75" customHeight="1">
      <c r="E741" s="340"/>
      <c r="F741" s="340"/>
      <c r="G741" s="339"/>
      <c r="H741" s="339"/>
      <c r="L741" s="340"/>
      <c r="M741" s="340"/>
      <c r="N741" s="340"/>
      <c r="P741" s="396"/>
      <c r="Q741" s="396"/>
    </row>
    <row r="742" ht="15.75" customHeight="1">
      <c r="E742" s="340"/>
      <c r="F742" s="340"/>
      <c r="G742" s="339"/>
      <c r="H742" s="339"/>
      <c r="L742" s="340"/>
      <c r="M742" s="340"/>
      <c r="N742" s="340"/>
      <c r="P742" s="396"/>
      <c r="Q742" s="396"/>
    </row>
    <row r="743" ht="15.75" customHeight="1">
      <c r="E743" s="340"/>
      <c r="F743" s="340"/>
      <c r="G743" s="339"/>
      <c r="H743" s="339"/>
      <c r="L743" s="340"/>
      <c r="M743" s="340"/>
      <c r="N743" s="340"/>
      <c r="P743" s="396"/>
      <c r="Q743" s="396"/>
    </row>
    <row r="744" ht="15.75" customHeight="1">
      <c r="E744" s="340"/>
      <c r="F744" s="340"/>
      <c r="G744" s="339"/>
      <c r="H744" s="339"/>
      <c r="L744" s="340"/>
      <c r="M744" s="340"/>
      <c r="N744" s="340"/>
      <c r="P744" s="396"/>
      <c r="Q744" s="396"/>
    </row>
    <row r="745" ht="15.75" customHeight="1">
      <c r="E745" s="340"/>
      <c r="F745" s="340"/>
      <c r="G745" s="339"/>
      <c r="H745" s="339"/>
      <c r="L745" s="340"/>
      <c r="M745" s="340"/>
      <c r="N745" s="340"/>
      <c r="P745" s="396"/>
      <c r="Q745" s="396"/>
    </row>
    <row r="746" ht="15.75" customHeight="1">
      <c r="E746" s="340"/>
      <c r="F746" s="340"/>
      <c r="G746" s="339"/>
      <c r="H746" s="339"/>
      <c r="L746" s="340"/>
      <c r="M746" s="340"/>
      <c r="N746" s="340"/>
      <c r="P746" s="396"/>
      <c r="Q746" s="396"/>
    </row>
    <row r="747" ht="15.75" customHeight="1">
      <c r="E747" s="340"/>
      <c r="F747" s="340"/>
      <c r="G747" s="339"/>
      <c r="H747" s="339"/>
      <c r="L747" s="340"/>
      <c r="M747" s="340"/>
      <c r="N747" s="340"/>
      <c r="P747" s="396"/>
      <c r="Q747" s="396"/>
    </row>
    <row r="748" ht="15.75" customHeight="1">
      <c r="E748" s="340"/>
      <c r="F748" s="340"/>
      <c r="G748" s="339"/>
      <c r="H748" s="339"/>
      <c r="L748" s="340"/>
      <c r="M748" s="340"/>
      <c r="N748" s="340"/>
      <c r="P748" s="396"/>
      <c r="Q748" s="396"/>
    </row>
    <row r="749" ht="15.75" customHeight="1">
      <c r="E749" s="340"/>
      <c r="F749" s="340"/>
      <c r="G749" s="339"/>
      <c r="H749" s="339"/>
      <c r="L749" s="340"/>
      <c r="M749" s="340"/>
      <c r="N749" s="340"/>
      <c r="P749" s="396"/>
      <c r="Q749" s="396"/>
    </row>
    <row r="750" ht="15.75" customHeight="1">
      <c r="E750" s="340"/>
      <c r="F750" s="340"/>
      <c r="G750" s="339"/>
      <c r="H750" s="339"/>
      <c r="L750" s="340"/>
      <c r="M750" s="340"/>
      <c r="N750" s="340"/>
      <c r="P750" s="396"/>
      <c r="Q750" s="396"/>
    </row>
    <row r="751" ht="15.75" customHeight="1">
      <c r="E751" s="340"/>
      <c r="F751" s="340"/>
      <c r="G751" s="339"/>
      <c r="H751" s="339"/>
      <c r="L751" s="340"/>
      <c r="M751" s="340"/>
      <c r="N751" s="340"/>
      <c r="P751" s="396"/>
      <c r="Q751" s="396"/>
    </row>
    <row r="752" ht="15.75" customHeight="1">
      <c r="E752" s="340"/>
      <c r="F752" s="340"/>
      <c r="G752" s="339"/>
      <c r="H752" s="339"/>
      <c r="L752" s="340"/>
      <c r="M752" s="340"/>
      <c r="N752" s="340"/>
      <c r="P752" s="396"/>
      <c r="Q752" s="396"/>
    </row>
    <row r="753" ht="15.75" customHeight="1">
      <c r="E753" s="340"/>
      <c r="F753" s="340"/>
      <c r="G753" s="339"/>
      <c r="H753" s="339"/>
      <c r="L753" s="340"/>
      <c r="M753" s="340"/>
      <c r="N753" s="340"/>
      <c r="P753" s="396"/>
      <c r="Q753" s="396"/>
    </row>
    <row r="754" ht="15.75" customHeight="1">
      <c r="E754" s="340"/>
      <c r="F754" s="340"/>
      <c r="G754" s="339"/>
      <c r="H754" s="339"/>
      <c r="L754" s="340"/>
      <c r="M754" s="340"/>
      <c r="N754" s="340"/>
      <c r="P754" s="396"/>
      <c r="Q754" s="396"/>
    </row>
    <row r="755" ht="15.75" customHeight="1">
      <c r="E755" s="340"/>
      <c r="F755" s="340"/>
      <c r="G755" s="339"/>
      <c r="H755" s="339"/>
      <c r="L755" s="340"/>
      <c r="M755" s="340"/>
      <c r="N755" s="340"/>
      <c r="P755" s="396"/>
      <c r="Q755" s="396"/>
    </row>
    <row r="756" ht="15.75" customHeight="1">
      <c r="E756" s="340"/>
      <c r="F756" s="340"/>
      <c r="G756" s="339"/>
      <c r="H756" s="339"/>
      <c r="L756" s="340"/>
      <c r="M756" s="340"/>
      <c r="N756" s="340"/>
      <c r="P756" s="396"/>
      <c r="Q756" s="396"/>
    </row>
    <row r="757" ht="15.75" customHeight="1">
      <c r="E757" s="340"/>
      <c r="F757" s="340"/>
      <c r="G757" s="339"/>
      <c r="H757" s="339"/>
      <c r="L757" s="340"/>
      <c r="M757" s="340"/>
      <c r="N757" s="340"/>
      <c r="P757" s="396"/>
      <c r="Q757" s="396"/>
    </row>
    <row r="758" ht="15.75" customHeight="1">
      <c r="E758" s="340"/>
      <c r="F758" s="340"/>
      <c r="G758" s="339"/>
      <c r="H758" s="339"/>
      <c r="L758" s="340"/>
      <c r="M758" s="340"/>
      <c r="N758" s="340"/>
      <c r="P758" s="396"/>
      <c r="Q758" s="396"/>
    </row>
    <row r="759" ht="15.75" customHeight="1">
      <c r="E759" s="340"/>
      <c r="F759" s="340"/>
      <c r="G759" s="339"/>
      <c r="H759" s="339"/>
      <c r="L759" s="340"/>
      <c r="M759" s="340"/>
      <c r="N759" s="340"/>
      <c r="P759" s="396"/>
      <c r="Q759" s="396"/>
    </row>
    <row r="760" ht="15.75" customHeight="1">
      <c r="E760" s="340"/>
      <c r="F760" s="340"/>
      <c r="G760" s="339"/>
      <c r="H760" s="339"/>
      <c r="L760" s="340"/>
      <c r="M760" s="340"/>
      <c r="N760" s="340"/>
      <c r="P760" s="396"/>
      <c r="Q760" s="396"/>
    </row>
    <row r="761" ht="15.75" customHeight="1">
      <c r="E761" s="340"/>
      <c r="F761" s="340"/>
      <c r="G761" s="339"/>
      <c r="H761" s="339"/>
      <c r="L761" s="340"/>
      <c r="M761" s="340"/>
      <c r="N761" s="340"/>
      <c r="P761" s="396"/>
      <c r="Q761" s="396"/>
    </row>
    <row r="762" ht="15.75" customHeight="1">
      <c r="E762" s="340"/>
      <c r="F762" s="340"/>
      <c r="G762" s="339"/>
      <c r="H762" s="339"/>
      <c r="L762" s="340"/>
      <c r="M762" s="340"/>
      <c r="N762" s="340"/>
      <c r="P762" s="396"/>
      <c r="Q762" s="396"/>
    </row>
    <row r="763" ht="15.75" customHeight="1">
      <c r="E763" s="340"/>
      <c r="F763" s="340"/>
      <c r="G763" s="339"/>
      <c r="H763" s="339"/>
      <c r="L763" s="340"/>
      <c r="M763" s="340"/>
      <c r="N763" s="340"/>
      <c r="P763" s="396"/>
      <c r="Q763" s="396"/>
    </row>
    <row r="764" ht="15.75" customHeight="1">
      <c r="E764" s="340"/>
      <c r="F764" s="340"/>
      <c r="G764" s="339"/>
      <c r="H764" s="339"/>
      <c r="L764" s="340"/>
      <c r="M764" s="340"/>
      <c r="N764" s="340"/>
      <c r="P764" s="396"/>
      <c r="Q764" s="396"/>
    </row>
    <row r="765" ht="15.75" customHeight="1">
      <c r="E765" s="340"/>
      <c r="F765" s="340"/>
      <c r="G765" s="339"/>
      <c r="H765" s="339"/>
      <c r="L765" s="340"/>
      <c r="M765" s="340"/>
      <c r="N765" s="340"/>
      <c r="P765" s="396"/>
      <c r="Q765" s="396"/>
    </row>
    <row r="766" ht="15.75" customHeight="1">
      <c r="E766" s="340"/>
      <c r="F766" s="340"/>
      <c r="G766" s="339"/>
      <c r="H766" s="339"/>
      <c r="L766" s="340"/>
      <c r="M766" s="340"/>
      <c r="N766" s="340"/>
      <c r="P766" s="396"/>
      <c r="Q766" s="396"/>
    </row>
    <row r="767" ht="15.75" customHeight="1">
      <c r="E767" s="340"/>
      <c r="F767" s="340"/>
      <c r="G767" s="339"/>
      <c r="H767" s="339"/>
      <c r="L767" s="340"/>
      <c r="M767" s="340"/>
      <c r="N767" s="340"/>
      <c r="P767" s="396"/>
      <c r="Q767" s="396"/>
    </row>
    <row r="768" ht="15.75" customHeight="1">
      <c r="E768" s="340"/>
      <c r="F768" s="340"/>
      <c r="G768" s="339"/>
      <c r="H768" s="339"/>
      <c r="L768" s="340"/>
      <c r="M768" s="340"/>
      <c r="N768" s="340"/>
      <c r="P768" s="396"/>
      <c r="Q768" s="396"/>
    </row>
    <row r="769" ht="15.75" customHeight="1">
      <c r="E769" s="340"/>
      <c r="F769" s="340"/>
      <c r="G769" s="339"/>
      <c r="H769" s="339"/>
      <c r="L769" s="340"/>
      <c r="M769" s="340"/>
      <c r="N769" s="340"/>
      <c r="P769" s="396"/>
      <c r="Q769" s="396"/>
    </row>
    <row r="770" ht="15.75" customHeight="1">
      <c r="E770" s="340"/>
      <c r="F770" s="340"/>
      <c r="G770" s="339"/>
      <c r="H770" s="339"/>
      <c r="L770" s="340"/>
      <c r="M770" s="340"/>
      <c r="N770" s="340"/>
      <c r="P770" s="396"/>
      <c r="Q770" s="396"/>
    </row>
    <row r="771" ht="15.75" customHeight="1">
      <c r="E771" s="340"/>
      <c r="F771" s="340"/>
      <c r="G771" s="339"/>
      <c r="H771" s="339"/>
      <c r="L771" s="340"/>
      <c r="M771" s="340"/>
      <c r="N771" s="340"/>
      <c r="P771" s="396"/>
      <c r="Q771" s="396"/>
    </row>
    <row r="772" ht="15.75" customHeight="1">
      <c r="E772" s="340"/>
      <c r="F772" s="340"/>
      <c r="G772" s="339"/>
      <c r="H772" s="339"/>
      <c r="L772" s="340"/>
      <c r="M772" s="340"/>
      <c r="N772" s="340"/>
      <c r="P772" s="396"/>
      <c r="Q772" s="396"/>
    </row>
    <row r="773" ht="15.75" customHeight="1">
      <c r="E773" s="340"/>
      <c r="F773" s="340"/>
      <c r="G773" s="339"/>
      <c r="H773" s="339"/>
      <c r="L773" s="340"/>
      <c r="M773" s="340"/>
      <c r="N773" s="340"/>
      <c r="P773" s="396"/>
      <c r="Q773" s="396"/>
    </row>
    <row r="774" ht="15.75" customHeight="1">
      <c r="E774" s="340"/>
      <c r="F774" s="340"/>
      <c r="G774" s="339"/>
      <c r="H774" s="339"/>
      <c r="L774" s="340"/>
      <c r="M774" s="340"/>
      <c r="N774" s="340"/>
      <c r="P774" s="396"/>
      <c r="Q774" s="396"/>
    </row>
    <row r="775" ht="15.75" customHeight="1">
      <c r="E775" s="340"/>
      <c r="F775" s="340"/>
      <c r="G775" s="339"/>
      <c r="H775" s="339"/>
      <c r="L775" s="340"/>
      <c r="M775" s="340"/>
      <c r="N775" s="340"/>
      <c r="P775" s="396"/>
      <c r="Q775" s="396"/>
    </row>
    <row r="776" ht="15.75" customHeight="1">
      <c r="E776" s="340"/>
      <c r="F776" s="340"/>
      <c r="G776" s="339"/>
      <c r="H776" s="339"/>
      <c r="L776" s="340"/>
      <c r="M776" s="340"/>
      <c r="N776" s="340"/>
      <c r="P776" s="396"/>
      <c r="Q776" s="396"/>
    </row>
    <row r="777" ht="15.75" customHeight="1">
      <c r="E777" s="340"/>
      <c r="F777" s="340"/>
      <c r="G777" s="339"/>
      <c r="H777" s="339"/>
      <c r="L777" s="340"/>
      <c r="M777" s="340"/>
      <c r="N777" s="340"/>
      <c r="P777" s="396"/>
      <c r="Q777" s="396"/>
    </row>
    <row r="778" ht="15.75" customHeight="1">
      <c r="E778" s="340"/>
      <c r="F778" s="340"/>
      <c r="G778" s="339"/>
      <c r="H778" s="339"/>
      <c r="L778" s="340"/>
      <c r="M778" s="340"/>
      <c r="N778" s="340"/>
      <c r="P778" s="396"/>
      <c r="Q778" s="396"/>
    </row>
    <row r="779" ht="15.75" customHeight="1">
      <c r="E779" s="340"/>
      <c r="F779" s="340"/>
      <c r="G779" s="339"/>
      <c r="H779" s="339"/>
      <c r="L779" s="340"/>
      <c r="M779" s="340"/>
      <c r="N779" s="340"/>
      <c r="P779" s="396"/>
      <c r="Q779" s="396"/>
    </row>
    <row r="780" ht="15.75" customHeight="1">
      <c r="E780" s="340"/>
      <c r="F780" s="340"/>
      <c r="G780" s="339"/>
      <c r="H780" s="339"/>
      <c r="L780" s="340"/>
      <c r="M780" s="340"/>
      <c r="N780" s="340"/>
      <c r="P780" s="396"/>
      <c r="Q780" s="396"/>
    </row>
    <row r="781" ht="15.75" customHeight="1">
      <c r="E781" s="340"/>
      <c r="F781" s="340"/>
      <c r="G781" s="339"/>
      <c r="H781" s="339"/>
      <c r="L781" s="340"/>
      <c r="M781" s="340"/>
      <c r="N781" s="340"/>
      <c r="P781" s="396"/>
      <c r="Q781" s="396"/>
    </row>
    <row r="782" ht="15.75" customHeight="1">
      <c r="E782" s="340"/>
      <c r="F782" s="340"/>
      <c r="G782" s="339"/>
      <c r="H782" s="339"/>
      <c r="L782" s="340"/>
      <c r="M782" s="340"/>
      <c r="N782" s="340"/>
      <c r="P782" s="396"/>
      <c r="Q782" s="396"/>
    </row>
    <row r="783" ht="15.75" customHeight="1">
      <c r="E783" s="340"/>
      <c r="F783" s="340"/>
      <c r="G783" s="339"/>
      <c r="H783" s="339"/>
      <c r="L783" s="340"/>
      <c r="M783" s="340"/>
      <c r="N783" s="340"/>
      <c r="P783" s="396"/>
      <c r="Q783" s="396"/>
    </row>
    <row r="784" ht="15.75" customHeight="1">
      <c r="E784" s="340"/>
      <c r="F784" s="340"/>
      <c r="G784" s="339"/>
      <c r="H784" s="339"/>
      <c r="L784" s="340"/>
      <c r="M784" s="340"/>
      <c r="N784" s="340"/>
      <c r="P784" s="396"/>
      <c r="Q784" s="396"/>
    </row>
    <row r="785" ht="15.75" customHeight="1">
      <c r="E785" s="340"/>
      <c r="F785" s="340"/>
      <c r="G785" s="339"/>
      <c r="H785" s="339"/>
      <c r="L785" s="340"/>
      <c r="M785" s="340"/>
      <c r="N785" s="340"/>
      <c r="P785" s="396"/>
      <c r="Q785" s="396"/>
    </row>
    <row r="786" ht="15.75" customHeight="1">
      <c r="E786" s="340"/>
      <c r="F786" s="340"/>
      <c r="G786" s="339"/>
      <c r="H786" s="339"/>
      <c r="L786" s="340"/>
      <c r="M786" s="340"/>
      <c r="N786" s="340"/>
      <c r="P786" s="396"/>
      <c r="Q786" s="396"/>
    </row>
    <row r="787" ht="15.75" customHeight="1">
      <c r="E787" s="340"/>
      <c r="F787" s="340"/>
      <c r="G787" s="339"/>
      <c r="H787" s="339"/>
      <c r="L787" s="340"/>
      <c r="M787" s="340"/>
      <c r="N787" s="340"/>
      <c r="P787" s="396"/>
      <c r="Q787" s="396"/>
    </row>
    <row r="788" ht="15.75" customHeight="1">
      <c r="E788" s="340"/>
      <c r="F788" s="340"/>
      <c r="G788" s="339"/>
      <c r="H788" s="339"/>
      <c r="L788" s="340"/>
      <c r="M788" s="340"/>
      <c r="N788" s="340"/>
      <c r="P788" s="396"/>
      <c r="Q788" s="396"/>
    </row>
    <row r="789" ht="15.75" customHeight="1">
      <c r="E789" s="340"/>
      <c r="F789" s="340"/>
      <c r="G789" s="339"/>
      <c r="H789" s="339"/>
      <c r="L789" s="340"/>
      <c r="M789" s="340"/>
      <c r="N789" s="340"/>
      <c r="P789" s="396"/>
      <c r="Q789" s="396"/>
    </row>
    <row r="790" ht="15.75" customHeight="1">
      <c r="E790" s="340"/>
      <c r="F790" s="340"/>
      <c r="G790" s="339"/>
      <c r="H790" s="339"/>
      <c r="L790" s="340"/>
      <c r="M790" s="340"/>
      <c r="N790" s="340"/>
      <c r="P790" s="396"/>
      <c r="Q790" s="396"/>
    </row>
    <row r="791" ht="15.75" customHeight="1">
      <c r="E791" s="340"/>
      <c r="F791" s="340"/>
      <c r="G791" s="339"/>
      <c r="H791" s="339"/>
      <c r="L791" s="340"/>
      <c r="M791" s="340"/>
      <c r="N791" s="340"/>
      <c r="P791" s="396"/>
      <c r="Q791" s="396"/>
    </row>
    <row r="792" ht="15.75" customHeight="1">
      <c r="E792" s="340"/>
      <c r="F792" s="340"/>
      <c r="G792" s="339"/>
      <c r="H792" s="339"/>
      <c r="L792" s="340"/>
      <c r="M792" s="340"/>
      <c r="N792" s="340"/>
      <c r="P792" s="396"/>
      <c r="Q792" s="396"/>
    </row>
    <row r="793" ht="15.75" customHeight="1">
      <c r="E793" s="340"/>
      <c r="F793" s="340"/>
      <c r="G793" s="339"/>
      <c r="H793" s="339"/>
      <c r="L793" s="340"/>
      <c r="M793" s="340"/>
      <c r="N793" s="340"/>
      <c r="P793" s="396"/>
      <c r="Q793" s="396"/>
    </row>
    <row r="794" ht="15.75" customHeight="1">
      <c r="E794" s="340"/>
      <c r="F794" s="340"/>
      <c r="G794" s="339"/>
      <c r="H794" s="339"/>
      <c r="L794" s="340"/>
      <c r="M794" s="340"/>
      <c r="N794" s="340"/>
      <c r="P794" s="396"/>
      <c r="Q794" s="396"/>
    </row>
    <row r="795" ht="15.75" customHeight="1">
      <c r="E795" s="340"/>
      <c r="F795" s="340"/>
      <c r="G795" s="339"/>
      <c r="H795" s="339"/>
      <c r="L795" s="340"/>
      <c r="M795" s="340"/>
      <c r="N795" s="340"/>
      <c r="P795" s="396"/>
      <c r="Q795" s="396"/>
    </row>
    <row r="796" ht="15.75" customHeight="1">
      <c r="E796" s="340"/>
      <c r="F796" s="340"/>
      <c r="G796" s="339"/>
      <c r="H796" s="339"/>
      <c r="L796" s="340"/>
      <c r="M796" s="340"/>
      <c r="N796" s="340"/>
      <c r="P796" s="396"/>
      <c r="Q796" s="396"/>
    </row>
    <row r="797" ht="15.75" customHeight="1">
      <c r="E797" s="340"/>
      <c r="F797" s="340"/>
      <c r="G797" s="339"/>
      <c r="H797" s="339"/>
      <c r="L797" s="340"/>
      <c r="M797" s="340"/>
      <c r="N797" s="340"/>
      <c r="P797" s="396"/>
      <c r="Q797" s="396"/>
    </row>
    <row r="798" ht="15.75" customHeight="1">
      <c r="E798" s="340"/>
      <c r="F798" s="340"/>
      <c r="G798" s="339"/>
      <c r="H798" s="339"/>
      <c r="L798" s="340"/>
      <c r="M798" s="340"/>
      <c r="N798" s="340"/>
      <c r="P798" s="396"/>
      <c r="Q798" s="396"/>
    </row>
    <row r="799" ht="15.75" customHeight="1">
      <c r="E799" s="340"/>
      <c r="F799" s="340"/>
      <c r="G799" s="339"/>
      <c r="H799" s="339"/>
      <c r="L799" s="340"/>
      <c r="M799" s="340"/>
      <c r="N799" s="340"/>
      <c r="P799" s="396"/>
      <c r="Q799" s="396"/>
    </row>
    <row r="800" ht="15.75" customHeight="1">
      <c r="E800" s="340"/>
      <c r="F800" s="340"/>
      <c r="G800" s="339"/>
      <c r="H800" s="339"/>
      <c r="L800" s="340"/>
      <c r="M800" s="340"/>
      <c r="N800" s="340"/>
      <c r="P800" s="396"/>
      <c r="Q800" s="396"/>
    </row>
    <row r="801" ht="15.75" customHeight="1">
      <c r="E801" s="340"/>
      <c r="F801" s="340"/>
      <c r="G801" s="339"/>
      <c r="H801" s="339"/>
      <c r="L801" s="340"/>
      <c r="M801" s="340"/>
      <c r="N801" s="340"/>
      <c r="P801" s="396"/>
      <c r="Q801" s="396"/>
    </row>
    <row r="802" ht="15.75" customHeight="1">
      <c r="E802" s="340"/>
      <c r="F802" s="340"/>
      <c r="G802" s="339"/>
      <c r="H802" s="339"/>
      <c r="L802" s="340"/>
      <c r="M802" s="340"/>
      <c r="N802" s="340"/>
      <c r="P802" s="396"/>
      <c r="Q802" s="396"/>
    </row>
    <row r="803" ht="15.75" customHeight="1">
      <c r="E803" s="340"/>
      <c r="F803" s="340"/>
      <c r="G803" s="339"/>
      <c r="H803" s="339"/>
      <c r="L803" s="340"/>
      <c r="M803" s="340"/>
      <c r="N803" s="340"/>
      <c r="P803" s="396"/>
      <c r="Q803" s="396"/>
    </row>
    <row r="804" ht="15.75" customHeight="1">
      <c r="E804" s="340"/>
      <c r="F804" s="340"/>
      <c r="G804" s="339"/>
      <c r="H804" s="339"/>
      <c r="L804" s="340"/>
      <c r="M804" s="340"/>
      <c r="N804" s="340"/>
      <c r="P804" s="396"/>
      <c r="Q804" s="396"/>
    </row>
    <row r="805" ht="15.75" customHeight="1">
      <c r="E805" s="340"/>
      <c r="F805" s="340"/>
      <c r="G805" s="339"/>
      <c r="H805" s="339"/>
      <c r="L805" s="340"/>
      <c r="M805" s="340"/>
      <c r="N805" s="340"/>
      <c r="P805" s="396"/>
      <c r="Q805" s="396"/>
    </row>
    <row r="806" ht="15.75" customHeight="1">
      <c r="E806" s="340"/>
      <c r="F806" s="340"/>
      <c r="G806" s="339"/>
      <c r="H806" s="339"/>
      <c r="L806" s="340"/>
      <c r="M806" s="340"/>
      <c r="N806" s="340"/>
      <c r="P806" s="396"/>
      <c r="Q806" s="396"/>
    </row>
    <row r="807" ht="15.75" customHeight="1">
      <c r="E807" s="340"/>
      <c r="F807" s="340"/>
      <c r="G807" s="339"/>
      <c r="H807" s="339"/>
      <c r="L807" s="340"/>
      <c r="M807" s="340"/>
      <c r="N807" s="340"/>
      <c r="P807" s="396"/>
      <c r="Q807" s="396"/>
    </row>
    <row r="808" ht="15.75" customHeight="1">
      <c r="E808" s="340"/>
      <c r="F808" s="340"/>
      <c r="G808" s="339"/>
      <c r="H808" s="339"/>
      <c r="L808" s="340"/>
      <c r="M808" s="340"/>
      <c r="N808" s="340"/>
      <c r="P808" s="396"/>
      <c r="Q808" s="396"/>
    </row>
    <row r="809" ht="15.75" customHeight="1">
      <c r="E809" s="340"/>
      <c r="F809" s="340"/>
      <c r="G809" s="339"/>
      <c r="H809" s="339"/>
      <c r="L809" s="340"/>
      <c r="M809" s="340"/>
      <c r="N809" s="340"/>
      <c r="P809" s="396"/>
      <c r="Q809" s="396"/>
    </row>
    <row r="810" ht="15.75" customHeight="1">
      <c r="E810" s="340"/>
      <c r="F810" s="340"/>
      <c r="G810" s="339"/>
      <c r="H810" s="339"/>
      <c r="L810" s="340"/>
      <c r="M810" s="340"/>
      <c r="N810" s="340"/>
      <c r="P810" s="396"/>
      <c r="Q810" s="396"/>
    </row>
    <row r="811" ht="15.75" customHeight="1">
      <c r="E811" s="340"/>
      <c r="F811" s="340"/>
      <c r="G811" s="339"/>
      <c r="H811" s="339"/>
      <c r="L811" s="340"/>
      <c r="M811" s="340"/>
      <c r="N811" s="340"/>
      <c r="P811" s="396"/>
      <c r="Q811" s="396"/>
    </row>
    <row r="812" ht="15.75" customHeight="1">
      <c r="E812" s="340"/>
      <c r="F812" s="340"/>
      <c r="G812" s="339"/>
      <c r="H812" s="339"/>
      <c r="L812" s="340"/>
      <c r="M812" s="340"/>
      <c r="N812" s="340"/>
      <c r="P812" s="396"/>
      <c r="Q812" s="396"/>
    </row>
    <row r="813" ht="15.75" customHeight="1">
      <c r="E813" s="340"/>
      <c r="F813" s="340"/>
      <c r="G813" s="339"/>
      <c r="H813" s="339"/>
      <c r="L813" s="340"/>
      <c r="M813" s="340"/>
      <c r="N813" s="340"/>
      <c r="P813" s="396"/>
      <c r="Q813" s="396"/>
    </row>
    <row r="814" ht="15.75" customHeight="1">
      <c r="E814" s="340"/>
      <c r="F814" s="340"/>
      <c r="G814" s="339"/>
      <c r="H814" s="339"/>
      <c r="L814" s="340"/>
      <c r="M814" s="340"/>
      <c r="N814" s="340"/>
      <c r="P814" s="396"/>
      <c r="Q814" s="396"/>
    </row>
    <row r="815" ht="15.75" customHeight="1">
      <c r="E815" s="340"/>
      <c r="F815" s="340"/>
      <c r="G815" s="339"/>
      <c r="H815" s="339"/>
      <c r="L815" s="340"/>
      <c r="M815" s="340"/>
      <c r="N815" s="340"/>
      <c r="P815" s="396"/>
      <c r="Q815" s="396"/>
    </row>
    <row r="816" ht="15.75" customHeight="1">
      <c r="E816" s="340"/>
      <c r="F816" s="340"/>
      <c r="G816" s="339"/>
      <c r="H816" s="339"/>
      <c r="L816" s="340"/>
      <c r="M816" s="340"/>
      <c r="N816" s="340"/>
      <c r="P816" s="396"/>
      <c r="Q816" s="396"/>
    </row>
    <row r="817" ht="15.75" customHeight="1">
      <c r="E817" s="340"/>
      <c r="F817" s="340"/>
      <c r="G817" s="339"/>
      <c r="H817" s="339"/>
      <c r="L817" s="340"/>
      <c r="M817" s="340"/>
      <c r="N817" s="340"/>
      <c r="P817" s="396"/>
      <c r="Q817" s="396"/>
    </row>
    <row r="818" ht="15.75" customHeight="1">
      <c r="E818" s="340"/>
      <c r="F818" s="340"/>
      <c r="G818" s="339"/>
      <c r="H818" s="339"/>
      <c r="L818" s="340"/>
      <c r="M818" s="340"/>
      <c r="N818" s="340"/>
      <c r="P818" s="396"/>
      <c r="Q818" s="396"/>
    </row>
    <row r="819" ht="15.75" customHeight="1">
      <c r="E819" s="340"/>
      <c r="F819" s="340"/>
      <c r="G819" s="339"/>
      <c r="H819" s="339"/>
      <c r="L819" s="340"/>
      <c r="M819" s="340"/>
      <c r="N819" s="340"/>
      <c r="P819" s="396"/>
      <c r="Q819" s="396"/>
    </row>
    <row r="820" ht="15.75" customHeight="1">
      <c r="E820" s="340"/>
      <c r="F820" s="340"/>
      <c r="G820" s="339"/>
      <c r="H820" s="339"/>
      <c r="L820" s="340"/>
      <c r="M820" s="340"/>
      <c r="N820" s="340"/>
      <c r="P820" s="396"/>
      <c r="Q820" s="396"/>
    </row>
    <row r="821" ht="15.75" customHeight="1">
      <c r="E821" s="340"/>
      <c r="F821" s="340"/>
      <c r="G821" s="339"/>
      <c r="H821" s="339"/>
      <c r="L821" s="340"/>
      <c r="M821" s="340"/>
      <c r="N821" s="340"/>
      <c r="P821" s="396"/>
      <c r="Q821" s="396"/>
    </row>
    <row r="822" ht="15.75" customHeight="1">
      <c r="E822" s="340"/>
      <c r="F822" s="340"/>
      <c r="G822" s="339"/>
      <c r="H822" s="339"/>
      <c r="L822" s="340"/>
      <c r="M822" s="340"/>
      <c r="N822" s="340"/>
      <c r="P822" s="396"/>
      <c r="Q822" s="396"/>
    </row>
    <row r="823" ht="15.75" customHeight="1">
      <c r="E823" s="340"/>
      <c r="F823" s="340"/>
      <c r="G823" s="339"/>
      <c r="H823" s="339"/>
      <c r="L823" s="340"/>
      <c r="M823" s="340"/>
      <c r="N823" s="340"/>
      <c r="P823" s="396"/>
      <c r="Q823" s="396"/>
    </row>
    <row r="824" ht="15.75" customHeight="1">
      <c r="E824" s="340"/>
      <c r="F824" s="340"/>
      <c r="G824" s="339"/>
      <c r="H824" s="339"/>
      <c r="L824" s="340"/>
      <c r="M824" s="340"/>
      <c r="N824" s="340"/>
      <c r="P824" s="396"/>
      <c r="Q824" s="396"/>
    </row>
    <row r="825" ht="15.75" customHeight="1">
      <c r="E825" s="340"/>
      <c r="F825" s="340"/>
      <c r="G825" s="339"/>
      <c r="H825" s="339"/>
      <c r="L825" s="340"/>
      <c r="M825" s="340"/>
      <c r="N825" s="340"/>
      <c r="P825" s="396"/>
      <c r="Q825" s="396"/>
    </row>
    <row r="826" ht="15.75" customHeight="1">
      <c r="E826" s="340"/>
      <c r="F826" s="340"/>
      <c r="G826" s="339"/>
      <c r="H826" s="339"/>
      <c r="L826" s="340"/>
      <c r="M826" s="340"/>
      <c r="N826" s="340"/>
      <c r="P826" s="396"/>
      <c r="Q826" s="396"/>
    </row>
    <row r="827" ht="15.75" customHeight="1">
      <c r="E827" s="340"/>
      <c r="F827" s="340"/>
      <c r="G827" s="339"/>
      <c r="H827" s="339"/>
      <c r="L827" s="340"/>
      <c r="M827" s="340"/>
      <c r="N827" s="340"/>
      <c r="P827" s="396"/>
      <c r="Q827" s="396"/>
    </row>
    <row r="828" ht="15.75" customHeight="1">
      <c r="E828" s="340"/>
      <c r="F828" s="340"/>
      <c r="G828" s="339"/>
      <c r="H828" s="339"/>
      <c r="L828" s="340"/>
      <c r="M828" s="340"/>
      <c r="N828" s="340"/>
      <c r="P828" s="396"/>
      <c r="Q828" s="396"/>
    </row>
    <row r="829" ht="15.75" customHeight="1">
      <c r="E829" s="340"/>
      <c r="F829" s="340"/>
      <c r="G829" s="339"/>
      <c r="H829" s="339"/>
      <c r="L829" s="340"/>
      <c r="M829" s="340"/>
      <c r="N829" s="340"/>
      <c r="P829" s="396"/>
      <c r="Q829" s="396"/>
    </row>
    <row r="830" ht="15.75" customHeight="1">
      <c r="E830" s="340"/>
      <c r="F830" s="340"/>
      <c r="G830" s="339"/>
      <c r="H830" s="339"/>
      <c r="L830" s="340"/>
      <c r="M830" s="340"/>
      <c r="N830" s="340"/>
      <c r="P830" s="396"/>
      <c r="Q830" s="396"/>
    </row>
    <row r="831" ht="15.75" customHeight="1">
      <c r="E831" s="340"/>
      <c r="F831" s="340"/>
      <c r="G831" s="339"/>
      <c r="H831" s="339"/>
      <c r="L831" s="340"/>
      <c r="M831" s="340"/>
      <c r="N831" s="340"/>
      <c r="P831" s="396"/>
      <c r="Q831" s="396"/>
    </row>
    <row r="832" ht="15.75" customHeight="1">
      <c r="E832" s="340"/>
      <c r="F832" s="340"/>
      <c r="G832" s="339"/>
      <c r="H832" s="339"/>
      <c r="L832" s="340"/>
      <c r="M832" s="340"/>
      <c r="N832" s="340"/>
      <c r="P832" s="396"/>
      <c r="Q832" s="396"/>
    </row>
    <row r="833" ht="15.75" customHeight="1">
      <c r="E833" s="340"/>
      <c r="F833" s="340"/>
      <c r="G833" s="339"/>
      <c r="H833" s="339"/>
      <c r="L833" s="340"/>
      <c r="M833" s="340"/>
      <c r="N833" s="340"/>
      <c r="P833" s="396"/>
      <c r="Q833" s="396"/>
    </row>
    <row r="834" ht="15.75" customHeight="1">
      <c r="E834" s="340"/>
      <c r="F834" s="340"/>
      <c r="G834" s="339"/>
      <c r="H834" s="339"/>
      <c r="L834" s="340"/>
      <c r="M834" s="340"/>
      <c r="N834" s="340"/>
      <c r="P834" s="396"/>
      <c r="Q834" s="396"/>
    </row>
    <row r="835" ht="15.75" customHeight="1">
      <c r="E835" s="340"/>
      <c r="F835" s="340"/>
      <c r="G835" s="339"/>
      <c r="H835" s="339"/>
      <c r="L835" s="340"/>
      <c r="M835" s="340"/>
      <c r="N835" s="340"/>
      <c r="P835" s="396"/>
      <c r="Q835" s="396"/>
    </row>
    <row r="836" ht="15.75" customHeight="1">
      <c r="E836" s="340"/>
      <c r="F836" s="340"/>
      <c r="G836" s="339"/>
      <c r="H836" s="339"/>
      <c r="L836" s="340"/>
      <c r="M836" s="340"/>
      <c r="N836" s="340"/>
      <c r="P836" s="396"/>
      <c r="Q836" s="396"/>
    </row>
    <row r="837" ht="15.75" customHeight="1">
      <c r="E837" s="340"/>
      <c r="F837" s="340"/>
      <c r="G837" s="339"/>
      <c r="H837" s="339"/>
      <c r="L837" s="340"/>
      <c r="M837" s="340"/>
      <c r="N837" s="340"/>
      <c r="P837" s="396"/>
      <c r="Q837" s="396"/>
    </row>
    <row r="838" ht="15.75" customHeight="1">
      <c r="E838" s="340"/>
      <c r="F838" s="340"/>
      <c r="G838" s="339"/>
      <c r="H838" s="339"/>
      <c r="L838" s="340"/>
      <c r="M838" s="340"/>
      <c r="N838" s="340"/>
      <c r="P838" s="396"/>
      <c r="Q838" s="396"/>
    </row>
    <row r="839" ht="15.75" customHeight="1">
      <c r="E839" s="340"/>
      <c r="F839" s="340"/>
      <c r="G839" s="339"/>
      <c r="H839" s="339"/>
      <c r="L839" s="340"/>
      <c r="M839" s="340"/>
      <c r="N839" s="340"/>
      <c r="P839" s="396"/>
      <c r="Q839" s="396"/>
    </row>
    <row r="840" ht="15.75" customHeight="1">
      <c r="E840" s="340"/>
      <c r="F840" s="340"/>
      <c r="G840" s="339"/>
      <c r="H840" s="339"/>
      <c r="L840" s="340"/>
      <c r="M840" s="340"/>
      <c r="N840" s="340"/>
      <c r="P840" s="396"/>
      <c r="Q840" s="396"/>
    </row>
    <row r="841" ht="15.75" customHeight="1">
      <c r="E841" s="340"/>
      <c r="F841" s="340"/>
      <c r="G841" s="339"/>
      <c r="H841" s="339"/>
      <c r="L841" s="340"/>
      <c r="M841" s="340"/>
      <c r="N841" s="340"/>
      <c r="P841" s="396"/>
      <c r="Q841" s="396"/>
    </row>
    <row r="842" ht="15.75" customHeight="1">
      <c r="E842" s="340"/>
      <c r="F842" s="340"/>
      <c r="G842" s="339"/>
      <c r="H842" s="339"/>
      <c r="L842" s="340"/>
      <c r="M842" s="340"/>
      <c r="N842" s="340"/>
      <c r="P842" s="396"/>
      <c r="Q842" s="396"/>
    </row>
    <row r="843" ht="15.75" customHeight="1">
      <c r="E843" s="340"/>
      <c r="F843" s="340"/>
      <c r="G843" s="339"/>
      <c r="H843" s="339"/>
      <c r="L843" s="340"/>
      <c r="M843" s="340"/>
      <c r="N843" s="340"/>
      <c r="P843" s="396"/>
      <c r="Q843" s="396"/>
    </row>
    <row r="844" ht="15.75" customHeight="1">
      <c r="E844" s="340"/>
      <c r="F844" s="340"/>
      <c r="G844" s="339"/>
      <c r="H844" s="339"/>
      <c r="L844" s="340"/>
      <c r="M844" s="340"/>
      <c r="N844" s="340"/>
      <c r="P844" s="396"/>
      <c r="Q844" s="396"/>
    </row>
    <row r="845" ht="15.75" customHeight="1">
      <c r="E845" s="340"/>
      <c r="F845" s="340"/>
      <c r="G845" s="339"/>
      <c r="H845" s="339"/>
      <c r="L845" s="340"/>
      <c r="M845" s="340"/>
      <c r="N845" s="340"/>
      <c r="P845" s="396"/>
      <c r="Q845" s="396"/>
    </row>
    <row r="846" ht="15.75" customHeight="1">
      <c r="E846" s="340"/>
      <c r="F846" s="340"/>
      <c r="G846" s="339"/>
      <c r="H846" s="339"/>
      <c r="L846" s="340"/>
      <c r="M846" s="340"/>
      <c r="N846" s="340"/>
      <c r="P846" s="396"/>
      <c r="Q846" s="396"/>
    </row>
    <row r="847" ht="15.75" customHeight="1">
      <c r="E847" s="340"/>
      <c r="F847" s="340"/>
      <c r="G847" s="339"/>
      <c r="H847" s="339"/>
      <c r="L847" s="340"/>
      <c r="M847" s="340"/>
      <c r="N847" s="340"/>
      <c r="P847" s="396"/>
      <c r="Q847" s="396"/>
    </row>
    <row r="848" ht="15.75" customHeight="1">
      <c r="E848" s="340"/>
      <c r="F848" s="340"/>
      <c r="G848" s="339"/>
      <c r="H848" s="339"/>
      <c r="L848" s="340"/>
      <c r="M848" s="340"/>
      <c r="N848" s="340"/>
      <c r="P848" s="396"/>
      <c r="Q848" s="396"/>
    </row>
    <row r="849" ht="15.75" customHeight="1">
      <c r="E849" s="340"/>
      <c r="F849" s="340"/>
      <c r="G849" s="339"/>
      <c r="H849" s="339"/>
      <c r="L849" s="340"/>
      <c r="M849" s="340"/>
      <c r="N849" s="340"/>
      <c r="P849" s="396"/>
      <c r="Q849" s="396"/>
    </row>
    <row r="850" ht="15.75" customHeight="1">
      <c r="E850" s="340"/>
      <c r="F850" s="340"/>
      <c r="G850" s="339"/>
      <c r="H850" s="339"/>
      <c r="L850" s="340"/>
      <c r="M850" s="340"/>
      <c r="N850" s="340"/>
      <c r="P850" s="396"/>
      <c r="Q850" s="396"/>
    </row>
    <row r="851" ht="15.75" customHeight="1">
      <c r="E851" s="340"/>
      <c r="F851" s="340"/>
      <c r="G851" s="339"/>
      <c r="H851" s="339"/>
      <c r="L851" s="340"/>
      <c r="M851" s="340"/>
      <c r="N851" s="340"/>
      <c r="P851" s="396"/>
      <c r="Q851" s="396"/>
    </row>
    <row r="852" ht="15.75" customHeight="1">
      <c r="E852" s="340"/>
      <c r="F852" s="340"/>
      <c r="G852" s="339"/>
      <c r="H852" s="339"/>
      <c r="L852" s="340"/>
      <c r="M852" s="340"/>
      <c r="N852" s="340"/>
      <c r="P852" s="396"/>
      <c r="Q852" s="396"/>
    </row>
    <row r="853" ht="15.75" customHeight="1">
      <c r="E853" s="340"/>
      <c r="F853" s="340"/>
      <c r="G853" s="339"/>
      <c r="H853" s="339"/>
      <c r="L853" s="340"/>
      <c r="M853" s="340"/>
      <c r="N853" s="340"/>
      <c r="P853" s="396"/>
      <c r="Q853" s="396"/>
    </row>
    <row r="854" ht="15.75" customHeight="1">
      <c r="E854" s="340"/>
      <c r="F854" s="340"/>
      <c r="G854" s="339"/>
      <c r="H854" s="339"/>
      <c r="L854" s="340"/>
      <c r="M854" s="340"/>
      <c r="N854" s="340"/>
      <c r="P854" s="396"/>
      <c r="Q854" s="396"/>
    </row>
    <row r="855" ht="15.75" customHeight="1">
      <c r="E855" s="340"/>
      <c r="F855" s="340"/>
      <c r="G855" s="339"/>
      <c r="H855" s="339"/>
      <c r="L855" s="340"/>
      <c r="M855" s="340"/>
      <c r="N855" s="340"/>
      <c r="P855" s="396"/>
      <c r="Q855" s="396"/>
    </row>
    <row r="856" ht="15.75" customHeight="1">
      <c r="E856" s="340"/>
      <c r="F856" s="340"/>
      <c r="G856" s="339"/>
      <c r="H856" s="339"/>
      <c r="L856" s="340"/>
      <c r="M856" s="340"/>
      <c r="N856" s="340"/>
      <c r="P856" s="396"/>
      <c r="Q856" s="396"/>
    </row>
    <row r="857" ht="15.75" customHeight="1">
      <c r="E857" s="340"/>
      <c r="F857" s="340"/>
      <c r="G857" s="339"/>
      <c r="H857" s="339"/>
      <c r="L857" s="340"/>
      <c r="M857" s="340"/>
      <c r="N857" s="340"/>
      <c r="P857" s="396"/>
      <c r="Q857" s="396"/>
    </row>
    <row r="858" ht="15.75" customHeight="1">
      <c r="E858" s="340"/>
      <c r="F858" s="340"/>
      <c r="G858" s="339"/>
      <c r="H858" s="339"/>
      <c r="L858" s="340"/>
      <c r="M858" s="340"/>
      <c r="N858" s="340"/>
      <c r="P858" s="396"/>
      <c r="Q858" s="396"/>
    </row>
    <row r="859" ht="15.75" customHeight="1">
      <c r="E859" s="340"/>
      <c r="F859" s="340"/>
      <c r="G859" s="339"/>
      <c r="H859" s="339"/>
      <c r="L859" s="340"/>
      <c r="M859" s="340"/>
      <c r="N859" s="340"/>
      <c r="P859" s="396"/>
      <c r="Q859" s="396"/>
    </row>
    <row r="860" ht="15.75" customHeight="1">
      <c r="E860" s="340"/>
      <c r="F860" s="340"/>
      <c r="G860" s="339"/>
      <c r="H860" s="339"/>
      <c r="L860" s="340"/>
      <c r="M860" s="340"/>
      <c r="N860" s="340"/>
      <c r="P860" s="396"/>
      <c r="Q860" s="396"/>
    </row>
    <row r="861" ht="15.75" customHeight="1">
      <c r="E861" s="340"/>
      <c r="F861" s="340"/>
      <c r="G861" s="339"/>
      <c r="H861" s="339"/>
      <c r="L861" s="340"/>
      <c r="M861" s="340"/>
      <c r="N861" s="340"/>
      <c r="P861" s="396"/>
      <c r="Q861" s="396"/>
    </row>
    <row r="862" ht="15.75" customHeight="1">
      <c r="E862" s="340"/>
      <c r="F862" s="340"/>
      <c r="G862" s="339"/>
      <c r="H862" s="339"/>
      <c r="L862" s="340"/>
      <c r="M862" s="340"/>
      <c r="N862" s="340"/>
      <c r="P862" s="396"/>
      <c r="Q862" s="396"/>
    </row>
    <row r="863" ht="15.75" customHeight="1">
      <c r="E863" s="340"/>
      <c r="F863" s="340"/>
      <c r="G863" s="339"/>
      <c r="H863" s="339"/>
      <c r="L863" s="340"/>
      <c r="M863" s="340"/>
      <c r="N863" s="340"/>
      <c r="P863" s="396"/>
      <c r="Q863" s="396"/>
    </row>
    <row r="864" ht="15.75" customHeight="1">
      <c r="E864" s="340"/>
      <c r="F864" s="340"/>
      <c r="G864" s="339"/>
      <c r="H864" s="339"/>
      <c r="L864" s="340"/>
      <c r="M864" s="340"/>
      <c r="N864" s="340"/>
      <c r="P864" s="396"/>
      <c r="Q864" s="396"/>
    </row>
    <row r="865" ht="15.75" customHeight="1">
      <c r="E865" s="340"/>
      <c r="F865" s="340"/>
      <c r="G865" s="339"/>
      <c r="H865" s="339"/>
      <c r="L865" s="340"/>
      <c r="M865" s="340"/>
      <c r="N865" s="340"/>
      <c r="P865" s="396"/>
      <c r="Q865" s="396"/>
    </row>
    <row r="866" ht="15.75" customHeight="1">
      <c r="E866" s="340"/>
      <c r="F866" s="340"/>
      <c r="G866" s="339"/>
      <c r="H866" s="339"/>
      <c r="L866" s="340"/>
      <c r="M866" s="340"/>
      <c r="N866" s="340"/>
      <c r="P866" s="396"/>
      <c r="Q866" s="396"/>
    </row>
    <row r="867" ht="15.75" customHeight="1">
      <c r="E867" s="340"/>
      <c r="F867" s="340"/>
      <c r="G867" s="339"/>
      <c r="H867" s="339"/>
      <c r="L867" s="340"/>
      <c r="M867" s="340"/>
      <c r="N867" s="340"/>
      <c r="P867" s="396"/>
      <c r="Q867" s="396"/>
    </row>
    <row r="868" ht="15.75" customHeight="1">
      <c r="E868" s="340"/>
      <c r="F868" s="340"/>
      <c r="G868" s="339"/>
      <c r="H868" s="339"/>
      <c r="L868" s="340"/>
      <c r="M868" s="340"/>
      <c r="N868" s="340"/>
      <c r="P868" s="396"/>
      <c r="Q868" s="396"/>
    </row>
    <row r="869" ht="15.75" customHeight="1">
      <c r="E869" s="340"/>
      <c r="F869" s="340"/>
      <c r="G869" s="339"/>
      <c r="H869" s="339"/>
      <c r="L869" s="340"/>
      <c r="M869" s="340"/>
      <c r="N869" s="340"/>
      <c r="P869" s="396"/>
      <c r="Q869" s="396"/>
    </row>
    <row r="870" ht="15.75" customHeight="1">
      <c r="E870" s="340"/>
      <c r="F870" s="340"/>
      <c r="G870" s="339"/>
      <c r="H870" s="339"/>
      <c r="L870" s="340"/>
      <c r="M870" s="340"/>
      <c r="N870" s="340"/>
      <c r="P870" s="396"/>
      <c r="Q870" s="396"/>
    </row>
    <row r="871" ht="15.75" customHeight="1">
      <c r="E871" s="340"/>
      <c r="F871" s="340"/>
      <c r="G871" s="339"/>
      <c r="H871" s="339"/>
      <c r="L871" s="340"/>
      <c r="M871" s="340"/>
      <c r="N871" s="340"/>
      <c r="P871" s="396"/>
      <c r="Q871" s="396"/>
    </row>
    <row r="872" ht="15.75" customHeight="1">
      <c r="E872" s="340"/>
      <c r="F872" s="340"/>
      <c r="G872" s="339"/>
      <c r="H872" s="339"/>
      <c r="L872" s="340"/>
      <c r="M872" s="340"/>
      <c r="N872" s="340"/>
      <c r="P872" s="396"/>
      <c r="Q872" s="396"/>
    </row>
    <row r="873" ht="15.75" customHeight="1">
      <c r="E873" s="340"/>
      <c r="F873" s="340"/>
      <c r="G873" s="339"/>
      <c r="H873" s="339"/>
      <c r="L873" s="340"/>
      <c r="M873" s="340"/>
      <c r="N873" s="340"/>
      <c r="P873" s="396"/>
      <c r="Q873" s="396"/>
    </row>
    <row r="874" ht="15.75" customHeight="1">
      <c r="E874" s="340"/>
      <c r="F874" s="340"/>
      <c r="G874" s="339"/>
      <c r="H874" s="339"/>
      <c r="L874" s="340"/>
      <c r="M874" s="340"/>
      <c r="N874" s="340"/>
      <c r="P874" s="396"/>
      <c r="Q874" s="396"/>
    </row>
    <row r="875" ht="15.75" customHeight="1">
      <c r="E875" s="340"/>
      <c r="F875" s="340"/>
      <c r="G875" s="339"/>
      <c r="H875" s="339"/>
      <c r="L875" s="340"/>
      <c r="M875" s="340"/>
      <c r="N875" s="340"/>
      <c r="P875" s="396"/>
      <c r="Q875" s="396"/>
    </row>
    <row r="876" ht="15.75" customHeight="1">
      <c r="E876" s="340"/>
      <c r="F876" s="340"/>
      <c r="G876" s="339"/>
      <c r="H876" s="339"/>
      <c r="L876" s="340"/>
      <c r="M876" s="340"/>
      <c r="N876" s="340"/>
      <c r="P876" s="396"/>
      <c r="Q876" s="396"/>
    </row>
    <row r="877" ht="15.75" customHeight="1">
      <c r="E877" s="340"/>
      <c r="F877" s="340"/>
      <c r="G877" s="339"/>
      <c r="H877" s="339"/>
      <c r="L877" s="340"/>
      <c r="M877" s="340"/>
      <c r="N877" s="340"/>
      <c r="P877" s="396"/>
      <c r="Q877" s="396"/>
    </row>
    <row r="878" ht="15.75" customHeight="1">
      <c r="E878" s="340"/>
      <c r="F878" s="340"/>
      <c r="G878" s="339"/>
      <c r="H878" s="339"/>
      <c r="L878" s="340"/>
      <c r="M878" s="340"/>
      <c r="N878" s="340"/>
      <c r="P878" s="396"/>
      <c r="Q878" s="396"/>
    </row>
    <row r="879" ht="15.75" customHeight="1">
      <c r="E879" s="340"/>
      <c r="F879" s="340"/>
      <c r="G879" s="339"/>
      <c r="H879" s="339"/>
      <c r="L879" s="340"/>
      <c r="M879" s="340"/>
      <c r="N879" s="340"/>
      <c r="P879" s="396"/>
      <c r="Q879" s="396"/>
    </row>
    <row r="880" ht="15.75" customHeight="1">
      <c r="E880" s="340"/>
      <c r="F880" s="340"/>
      <c r="G880" s="339"/>
      <c r="H880" s="339"/>
      <c r="L880" s="340"/>
      <c r="M880" s="340"/>
      <c r="N880" s="340"/>
      <c r="P880" s="396"/>
      <c r="Q880" s="396"/>
    </row>
    <row r="881" ht="15.75" customHeight="1">
      <c r="E881" s="340"/>
      <c r="F881" s="340"/>
      <c r="G881" s="339"/>
      <c r="H881" s="339"/>
      <c r="L881" s="340"/>
      <c r="M881" s="340"/>
      <c r="N881" s="340"/>
      <c r="P881" s="396"/>
      <c r="Q881" s="396"/>
    </row>
    <row r="882" ht="15.75" customHeight="1">
      <c r="E882" s="340"/>
      <c r="F882" s="340"/>
      <c r="G882" s="339"/>
      <c r="H882" s="339"/>
      <c r="L882" s="340"/>
      <c r="M882" s="340"/>
      <c r="N882" s="340"/>
      <c r="P882" s="396"/>
      <c r="Q882" s="396"/>
    </row>
    <row r="883" ht="15.75" customHeight="1">
      <c r="E883" s="340"/>
      <c r="F883" s="340"/>
      <c r="G883" s="339"/>
      <c r="H883" s="339"/>
      <c r="L883" s="340"/>
      <c r="M883" s="340"/>
      <c r="N883" s="340"/>
      <c r="P883" s="396"/>
      <c r="Q883" s="396"/>
    </row>
    <row r="884" ht="15.75" customHeight="1">
      <c r="E884" s="340"/>
      <c r="F884" s="340"/>
      <c r="G884" s="339"/>
      <c r="H884" s="339"/>
      <c r="L884" s="340"/>
      <c r="M884" s="340"/>
      <c r="N884" s="340"/>
      <c r="P884" s="396"/>
      <c r="Q884" s="396"/>
    </row>
    <row r="885" ht="15.75" customHeight="1">
      <c r="E885" s="340"/>
      <c r="F885" s="340"/>
      <c r="G885" s="339"/>
      <c r="H885" s="339"/>
      <c r="L885" s="340"/>
      <c r="M885" s="340"/>
      <c r="N885" s="340"/>
      <c r="P885" s="396"/>
      <c r="Q885" s="396"/>
    </row>
    <row r="886" ht="15.75" customHeight="1">
      <c r="E886" s="340"/>
      <c r="F886" s="340"/>
      <c r="G886" s="339"/>
      <c r="H886" s="339"/>
      <c r="L886" s="340"/>
      <c r="M886" s="340"/>
      <c r="N886" s="340"/>
      <c r="P886" s="396"/>
      <c r="Q886" s="396"/>
    </row>
    <row r="887" ht="15.75" customHeight="1">
      <c r="E887" s="340"/>
      <c r="F887" s="340"/>
      <c r="G887" s="339"/>
      <c r="H887" s="339"/>
      <c r="L887" s="340"/>
      <c r="M887" s="340"/>
      <c r="N887" s="340"/>
      <c r="P887" s="396"/>
      <c r="Q887" s="396"/>
    </row>
    <row r="888" ht="15.75" customHeight="1">
      <c r="E888" s="340"/>
      <c r="F888" s="340"/>
      <c r="G888" s="339"/>
      <c r="H888" s="339"/>
      <c r="L888" s="340"/>
      <c r="M888" s="340"/>
      <c r="N888" s="340"/>
      <c r="P888" s="396"/>
      <c r="Q888" s="396"/>
    </row>
    <row r="889" ht="15.75" customHeight="1">
      <c r="E889" s="340"/>
      <c r="F889" s="340"/>
      <c r="G889" s="339"/>
      <c r="H889" s="339"/>
      <c r="L889" s="340"/>
      <c r="M889" s="340"/>
      <c r="N889" s="340"/>
      <c r="P889" s="396"/>
      <c r="Q889" s="396"/>
    </row>
    <row r="890" ht="15.75" customHeight="1">
      <c r="E890" s="340"/>
      <c r="F890" s="340"/>
      <c r="G890" s="339"/>
      <c r="H890" s="339"/>
      <c r="L890" s="340"/>
      <c r="M890" s="340"/>
      <c r="N890" s="340"/>
      <c r="P890" s="396"/>
      <c r="Q890" s="396"/>
    </row>
    <row r="891" ht="15.75" customHeight="1">
      <c r="E891" s="340"/>
      <c r="F891" s="340"/>
      <c r="G891" s="339"/>
      <c r="H891" s="339"/>
      <c r="L891" s="340"/>
      <c r="M891" s="340"/>
      <c r="N891" s="340"/>
      <c r="P891" s="396"/>
      <c r="Q891" s="396"/>
    </row>
    <row r="892" ht="15.75" customHeight="1">
      <c r="E892" s="340"/>
      <c r="F892" s="340"/>
      <c r="G892" s="339"/>
      <c r="H892" s="339"/>
      <c r="L892" s="340"/>
      <c r="M892" s="340"/>
      <c r="N892" s="340"/>
      <c r="P892" s="396"/>
      <c r="Q892" s="396"/>
    </row>
    <row r="893" ht="15.75" customHeight="1">
      <c r="E893" s="340"/>
      <c r="F893" s="340"/>
      <c r="G893" s="339"/>
      <c r="H893" s="339"/>
      <c r="L893" s="340"/>
      <c r="M893" s="340"/>
      <c r="N893" s="340"/>
      <c r="P893" s="396"/>
      <c r="Q893" s="396"/>
    </row>
    <row r="894" ht="15.75" customHeight="1">
      <c r="E894" s="340"/>
      <c r="F894" s="340"/>
      <c r="G894" s="339"/>
      <c r="H894" s="339"/>
      <c r="L894" s="340"/>
      <c r="M894" s="340"/>
      <c r="N894" s="340"/>
      <c r="P894" s="396"/>
      <c r="Q894" s="396"/>
    </row>
    <row r="895" ht="15.75" customHeight="1">
      <c r="E895" s="340"/>
      <c r="F895" s="340"/>
      <c r="G895" s="339"/>
      <c r="H895" s="339"/>
      <c r="L895" s="340"/>
      <c r="M895" s="340"/>
      <c r="N895" s="340"/>
      <c r="P895" s="396"/>
      <c r="Q895" s="396"/>
    </row>
    <row r="896" ht="15.75" customHeight="1">
      <c r="E896" s="340"/>
      <c r="F896" s="340"/>
      <c r="G896" s="339"/>
      <c r="H896" s="339"/>
      <c r="L896" s="340"/>
      <c r="M896" s="340"/>
      <c r="N896" s="340"/>
      <c r="P896" s="396"/>
      <c r="Q896" s="396"/>
    </row>
    <row r="897" ht="15.75" customHeight="1">
      <c r="E897" s="340"/>
      <c r="F897" s="340"/>
      <c r="G897" s="339"/>
      <c r="H897" s="339"/>
      <c r="L897" s="340"/>
      <c r="M897" s="340"/>
      <c r="N897" s="340"/>
      <c r="P897" s="396"/>
      <c r="Q897" s="396"/>
    </row>
    <row r="898" ht="15.75" customHeight="1">
      <c r="E898" s="340"/>
      <c r="F898" s="340"/>
      <c r="G898" s="339"/>
      <c r="H898" s="339"/>
      <c r="L898" s="340"/>
      <c r="M898" s="340"/>
      <c r="N898" s="340"/>
      <c r="P898" s="396"/>
      <c r="Q898" s="396"/>
    </row>
    <row r="899" ht="15.75" customHeight="1">
      <c r="E899" s="340"/>
      <c r="F899" s="340"/>
      <c r="G899" s="339"/>
      <c r="H899" s="339"/>
      <c r="L899" s="340"/>
      <c r="M899" s="340"/>
      <c r="N899" s="340"/>
      <c r="P899" s="396"/>
      <c r="Q899" s="396"/>
    </row>
    <row r="900" ht="15.75" customHeight="1">
      <c r="E900" s="340"/>
      <c r="F900" s="340"/>
      <c r="G900" s="339"/>
      <c r="H900" s="339"/>
      <c r="L900" s="340"/>
      <c r="M900" s="340"/>
      <c r="N900" s="340"/>
      <c r="P900" s="396"/>
      <c r="Q900" s="396"/>
    </row>
    <row r="901" ht="15.75" customHeight="1">
      <c r="E901" s="340"/>
      <c r="F901" s="340"/>
      <c r="G901" s="339"/>
      <c r="H901" s="339"/>
      <c r="L901" s="340"/>
      <c r="M901" s="340"/>
      <c r="N901" s="340"/>
      <c r="P901" s="396"/>
      <c r="Q901" s="396"/>
    </row>
    <row r="902" ht="15.75" customHeight="1">
      <c r="E902" s="340"/>
      <c r="F902" s="340"/>
      <c r="G902" s="339"/>
      <c r="H902" s="339"/>
      <c r="L902" s="340"/>
      <c r="M902" s="340"/>
      <c r="N902" s="340"/>
      <c r="P902" s="396"/>
      <c r="Q902" s="396"/>
    </row>
    <row r="903" ht="15.75" customHeight="1">
      <c r="E903" s="340"/>
      <c r="F903" s="340"/>
      <c r="G903" s="339"/>
      <c r="H903" s="339"/>
      <c r="L903" s="340"/>
      <c r="M903" s="340"/>
      <c r="N903" s="340"/>
      <c r="P903" s="396"/>
      <c r="Q903" s="396"/>
    </row>
    <row r="904" ht="15.75" customHeight="1">
      <c r="E904" s="340"/>
      <c r="F904" s="340"/>
      <c r="G904" s="339"/>
      <c r="H904" s="339"/>
      <c r="L904" s="340"/>
      <c r="M904" s="340"/>
      <c r="N904" s="340"/>
      <c r="P904" s="396"/>
      <c r="Q904" s="396"/>
    </row>
    <row r="905" ht="15.75" customHeight="1">
      <c r="E905" s="340"/>
      <c r="F905" s="340"/>
      <c r="G905" s="339"/>
      <c r="H905" s="339"/>
      <c r="L905" s="340"/>
      <c r="M905" s="340"/>
      <c r="N905" s="340"/>
      <c r="P905" s="396"/>
      <c r="Q905" s="396"/>
    </row>
    <row r="906" ht="15.75" customHeight="1">
      <c r="E906" s="340"/>
      <c r="F906" s="340"/>
      <c r="G906" s="339"/>
      <c r="H906" s="339"/>
      <c r="L906" s="340"/>
      <c r="M906" s="340"/>
      <c r="N906" s="340"/>
      <c r="P906" s="396"/>
      <c r="Q906" s="396"/>
    </row>
    <row r="907" ht="15.75" customHeight="1">
      <c r="E907" s="340"/>
      <c r="F907" s="340"/>
      <c r="G907" s="339"/>
      <c r="H907" s="339"/>
      <c r="L907" s="340"/>
      <c r="M907" s="340"/>
      <c r="N907" s="340"/>
      <c r="P907" s="396"/>
      <c r="Q907" s="396"/>
    </row>
    <row r="908" ht="15.75" customHeight="1">
      <c r="E908" s="340"/>
      <c r="F908" s="340"/>
      <c r="G908" s="339"/>
      <c r="H908" s="339"/>
      <c r="L908" s="340"/>
      <c r="M908" s="340"/>
      <c r="N908" s="340"/>
      <c r="P908" s="396"/>
      <c r="Q908" s="396"/>
    </row>
    <row r="909" ht="15.75" customHeight="1">
      <c r="E909" s="340"/>
      <c r="F909" s="340"/>
      <c r="G909" s="339"/>
      <c r="H909" s="339"/>
      <c r="L909" s="340"/>
      <c r="M909" s="340"/>
      <c r="N909" s="340"/>
      <c r="P909" s="396"/>
      <c r="Q909" s="396"/>
    </row>
    <row r="910" ht="15.75" customHeight="1">
      <c r="E910" s="340"/>
      <c r="F910" s="340"/>
      <c r="G910" s="339"/>
      <c r="H910" s="339"/>
      <c r="L910" s="340"/>
      <c r="M910" s="340"/>
      <c r="N910" s="340"/>
      <c r="P910" s="396"/>
      <c r="Q910" s="396"/>
    </row>
    <row r="911" ht="15.75" customHeight="1">
      <c r="E911" s="340"/>
      <c r="F911" s="340"/>
      <c r="G911" s="339"/>
      <c r="H911" s="339"/>
      <c r="L911" s="340"/>
      <c r="M911" s="340"/>
      <c r="N911" s="340"/>
      <c r="P911" s="396"/>
      <c r="Q911" s="396"/>
    </row>
    <row r="912" ht="15.75" customHeight="1">
      <c r="E912" s="340"/>
      <c r="F912" s="340"/>
      <c r="G912" s="339"/>
      <c r="H912" s="339"/>
      <c r="L912" s="340"/>
      <c r="M912" s="340"/>
      <c r="N912" s="340"/>
      <c r="P912" s="396"/>
      <c r="Q912" s="396"/>
    </row>
    <row r="913" ht="15.75" customHeight="1">
      <c r="E913" s="340"/>
      <c r="F913" s="340"/>
      <c r="G913" s="339"/>
      <c r="H913" s="339"/>
      <c r="L913" s="340"/>
      <c r="M913" s="340"/>
      <c r="N913" s="340"/>
      <c r="P913" s="396"/>
      <c r="Q913" s="396"/>
    </row>
    <row r="914" ht="15.75" customHeight="1">
      <c r="E914" s="340"/>
      <c r="F914" s="340"/>
      <c r="G914" s="339"/>
      <c r="H914" s="339"/>
      <c r="L914" s="340"/>
      <c r="M914" s="340"/>
      <c r="N914" s="340"/>
      <c r="P914" s="396"/>
      <c r="Q914" s="396"/>
    </row>
    <row r="915" ht="15.75" customHeight="1">
      <c r="E915" s="340"/>
      <c r="F915" s="340"/>
      <c r="G915" s="339"/>
      <c r="H915" s="339"/>
      <c r="L915" s="340"/>
      <c r="M915" s="340"/>
      <c r="N915" s="340"/>
      <c r="P915" s="396"/>
      <c r="Q915" s="396"/>
    </row>
    <row r="916" ht="15.75" customHeight="1">
      <c r="E916" s="340"/>
      <c r="F916" s="340"/>
      <c r="G916" s="339"/>
      <c r="H916" s="339"/>
      <c r="L916" s="340"/>
      <c r="M916" s="340"/>
      <c r="N916" s="340"/>
      <c r="P916" s="396"/>
      <c r="Q916" s="396"/>
    </row>
    <row r="917" ht="15.75" customHeight="1">
      <c r="E917" s="340"/>
      <c r="F917" s="340"/>
      <c r="G917" s="339"/>
      <c r="H917" s="339"/>
      <c r="L917" s="340"/>
      <c r="M917" s="340"/>
      <c r="N917" s="340"/>
      <c r="P917" s="396"/>
      <c r="Q917" s="396"/>
    </row>
    <row r="918" ht="15.75" customHeight="1">
      <c r="E918" s="340"/>
      <c r="F918" s="340"/>
      <c r="G918" s="339"/>
      <c r="H918" s="339"/>
      <c r="L918" s="340"/>
      <c r="M918" s="340"/>
      <c r="N918" s="340"/>
      <c r="P918" s="396"/>
      <c r="Q918" s="396"/>
    </row>
    <row r="919" ht="15.75" customHeight="1">
      <c r="E919" s="340"/>
      <c r="F919" s="340"/>
      <c r="G919" s="339"/>
      <c r="H919" s="339"/>
      <c r="L919" s="340"/>
      <c r="M919" s="340"/>
      <c r="N919" s="340"/>
      <c r="P919" s="396"/>
      <c r="Q919" s="396"/>
    </row>
    <row r="920" ht="15.75" customHeight="1">
      <c r="E920" s="340"/>
      <c r="F920" s="340"/>
      <c r="G920" s="339"/>
      <c r="H920" s="339"/>
      <c r="L920" s="340"/>
      <c r="M920" s="340"/>
      <c r="N920" s="340"/>
      <c r="P920" s="396"/>
      <c r="Q920" s="396"/>
    </row>
    <row r="921" ht="15.75" customHeight="1">
      <c r="E921" s="340"/>
      <c r="F921" s="340"/>
      <c r="G921" s="339"/>
      <c r="H921" s="339"/>
      <c r="L921" s="340"/>
      <c r="M921" s="340"/>
      <c r="N921" s="340"/>
      <c r="P921" s="396"/>
      <c r="Q921" s="396"/>
    </row>
    <row r="922" ht="15.75" customHeight="1">
      <c r="E922" s="340"/>
      <c r="F922" s="340"/>
      <c r="G922" s="339"/>
      <c r="H922" s="339"/>
      <c r="L922" s="340"/>
      <c r="M922" s="340"/>
      <c r="N922" s="340"/>
      <c r="P922" s="396"/>
      <c r="Q922" s="396"/>
    </row>
    <row r="923" ht="15.75" customHeight="1">
      <c r="E923" s="340"/>
      <c r="F923" s="340"/>
      <c r="G923" s="339"/>
      <c r="H923" s="339"/>
      <c r="L923" s="340"/>
      <c r="M923" s="340"/>
      <c r="N923" s="340"/>
      <c r="P923" s="396"/>
      <c r="Q923" s="396"/>
    </row>
    <row r="924" ht="15.75" customHeight="1">
      <c r="E924" s="340"/>
      <c r="F924" s="340"/>
      <c r="G924" s="339"/>
      <c r="H924" s="339"/>
      <c r="L924" s="340"/>
      <c r="M924" s="340"/>
      <c r="N924" s="340"/>
      <c r="P924" s="396"/>
      <c r="Q924" s="396"/>
    </row>
    <row r="925" ht="15.75" customHeight="1">
      <c r="E925" s="340"/>
      <c r="F925" s="340"/>
      <c r="G925" s="339"/>
      <c r="H925" s="339"/>
      <c r="L925" s="340"/>
      <c r="M925" s="340"/>
      <c r="N925" s="340"/>
      <c r="P925" s="396"/>
      <c r="Q925" s="396"/>
    </row>
    <row r="926" ht="15.75" customHeight="1">
      <c r="E926" s="340"/>
      <c r="F926" s="340"/>
      <c r="G926" s="339"/>
      <c r="H926" s="339"/>
      <c r="L926" s="340"/>
      <c r="M926" s="340"/>
      <c r="N926" s="340"/>
      <c r="P926" s="396"/>
      <c r="Q926" s="396"/>
    </row>
    <row r="927" ht="15.75" customHeight="1">
      <c r="E927" s="340"/>
      <c r="F927" s="340"/>
      <c r="G927" s="339"/>
      <c r="H927" s="339"/>
      <c r="L927" s="340"/>
      <c r="M927" s="340"/>
      <c r="N927" s="340"/>
      <c r="P927" s="396"/>
      <c r="Q927" s="396"/>
    </row>
    <row r="928" ht="15.75" customHeight="1">
      <c r="E928" s="340"/>
      <c r="F928" s="340"/>
      <c r="G928" s="339"/>
      <c r="H928" s="339"/>
      <c r="L928" s="340"/>
      <c r="M928" s="340"/>
      <c r="N928" s="340"/>
      <c r="P928" s="396"/>
      <c r="Q928" s="396"/>
    </row>
    <row r="929" ht="15.75" customHeight="1">
      <c r="E929" s="340"/>
      <c r="F929" s="340"/>
      <c r="G929" s="339"/>
      <c r="H929" s="339"/>
      <c r="L929" s="340"/>
      <c r="M929" s="340"/>
      <c r="N929" s="340"/>
      <c r="P929" s="396"/>
      <c r="Q929" s="396"/>
    </row>
    <row r="930" ht="15.75" customHeight="1">
      <c r="E930" s="340"/>
      <c r="F930" s="340"/>
      <c r="G930" s="339"/>
      <c r="H930" s="339"/>
      <c r="L930" s="340"/>
      <c r="M930" s="340"/>
      <c r="N930" s="340"/>
      <c r="P930" s="396"/>
      <c r="Q930" s="396"/>
    </row>
    <row r="931" ht="15.75" customHeight="1">
      <c r="E931" s="340"/>
      <c r="F931" s="340"/>
      <c r="G931" s="339"/>
      <c r="H931" s="339"/>
      <c r="L931" s="340"/>
      <c r="M931" s="340"/>
      <c r="N931" s="340"/>
      <c r="P931" s="396"/>
      <c r="Q931" s="396"/>
    </row>
    <row r="932" ht="15.75" customHeight="1">
      <c r="E932" s="340"/>
      <c r="F932" s="340"/>
      <c r="G932" s="339"/>
      <c r="H932" s="339"/>
      <c r="L932" s="340"/>
      <c r="M932" s="340"/>
      <c r="N932" s="340"/>
      <c r="P932" s="396"/>
      <c r="Q932" s="396"/>
    </row>
    <row r="933" ht="15.75" customHeight="1">
      <c r="E933" s="340"/>
      <c r="F933" s="340"/>
      <c r="G933" s="339"/>
      <c r="H933" s="339"/>
      <c r="L933" s="340"/>
      <c r="M933" s="340"/>
      <c r="N933" s="340"/>
      <c r="P933" s="396"/>
      <c r="Q933" s="396"/>
    </row>
    <row r="934" ht="15.75" customHeight="1">
      <c r="E934" s="340"/>
      <c r="F934" s="340"/>
      <c r="G934" s="339"/>
      <c r="H934" s="339"/>
      <c r="L934" s="340"/>
      <c r="M934" s="340"/>
      <c r="N934" s="340"/>
      <c r="P934" s="396"/>
      <c r="Q934" s="396"/>
    </row>
    <row r="935" ht="15.75" customHeight="1">
      <c r="E935" s="340"/>
      <c r="F935" s="340"/>
      <c r="G935" s="339"/>
      <c r="H935" s="339"/>
      <c r="L935" s="340"/>
      <c r="M935" s="340"/>
      <c r="N935" s="340"/>
      <c r="P935" s="396"/>
      <c r="Q935" s="396"/>
    </row>
    <row r="936" ht="15.75" customHeight="1">
      <c r="E936" s="340"/>
      <c r="F936" s="340"/>
      <c r="G936" s="339"/>
      <c r="H936" s="339"/>
      <c r="L936" s="340"/>
      <c r="M936" s="340"/>
      <c r="N936" s="340"/>
      <c r="P936" s="396"/>
      <c r="Q936" s="396"/>
    </row>
    <row r="937" ht="15.75" customHeight="1">
      <c r="E937" s="340"/>
      <c r="F937" s="340"/>
      <c r="G937" s="339"/>
      <c r="H937" s="339"/>
      <c r="L937" s="340"/>
      <c r="M937" s="340"/>
      <c r="N937" s="340"/>
      <c r="P937" s="396"/>
      <c r="Q937" s="396"/>
    </row>
    <row r="938" ht="15.75" customHeight="1">
      <c r="E938" s="340"/>
      <c r="F938" s="340"/>
      <c r="G938" s="339"/>
      <c r="H938" s="339"/>
      <c r="L938" s="340"/>
      <c r="M938" s="340"/>
      <c r="N938" s="340"/>
      <c r="P938" s="396"/>
      <c r="Q938" s="396"/>
    </row>
    <row r="939" ht="15.75" customHeight="1">
      <c r="E939" s="340"/>
      <c r="F939" s="340"/>
      <c r="G939" s="339"/>
      <c r="H939" s="339"/>
      <c r="L939" s="340"/>
      <c r="M939" s="340"/>
      <c r="N939" s="340"/>
      <c r="P939" s="396"/>
      <c r="Q939" s="396"/>
    </row>
    <row r="940" ht="15.75" customHeight="1">
      <c r="E940" s="340"/>
      <c r="F940" s="340"/>
      <c r="G940" s="339"/>
      <c r="H940" s="339"/>
      <c r="L940" s="340"/>
      <c r="M940" s="340"/>
      <c r="N940" s="340"/>
      <c r="P940" s="396"/>
      <c r="Q940" s="396"/>
    </row>
    <row r="941" ht="15.75" customHeight="1">
      <c r="E941" s="340"/>
      <c r="F941" s="340"/>
      <c r="G941" s="339"/>
      <c r="H941" s="339"/>
      <c r="L941" s="340"/>
      <c r="M941" s="340"/>
      <c r="N941" s="340"/>
      <c r="P941" s="396"/>
      <c r="Q941" s="396"/>
    </row>
    <row r="942" ht="15.75" customHeight="1">
      <c r="E942" s="340"/>
      <c r="F942" s="340"/>
      <c r="G942" s="339"/>
      <c r="H942" s="339"/>
      <c r="L942" s="340"/>
      <c r="M942" s="340"/>
      <c r="N942" s="340"/>
      <c r="P942" s="396"/>
      <c r="Q942" s="396"/>
    </row>
    <row r="943" ht="15.75" customHeight="1">
      <c r="E943" s="340"/>
      <c r="F943" s="340"/>
      <c r="G943" s="339"/>
      <c r="H943" s="339"/>
      <c r="L943" s="340"/>
      <c r="M943" s="340"/>
      <c r="N943" s="340"/>
      <c r="P943" s="396"/>
      <c r="Q943" s="396"/>
    </row>
    <row r="944" ht="15.75" customHeight="1">
      <c r="E944" s="340"/>
      <c r="F944" s="340"/>
      <c r="G944" s="339"/>
      <c r="H944" s="339"/>
      <c r="L944" s="340"/>
      <c r="M944" s="340"/>
      <c r="N944" s="340"/>
      <c r="P944" s="396"/>
      <c r="Q944" s="396"/>
    </row>
    <row r="945" ht="15.75" customHeight="1">
      <c r="E945" s="340"/>
      <c r="F945" s="340"/>
      <c r="G945" s="339"/>
      <c r="H945" s="339"/>
      <c r="L945" s="340"/>
      <c r="M945" s="340"/>
      <c r="N945" s="340"/>
      <c r="P945" s="396"/>
      <c r="Q945" s="396"/>
    </row>
    <row r="946" ht="15.75" customHeight="1">
      <c r="E946" s="340"/>
      <c r="F946" s="340"/>
      <c r="G946" s="339"/>
      <c r="H946" s="339"/>
      <c r="L946" s="340"/>
      <c r="M946" s="340"/>
      <c r="N946" s="340"/>
      <c r="P946" s="396"/>
      <c r="Q946" s="396"/>
    </row>
    <row r="947" ht="15.75" customHeight="1">
      <c r="E947" s="340"/>
      <c r="F947" s="340"/>
      <c r="G947" s="339"/>
      <c r="H947" s="339"/>
      <c r="L947" s="340"/>
      <c r="M947" s="340"/>
      <c r="N947" s="340"/>
      <c r="P947" s="396"/>
      <c r="Q947" s="396"/>
    </row>
    <row r="948" ht="15.75" customHeight="1">
      <c r="E948" s="340"/>
      <c r="F948" s="340"/>
      <c r="G948" s="339"/>
      <c r="H948" s="339"/>
      <c r="L948" s="340"/>
      <c r="M948" s="340"/>
      <c r="N948" s="340"/>
      <c r="P948" s="396"/>
      <c r="Q948" s="396"/>
    </row>
    <row r="949" ht="15.75" customHeight="1">
      <c r="E949" s="340"/>
      <c r="F949" s="340"/>
      <c r="G949" s="339"/>
      <c r="H949" s="339"/>
      <c r="L949" s="340"/>
      <c r="M949" s="340"/>
      <c r="N949" s="340"/>
      <c r="P949" s="396"/>
      <c r="Q949" s="396"/>
    </row>
    <row r="950" ht="15.75" customHeight="1">
      <c r="E950" s="340"/>
      <c r="F950" s="340"/>
      <c r="G950" s="339"/>
      <c r="H950" s="339"/>
      <c r="L950" s="340"/>
      <c r="M950" s="340"/>
      <c r="N950" s="340"/>
      <c r="P950" s="396"/>
      <c r="Q950" s="396"/>
    </row>
    <row r="951" ht="15.75" customHeight="1">
      <c r="E951" s="340"/>
      <c r="F951" s="340"/>
      <c r="G951" s="339"/>
      <c r="H951" s="339"/>
      <c r="L951" s="340"/>
      <c r="M951" s="340"/>
      <c r="N951" s="340"/>
      <c r="P951" s="396"/>
      <c r="Q951" s="396"/>
    </row>
    <row r="952" ht="15.75" customHeight="1">
      <c r="E952" s="340"/>
      <c r="F952" s="340"/>
      <c r="G952" s="339"/>
      <c r="H952" s="339"/>
      <c r="L952" s="340"/>
      <c r="M952" s="340"/>
      <c r="N952" s="340"/>
      <c r="P952" s="396"/>
      <c r="Q952" s="396"/>
    </row>
    <row r="953" ht="15.75" customHeight="1">
      <c r="E953" s="340"/>
      <c r="F953" s="340"/>
      <c r="G953" s="339"/>
      <c r="H953" s="339"/>
      <c r="L953" s="340"/>
      <c r="M953" s="340"/>
      <c r="N953" s="340"/>
      <c r="P953" s="396"/>
      <c r="Q953" s="396"/>
    </row>
    <row r="954" ht="15.75" customHeight="1">
      <c r="E954" s="340"/>
      <c r="F954" s="340"/>
      <c r="G954" s="339"/>
      <c r="H954" s="339"/>
      <c r="L954" s="340"/>
      <c r="M954" s="340"/>
      <c r="N954" s="340"/>
      <c r="P954" s="396"/>
      <c r="Q954" s="396"/>
    </row>
    <row r="955" ht="15.75" customHeight="1">
      <c r="E955" s="340"/>
      <c r="F955" s="340"/>
      <c r="G955" s="339"/>
      <c r="H955" s="339"/>
      <c r="L955" s="340"/>
      <c r="M955" s="340"/>
      <c r="N955" s="340"/>
      <c r="P955" s="396"/>
      <c r="Q955" s="396"/>
    </row>
    <row r="956" ht="15.75" customHeight="1">
      <c r="E956" s="340"/>
      <c r="F956" s="340"/>
      <c r="G956" s="339"/>
      <c r="H956" s="339"/>
      <c r="L956" s="340"/>
      <c r="M956" s="340"/>
      <c r="N956" s="340"/>
      <c r="P956" s="396"/>
      <c r="Q956" s="396"/>
    </row>
    <row r="957" ht="15.75" customHeight="1">
      <c r="E957" s="340"/>
      <c r="F957" s="340"/>
      <c r="G957" s="339"/>
      <c r="H957" s="339"/>
      <c r="L957" s="340"/>
      <c r="M957" s="340"/>
      <c r="N957" s="340"/>
      <c r="P957" s="396"/>
      <c r="Q957" s="396"/>
    </row>
    <row r="958" ht="15.75" customHeight="1">
      <c r="E958" s="340"/>
      <c r="F958" s="340"/>
      <c r="G958" s="339"/>
      <c r="H958" s="339"/>
      <c r="L958" s="340"/>
      <c r="M958" s="340"/>
      <c r="N958" s="340"/>
      <c r="P958" s="396"/>
      <c r="Q958" s="396"/>
    </row>
    <row r="959" ht="15.75" customHeight="1">
      <c r="E959" s="340"/>
      <c r="F959" s="340"/>
      <c r="G959" s="339"/>
      <c r="H959" s="339"/>
      <c r="L959" s="340"/>
      <c r="M959" s="340"/>
      <c r="N959" s="340"/>
      <c r="P959" s="396"/>
      <c r="Q959" s="396"/>
    </row>
    <row r="960" ht="15.75" customHeight="1">
      <c r="E960" s="340"/>
      <c r="F960" s="340"/>
      <c r="G960" s="339"/>
      <c r="H960" s="339"/>
      <c r="L960" s="340"/>
      <c r="M960" s="340"/>
      <c r="N960" s="340"/>
      <c r="P960" s="396"/>
      <c r="Q960" s="396"/>
    </row>
    <row r="961" ht="15.75" customHeight="1">
      <c r="E961" s="340"/>
      <c r="F961" s="340"/>
      <c r="G961" s="339"/>
      <c r="H961" s="339"/>
      <c r="L961" s="340"/>
      <c r="M961" s="340"/>
      <c r="N961" s="340"/>
      <c r="P961" s="396"/>
      <c r="Q961" s="396"/>
    </row>
    <row r="962" ht="15.75" customHeight="1">
      <c r="E962" s="340"/>
      <c r="F962" s="340"/>
      <c r="G962" s="339"/>
      <c r="H962" s="339"/>
      <c r="L962" s="340"/>
      <c r="M962" s="340"/>
      <c r="N962" s="340"/>
      <c r="P962" s="396"/>
      <c r="Q962" s="396"/>
    </row>
    <row r="963" ht="15.75" customHeight="1">
      <c r="E963" s="340"/>
      <c r="F963" s="340"/>
      <c r="G963" s="339"/>
      <c r="H963" s="339"/>
      <c r="L963" s="340"/>
      <c r="M963" s="340"/>
      <c r="N963" s="340"/>
      <c r="P963" s="396"/>
      <c r="Q963" s="396"/>
    </row>
    <row r="964" ht="15.75" customHeight="1">
      <c r="E964" s="340"/>
      <c r="F964" s="340"/>
      <c r="G964" s="339"/>
      <c r="H964" s="339"/>
      <c r="L964" s="340"/>
      <c r="M964" s="340"/>
      <c r="N964" s="340"/>
      <c r="P964" s="396"/>
      <c r="Q964" s="396"/>
    </row>
    <row r="965" ht="15.75" customHeight="1">
      <c r="E965" s="340"/>
      <c r="F965" s="340"/>
      <c r="G965" s="339"/>
      <c r="H965" s="339"/>
      <c r="L965" s="340"/>
      <c r="M965" s="340"/>
      <c r="N965" s="340"/>
      <c r="P965" s="396"/>
      <c r="Q965" s="396"/>
    </row>
    <row r="966" ht="15.75" customHeight="1">
      <c r="E966" s="340"/>
      <c r="F966" s="340"/>
      <c r="G966" s="339"/>
      <c r="H966" s="339"/>
      <c r="L966" s="340"/>
      <c r="M966" s="340"/>
      <c r="N966" s="340"/>
      <c r="P966" s="396"/>
      <c r="Q966" s="396"/>
    </row>
    <row r="967" ht="15.75" customHeight="1">
      <c r="E967" s="340"/>
      <c r="F967" s="340"/>
      <c r="G967" s="339"/>
      <c r="H967" s="339"/>
      <c r="L967" s="340"/>
      <c r="M967" s="340"/>
      <c r="N967" s="340"/>
      <c r="P967" s="396"/>
      <c r="Q967" s="396"/>
    </row>
    <row r="968" ht="15.75" customHeight="1">
      <c r="E968" s="340"/>
      <c r="F968" s="340"/>
      <c r="G968" s="339"/>
      <c r="H968" s="339"/>
      <c r="L968" s="340"/>
      <c r="M968" s="340"/>
      <c r="N968" s="340"/>
      <c r="P968" s="396"/>
      <c r="Q968" s="396"/>
    </row>
    <row r="969" ht="15.75" customHeight="1">
      <c r="E969" s="340"/>
      <c r="F969" s="340"/>
      <c r="G969" s="339"/>
      <c r="H969" s="339"/>
      <c r="L969" s="340"/>
      <c r="M969" s="340"/>
      <c r="N969" s="340"/>
      <c r="P969" s="396"/>
      <c r="Q969" s="396"/>
    </row>
    <row r="970" ht="15.75" customHeight="1">
      <c r="E970" s="340"/>
      <c r="F970" s="340"/>
      <c r="G970" s="339"/>
      <c r="H970" s="339"/>
      <c r="L970" s="340"/>
      <c r="M970" s="340"/>
      <c r="N970" s="340"/>
      <c r="P970" s="396"/>
      <c r="Q970" s="396"/>
    </row>
    <row r="971" ht="15.75" customHeight="1">
      <c r="E971" s="340"/>
      <c r="F971" s="340"/>
      <c r="G971" s="339"/>
      <c r="H971" s="339"/>
      <c r="L971" s="340"/>
      <c r="M971" s="340"/>
      <c r="N971" s="340"/>
      <c r="P971" s="396"/>
      <c r="Q971" s="396"/>
    </row>
    <row r="972" ht="15.75" customHeight="1">
      <c r="E972" s="340"/>
      <c r="F972" s="340"/>
      <c r="G972" s="339"/>
      <c r="H972" s="339"/>
      <c r="L972" s="340"/>
      <c r="M972" s="340"/>
      <c r="N972" s="340"/>
      <c r="P972" s="396"/>
      <c r="Q972" s="396"/>
    </row>
    <row r="973" ht="15.75" customHeight="1">
      <c r="E973" s="340"/>
      <c r="F973" s="340"/>
      <c r="G973" s="339"/>
      <c r="H973" s="339"/>
      <c r="L973" s="340"/>
      <c r="M973" s="340"/>
      <c r="N973" s="340"/>
      <c r="P973" s="396"/>
      <c r="Q973" s="396"/>
    </row>
    <row r="974" ht="15.75" customHeight="1">
      <c r="E974" s="340"/>
      <c r="F974" s="340"/>
      <c r="G974" s="339"/>
      <c r="H974" s="339"/>
      <c r="L974" s="340"/>
      <c r="M974" s="340"/>
      <c r="N974" s="340"/>
      <c r="P974" s="396"/>
      <c r="Q974" s="396"/>
    </row>
    <row r="975" ht="15.75" customHeight="1">
      <c r="E975" s="340"/>
      <c r="F975" s="340"/>
      <c r="G975" s="339"/>
      <c r="H975" s="339"/>
      <c r="L975" s="340"/>
      <c r="M975" s="340"/>
      <c r="N975" s="340"/>
      <c r="P975" s="396"/>
      <c r="Q975" s="396"/>
    </row>
    <row r="976" ht="15.75" customHeight="1">
      <c r="E976" s="340"/>
      <c r="F976" s="340"/>
      <c r="G976" s="339"/>
      <c r="H976" s="339"/>
      <c r="L976" s="340"/>
      <c r="M976" s="340"/>
      <c r="N976" s="340"/>
      <c r="P976" s="396"/>
      <c r="Q976" s="396"/>
    </row>
    <row r="977" ht="15.75" customHeight="1">
      <c r="E977" s="340"/>
      <c r="F977" s="340"/>
      <c r="G977" s="339"/>
      <c r="H977" s="339"/>
      <c r="L977" s="340"/>
      <c r="M977" s="340"/>
      <c r="N977" s="340"/>
      <c r="P977" s="396"/>
      <c r="Q977" s="396"/>
    </row>
    <row r="978" ht="15.75" customHeight="1">
      <c r="E978" s="340"/>
      <c r="F978" s="340"/>
      <c r="G978" s="339"/>
      <c r="H978" s="339"/>
      <c r="L978" s="340"/>
      <c r="M978" s="340"/>
      <c r="N978" s="340"/>
      <c r="P978" s="396"/>
      <c r="Q978" s="396"/>
    </row>
    <row r="979" ht="15.75" customHeight="1">
      <c r="E979" s="340"/>
      <c r="F979" s="340"/>
      <c r="G979" s="339"/>
      <c r="H979" s="339"/>
      <c r="L979" s="340"/>
      <c r="M979" s="340"/>
      <c r="N979" s="340"/>
      <c r="P979" s="396"/>
      <c r="Q979" s="396"/>
    </row>
    <row r="980" ht="15.75" customHeight="1">
      <c r="E980" s="340"/>
      <c r="F980" s="340"/>
      <c r="G980" s="339"/>
      <c r="H980" s="339"/>
      <c r="L980" s="340"/>
      <c r="M980" s="340"/>
      <c r="N980" s="340"/>
      <c r="P980" s="396"/>
      <c r="Q980" s="396"/>
    </row>
    <row r="981" ht="15.75" customHeight="1">
      <c r="E981" s="340"/>
      <c r="F981" s="340"/>
      <c r="G981" s="339"/>
      <c r="H981" s="339"/>
      <c r="L981" s="340"/>
      <c r="M981" s="340"/>
      <c r="N981" s="340"/>
      <c r="P981" s="396"/>
      <c r="Q981" s="396"/>
    </row>
    <row r="982" ht="15.75" customHeight="1">
      <c r="E982" s="340"/>
      <c r="F982" s="340"/>
      <c r="G982" s="339"/>
      <c r="H982" s="339"/>
      <c r="L982" s="340"/>
      <c r="M982" s="340"/>
      <c r="N982" s="340"/>
      <c r="P982" s="396"/>
      <c r="Q982" s="396"/>
    </row>
    <row r="983" ht="15.75" customHeight="1">
      <c r="E983" s="340"/>
      <c r="F983" s="340"/>
      <c r="G983" s="339"/>
      <c r="H983" s="339"/>
      <c r="L983" s="340"/>
      <c r="M983" s="340"/>
      <c r="N983" s="340"/>
      <c r="P983" s="396"/>
      <c r="Q983" s="396"/>
    </row>
    <row r="984" ht="15.75" customHeight="1">
      <c r="E984" s="340"/>
      <c r="F984" s="340"/>
      <c r="G984" s="339"/>
      <c r="H984" s="339"/>
      <c r="L984" s="340"/>
      <c r="M984" s="340"/>
      <c r="N984" s="340"/>
      <c r="P984" s="396"/>
      <c r="Q984" s="396"/>
    </row>
    <row r="985" ht="15.75" customHeight="1">
      <c r="E985" s="340"/>
      <c r="F985" s="340"/>
      <c r="G985" s="339"/>
      <c r="H985" s="339"/>
      <c r="L985" s="340"/>
      <c r="M985" s="340"/>
      <c r="N985" s="340"/>
      <c r="P985" s="396"/>
      <c r="Q985" s="396"/>
    </row>
    <row r="986" ht="15.75" customHeight="1">
      <c r="E986" s="340"/>
      <c r="F986" s="340"/>
      <c r="G986" s="339"/>
      <c r="H986" s="339"/>
      <c r="L986" s="340"/>
      <c r="M986" s="340"/>
      <c r="N986" s="340"/>
      <c r="P986" s="396"/>
      <c r="Q986" s="396"/>
    </row>
    <row r="987" ht="15.75" customHeight="1">
      <c r="E987" s="340"/>
      <c r="F987" s="340"/>
      <c r="G987" s="339"/>
      <c r="H987" s="339"/>
      <c r="L987" s="340"/>
      <c r="M987" s="340"/>
      <c r="N987" s="340"/>
      <c r="P987" s="396"/>
      <c r="Q987" s="396"/>
    </row>
    <row r="988" ht="15.75" customHeight="1">
      <c r="E988" s="340"/>
      <c r="F988" s="340"/>
      <c r="G988" s="339"/>
      <c r="H988" s="339"/>
      <c r="L988" s="340"/>
      <c r="M988" s="340"/>
      <c r="N988" s="340"/>
      <c r="P988" s="396"/>
      <c r="Q988" s="396"/>
    </row>
    <row r="989" ht="15.75" customHeight="1">
      <c r="E989" s="340"/>
      <c r="F989" s="340"/>
      <c r="G989" s="339"/>
      <c r="H989" s="339"/>
      <c r="L989" s="340"/>
      <c r="M989" s="340"/>
      <c r="N989" s="340"/>
      <c r="P989" s="396"/>
      <c r="Q989" s="396"/>
    </row>
    <row r="990" ht="15.75" customHeight="1">
      <c r="E990" s="340"/>
      <c r="F990" s="340"/>
      <c r="G990" s="339"/>
      <c r="H990" s="339"/>
      <c r="L990" s="340"/>
      <c r="M990" s="340"/>
      <c r="N990" s="340"/>
      <c r="P990" s="396"/>
      <c r="Q990" s="396"/>
    </row>
    <row r="991" ht="15.75" customHeight="1">
      <c r="E991" s="340"/>
      <c r="F991" s="340"/>
      <c r="G991" s="339"/>
      <c r="H991" s="339"/>
      <c r="L991" s="340"/>
      <c r="M991" s="340"/>
      <c r="N991" s="340"/>
      <c r="P991" s="396"/>
      <c r="Q991" s="396"/>
    </row>
    <row r="992" ht="15.75" customHeight="1">
      <c r="E992" s="340"/>
      <c r="F992" s="340"/>
      <c r="G992" s="339"/>
      <c r="H992" s="339"/>
      <c r="L992" s="340"/>
      <c r="M992" s="340"/>
      <c r="N992" s="340"/>
      <c r="P992" s="396"/>
      <c r="Q992" s="396"/>
    </row>
    <row r="993" ht="15.75" customHeight="1">
      <c r="E993" s="340"/>
      <c r="F993" s="340"/>
      <c r="G993" s="339"/>
      <c r="H993" s="339"/>
      <c r="L993" s="340"/>
      <c r="M993" s="340"/>
      <c r="N993" s="340"/>
      <c r="P993" s="396"/>
      <c r="Q993" s="396"/>
    </row>
    <row r="994" ht="15.75" customHeight="1">
      <c r="E994" s="340"/>
      <c r="F994" s="340"/>
      <c r="G994" s="339"/>
      <c r="H994" s="339"/>
      <c r="L994" s="340"/>
      <c r="M994" s="340"/>
      <c r="N994" s="340"/>
      <c r="P994" s="396"/>
      <c r="Q994" s="396"/>
    </row>
    <row r="995" ht="15.75" customHeight="1">
      <c r="E995" s="340"/>
      <c r="F995" s="340"/>
      <c r="G995" s="339"/>
      <c r="H995" s="339"/>
      <c r="L995" s="340"/>
      <c r="M995" s="340"/>
      <c r="N995" s="340"/>
      <c r="P995" s="396"/>
      <c r="Q995" s="396"/>
    </row>
    <row r="996" ht="15.75" customHeight="1">
      <c r="E996" s="340"/>
      <c r="F996" s="340"/>
      <c r="G996" s="339"/>
      <c r="H996" s="339"/>
      <c r="L996" s="340"/>
      <c r="M996" s="340"/>
      <c r="N996" s="340"/>
      <c r="P996" s="396"/>
      <c r="Q996" s="396"/>
    </row>
    <row r="997" ht="15.75" customHeight="1">
      <c r="E997" s="340"/>
      <c r="F997" s="340"/>
      <c r="G997" s="339"/>
      <c r="H997" s="339"/>
      <c r="L997" s="340"/>
      <c r="M997" s="340"/>
      <c r="N997" s="340"/>
      <c r="P997" s="396"/>
      <c r="Q997" s="396"/>
    </row>
    <row r="998" ht="15.75" customHeight="1">
      <c r="E998" s="340"/>
      <c r="F998" s="340"/>
      <c r="G998" s="339"/>
      <c r="H998" s="339"/>
      <c r="L998" s="340"/>
      <c r="M998" s="340"/>
      <c r="N998" s="340"/>
      <c r="P998" s="396"/>
      <c r="Q998" s="396"/>
    </row>
    <row r="999" ht="15.75" customHeight="1">
      <c r="E999" s="340"/>
      <c r="F999" s="340"/>
      <c r="G999" s="339"/>
      <c r="H999" s="339"/>
      <c r="L999" s="340"/>
      <c r="M999" s="340"/>
      <c r="N999" s="340"/>
      <c r="P999" s="396"/>
      <c r="Q999" s="396"/>
    </row>
    <row r="1000" ht="15.75" customHeight="1">
      <c r="E1000" s="340"/>
      <c r="F1000" s="340"/>
      <c r="G1000" s="339"/>
      <c r="H1000" s="339"/>
      <c r="L1000" s="340"/>
      <c r="M1000" s="340"/>
      <c r="N1000" s="340"/>
      <c r="P1000" s="396"/>
      <c r="Q1000" s="396"/>
    </row>
  </sheetData>
  <autoFilter ref="$A$2:$Z$152"/>
  <mergeCells count="1">
    <mergeCell ref="D1:N1"/>
  </mergeCells>
  <conditionalFormatting sqref="F2:F1000">
    <cfRule type="cellIs" dxfId="1" priority="1" operator="equal">
      <formula>0</formula>
    </cfRule>
  </conditionalFormatting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34"/>
    <hyperlink r:id="rId23" ref="N39"/>
    <hyperlink r:id="rId24" ref="N44"/>
    <hyperlink r:id="rId25" ref="N45"/>
    <hyperlink r:id="rId26" ref="N46"/>
    <hyperlink r:id="rId27" ref="N47"/>
    <hyperlink r:id="rId28" ref="N48"/>
    <hyperlink r:id="rId29" ref="N49"/>
    <hyperlink r:id="rId30" ref="N50"/>
    <hyperlink r:id="rId31" ref="N55"/>
    <hyperlink r:id="rId32" ref="N56"/>
    <hyperlink r:id="rId33" ref="N57"/>
    <hyperlink r:id="rId34" ref="N58"/>
    <hyperlink r:id="rId35" ref="N59"/>
    <hyperlink r:id="rId36" ref="N60"/>
    <hyperlink r:id="rId37" ref="N61"/>
    <hyperlink r:id="rId38" ref="N62"/>
    <hyperlink r:id="rId39" ref="N63"/>
    <hyperlink r:id="rId40" ref="N64"/>
    <hyperlink r:id="rId41" ref="N80"/>
    <hyperlink r:id="rId42" ref="N81"/>
    <hyperlink r:id="rId43" ref="N82"/>
    <hyperlink r:id="rId44" ref="N83"/>
    <hyperlink r:id="rId45" ref="N84"/>
    <hyperlink r:id="rId46" ref="N85"/>
    <hyperlink r:id="rId47" ref="N86"/>
    <hyperlink r:id="rId48" ref="N87"/>
    <hyperlink r:id="rId49" ref="N88"/>
    <hyperlink r:id="rId50" ref="N89"/>
    <hyperlink r:id="rId51" ref="N90"/>
    <hyperlink r:id="rId52" ref="N91"/>
    <hyperlink r:id="rId53" ref="N92"/>
    <hyperlink r:id="rId54" ref="N93"/>
    <hyperlink r:id="rId55" ref="N94"/>
    <hyperlink r:id="rId56" ref="N95"/>
    <hyperlink r:id="rId57" ref="N96"/>
    <hyperlink r:id="rId58" ref="N98"/>
    <hyperlink r:id="rId59" ref="N111"/>
  </hyperlinks>
  <printOptions/>
  <pageMargins bottom="0.75" footer="0.0" header="0.0" left="0.7" right="0.7" top="0.75"/>
  <pageSetup orientation="landscape"/>
  <drawing r:id="rId6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2.13"/>
    <col customWidth="1" min="3" max="3" width="29.63"/>
    <col customWidth="1" min="4" max="4" width="16.0"/>
    <col customWidth="1" min="5" max="5" width="13.63"/>
    <col customWidth="1" min="6" max="6" width="9.0"/>
    <col customWidth="1" min="7" max="7" width="11.13"/>
    <col customWidth="1" min="8" max="8" width="12.5"/>
    <col customWidth="1" min="9" max="26" width="9.0"/>
  </cols>
  <sheetData>
    <row r="1">
      <c r="A1" s="340"/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</row>
    <row r="2">
      <c r="A2" s="340"/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0"/>
      <c r="W2" s="340"/>
      <c r="X2" s="340"/>
      <c r="Y2" s="340"/>
      <c r="Z2" s="340"/>
    </row>
    <row r="3">
      <c r="A3" s="340" t="s">
        <v>806</v>
      </c>
      <c r="B3" s="340">
        <v>2.0</v>
      </c>
      <c r="C3" s="422">
        <f>'90186_2024'!G170</f>
        <v>535295</v>
      </c>
      <c r="D3" s="340"/>
      <c r="E3" s="340" t="s">
        <v>807</v>
      </c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</row>
    <row r="4">
      <c r="A4" s="340" t="s">
        <v>808</v>
      </c>
      <c r="B4" s="340" t="s">
        <v>809</v>
      </c>
      <c r="C4" s="340"/>
      <c r="D4" s="340"/>
      <c r="E4" s="340"/>
      <c r="F4" s="340">
        <v>20.0</v>
      </c>
      <c r="G4" s="340" t="s">
        <v>810</v>
      </c>
      <c r="H4" s="340" t="s">
        <v>811</v>
      </c>
      <c r="I4" s="340" t="s">
        <v>812</v>
      </c>
      <c r="J4" s="340" t="s">
        <v>813</v>
      </c>
      <c r="K4" s="340" t="s">
        <v>814</v>
      </c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0"/>
      <c r="Z4" s="340"/>
    </row>
    <row r="5">
      <c r="A5" s="340" t="s">
        <v>815</v>
      </c>
      <c r="B5" s="340">
        <v>10.0</v>
      </c>
      <c r="C5" s="340">
        <v>81500.0</v>
      </c>
      <c r="D5" s="340"/>
      <c r="E5" s="340" t="s">
        <v>816</v>
      </c>
      <c r="F5" s="340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</row>
    <row r="6">
      <c r="A6" s="340" t="s">
        <v>817</v>
      </c>
      <c r="B6" s="340"/>
      <c r="C6" s="428">
        <v>125197.29</v>
      </c>
      <c r="D6" s="429">
        <v>90186.0</v>
      </c>
      <c r="E6" s="340" t="s">
        <v>818</v>
      </c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40"/>
      <c r="W6" s="340"/>
      <c r="X6" s="340"/>
      <c r="Y6" s="340"/>
      <c r="Z6" s="340"/>
    </row>
    <row r="7">
      <c r="A7" s="340"/>
      <c r="B7" s="340"/>
      <c r="C7" s="430">
        <v>132825.0</v>
      </c>
      <c r="D7" s="432">
        <v>90121.0</v>
      </c>
      <c r="E7" s="340" t="s">
        <v>818</v>
      </c>
      <c r="F7" s="340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40"/>
      <c r="W7" s="340"/>
      <c r="X7" s="340"/>
      <c r="Y7" s="340"/>
      <c r="Z7" s="340"/>
    </row>
    <row r="8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40"/>
      <c r="L8" s="340"/>
      <c r="M8" s="340"/>
      <c r="N8" s="340"/>
      <c r="O8" s="340"/>
      <c r="P8" s="340"/>
      <c r="Q8" s="340"/>
      <c r="R8" s="340"/>
      <c r="S8" s="340"/>
      <c r="T8" s="340"/>
      <c r="U8" s="340"/>
      <c r="V8" s="340"/>
      <c r="W8" s="340"/>
      <c r="X8" s="340"/>
      <c r="Y8" s="340"/>
      <c r="Z8" s="340"/>
    </row>
    <row r="9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</row>
    <row r="10">
      <c r="A10" s="340"/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</row>
    <row r="11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0"/>
      <c r="V11" s="340"/>
      <c r="W11" s="340"/>
      <c r="X11" s="340"/>
      <c r="Y11" s="340"/>
      <c r="Z11" s="340"/>
    </row>
    <row r="12">
      <c r="A12" s="340"/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0"/>
      <c r="Z12" s="340"/>
    </row>
    <row r="13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</row>
    <row r="14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340"/>
      <c r="O14" s="340"/>
      <c r="P14" s="340"/>
      <c r="Q14" s="340"/>
      <c r="R14" s="340"/>
      <c r="S14" s="340"/>
      <c r="T14" s="340"/>
      <c r="U14" s="340"/>
      <c r="V14" s="340"/>
      <c r="W14" s="340"/>
      <c r="X14" s="340"/>
      <c r="Y14" s="340"/>
      <c r="Z14" s="340"/>
    </row>
    <row r="15">
      <c r="A15" s="436" t="s">
        <v>819</v>
      </c>
      <c r="B15" s="436" t="s">
        <v>820</v>
      </c>
      <c r="C15" s="436" t="s">
        <v>821</v>
      </c>
      <c r="D15" s="437" t="s">
        <v>822</v>
      </c>
      <c r="E15" s="437" t="s">
        <v>823</v>
      </c>
      <c r="F15" s="437"/>
      <c r="G15" s="437" t="s">
        <v>824</v>
      </c>
      <c r="H15" s="437" t="s">
        <v>825</v>
      </c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</row>
    <row r="16">
      <c r="A16" s="438" t="s">
        <v>826</v>
      </c>
      <c r="B16" s="438" t="s">
        <v>827</v>
      </c>
      <c r="C16" s="438" t="s">
        <v>828</v>
      </c>
      <c r="D16" s="439" t="s">
        <v>829</v>
      </c>
      <c r="E16" s="340" t="s">
        <v>39</v>
      </c>
      <c r="F16" s="340"/>
      <c r="G16" s="440">
        <f>'90186_2024'!F170</f>
        <v>2</v>
      </c>
      <c r="H16" s="441">
        <f>'90186_2024'!G170</f>
        <v>535295</v>
      </c>
      <c r="I16" s="340"/>
      <c r="J16" s="340"/>
      <c r="K16" s="340"/>
      <c r="L16" s="340"/>
      <c r="M16" s="340"/>
      <c r="N16" s="340"/>
      <c r="O16" s="340"/>
      <c r="P16" s="340"/>
      <c r="Q16" s="340"/>
      <c r="R16" s="340"/>
      <c r="S16" s="340"/>
      <c r="T16" s="340"/>
      <c r="U16" s="340"/>
      <c r="V16" s="340"/>
      <c r="W16" s="340"/>
      <c r="X16" s="340"/>
      <c r="Y16" s="340"/>
      <c r="Z16" s="340"/>
    </row>
    <row r="17">
      <c r="A17" s="438" t="s">
        <v>830</v>
      </c>
      <c r="B17" s="438" t="s">
        <v>831</v>
      </c>
      <c r="C17" s="438" t="s">
        <v>832</v>
      </c>
      <c r="D17" s="439" t="s">
        <v>833</v>
      </c>
      <c r="E17" s="340"/>
      <c r="F17" s="340"/>
      <c r="G17" s="340"/>
      <c r="H17" s="441"/>
      <c r="I17" s="340"/>
      <c r="J17" s="340"/>
      <c r="K17" s="340"/>
      <c r="L17" s="340"/>
      <c r="M17" s="340"/>
      <c r="N17" s="340"/>
      <c r="O17" s="340"/>
      <c r="P17" s="340"/>
      <c r="Q17" s="340"/>
      <c r="R17" s="340"/>
      <c r="S17" s="340"/>
      <c r="T17" s="340"/>
      <c r="U17" s="340"/>
      <c r="V17" s="340"/>
      <c r="W17" s="340"/>
      <c r="X17" s="340"/>
      <c r="Y17" s="340"/>
      <c r="Z17" s="340"/>
    </row>
    <row r="18">
      <c r="A18" s="438" t="s">
        <v>834</v>
      </c>
      <c r="B18" s="438" t="s">
        <v>835</v>
      </c>
      <c r="C18" s="438" t="s">
        <v>836</v>
      </c>
      <c r="D18" s="439" t="s">
        <v>837</v>
      </c>
      <c r="E18" s="340"/>
      <c r="F18" s="340"/>
      <c r="G18" s="340"/>
      <c r="H18" s="441"/>
      <c r="I18" s="340"/>
      <c r="J18" s="340"/>
      <c r="K18" s="340"/>
      <c r="L18" s="340"/>
      <c r="M18" s="340"/>
      <c r="N18" s="340"/>
      <c r="O18" s="340"/>
      <c r="P18" s="340"/>
      <c r="Q18" s="340"/>
      <c r="R18" s="340"/>
      <c r="S18" s="340"/>
      <c r="T18" s="340"/>
      <c r="U18" s="340"/>
      <c r="V18" s="340"/>
      <c r="W18" s="340"/>
      <c r="X18" s="340"/>
      <c r="Y18" s="340"/>
      <c r="Z18" s="340"/>
    </row>
    <row r="19">
      <c r="A19" s="438" t="s">
        <v>838</v>
      </c>
      <c r="B19" s="438" t="s">
        <v>839</v>
      </c>
      <c r="C19" s="438" t="s">
        <v>840</v>
      </c>
      <c r="D19" s="439" t="s">
        <v>837</v>
      </c>
      <c r="E19" s="340"/>
      <c r="F19" s="340"/>
      <c r="G19" s="340"/>
      <c r="H19" s="441"/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</row>
    <row r="20">
      <c r="A20" s="438" t="s">
        <v>841</v>
      </c>
      <c r="B20" s="438" t="s">
        <v>842</v>
      </c>
      <c r="C20" s="438" t="s">
        <v>843</v>
      </c>
      <c r="D20" s="439" t="s">
        <v>844</v>
      </c>
      <c r="E20" s="340"/>
      <c r="F20" s="340"/>
      <c r="G20" s="340"/>
      <c r="H20" s="441"/>
      <c r="I20" s="340"/>
      <c r="J20" s="340"/>
      <c r="K20" s="340"/>
      <c r="L20" s="340"/>
      <c r="M20" s="340"/>
      <c r="N20" s="340"/>
      <c r="O20" s="340"/>
      <c r="P20" s="340"/>
      <c r="Q20" s="340"/>
      <c r="R20" s="340"/>
      <c r="S20" s="340"/>
      <c r="T20" s="340"/>
      <c r="U20" s="340"/>
      <c r="V20" s="340"/>
      <c r="W20" s="340"/>
      <c r="X20" s="340"/>
      <c r="Y20" s="340"/>
      <c r="Z20" s="340"/>
    </row>
    <row r="21" ht="15.75" customHeight="1">
      <c r="A21" s="438" t="s">
        <v>845</v>
      </c>
      <c r="B21" s="438" t="s">
        <v>846</v>
      </c>
      <c r="C21" s="438" t="s">
        <v>847</v>
      </c>
      <c r="D21" s="439" t="s">
        <v>837</v>
      </c>
      <c r="E21" s="340"/>
      <c r="F21" s="340"/>
      <c r="G21" s="340"/>
      <c r="H21" s="441"/>
      <c r="I21" s="340"/>
      <c r="J21" s="340"/>
      <c r="K21" s="340"/>
      <c r="L21" s="340"/>
      <c r="M21" s="340"/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</row>
    <row r="22" ht="15.75" customHeight="1">
      <c r="A22" s="438" t="s">
        <v>848</v>
      </c>
      <c r="B22" s="438" t="s">
        <v>849</v>
      </c>
      <c r="C22" s="438" t="s">
        <v>850</v>
      </c>
      <c r="D22" s="439" t="s">
        <v>837</v>
      </c>
      <c r="E22" s="340"/>
      <c r="F22" s="340"/>
      <c r="G22" s="340"/>
      <c r="H22" s="441"/>
      <c r="I22" s="340"/>
      <c r="J22" s="340"/>
      <c r="K22" s="340"/>
      <c r="L22" s="340"/>
      <c r="M22" s="340"/>
      <c r="N22" s="340"/>
      <c r="O22" s="340"/>
      <c r="P22" s="340"/>
      <c r="Q22" s="340"/>
      <c r="R22" s="340"/>
      <c r="S22" s="340"/>
      <c r="T22" s="340"/>
      <c r="U22" s="340"/>
      <c r="V22" s="340"/>
      <c r="W22" s="340"/>
      <c r="X22" s="340"/>
      <c r="Y22" s="340"/>
      <c r="Z22" s="340"/>
    </row>
    <row r="23" ht="15.75" customHeight="1">
      <c r="A23" s="438" t="s">
        <v>851</v>
      </c>
      <c r="B23" s="438" t="s">
        <v>852</v>
      </c>
      <c r="C23" s="438" t="s">
        <v>853</v>
      </c>
      <c r="D23" s="439" t="s">
        <v>844</v>
      </c>
      <c r="E23" s="340"/>
      <c r="F23" s="340"/>
      <c r="G23" s="340"/>
      <c r="H23" s="441"/>
      <c r="I23" s="340"/>
      <c r="J23" s="340"/>
      <c r="K23" s="340"/>
      <c r="L23" s="340"/>
      <c r="M23" s="340"/>
      <c r="N23" s="340"/>
      <c r="O23" s="340"/>
      <c r="P23" s="340"/>
      <c r="Q23" s="340"/>
      <c r="R23" s="340"/>
      <c r="S23" s="340"/>
      <c r="T23" s="340"/>
      <c r="U23" s="340"/>
      <c r="V23" s="340"/>
      <c r="W23" s="340"/>
      <c r="X23" s="340"/>
      <c r="Y23" s="340"/>
      <c r="Z23" s="340"/>
    </row>
    <row r="24" ht="15.75" customHeight="1">
      <c r="A24" s="438" t="s">
        <v>854</v>
      </c>
      <c r="B24" s="438" t="s">
        <v>855</v>
      </c>
      <c r="C24" s="438" t="s">
        <v>856</v>
      </c>
      <c r="D24" s="439" t="s">
        <v>837</v>
      </c>
      <c r="E24" s="340"/>
      <c r="F24" s="340"/>
      <c r="G24" s="340"/>
      <c r="H24" s="441"/>
      <c r="I24" s="340"/>
      <c r="J24" s="340"/>
      <c r="K24" s="340"/>
      <c r="L24" s="340"/>
      <c r="M24" s="340"/>
      <c r="N24" s="340"/>
      <c r="O24" s="340"/>
      <c r="P24" s="340"/>
      <c r="Q24" s="340"/>
      <c r="R24" s="340"/>
      <c r="S24" s="340"/>
      <c r="T24" s="340"/>
      <c r="U24" s="340"/>
      <c r="V24" s="340"/>
      <c r="W24" s="340"/>
      <c r="X24" s="340"/>
      <c r="Y24" s="340"/>
      <c r="Z24" s="340"/>
    </row>
    <row r="25" ht="15.75" customHeight="1">
      <c r="A25" s="438" t="s">
        <v>857</v>
      </c>
      <c r="B25" s="438" t="s">
        <v>858</v>
      </c>
      <c r="C25" s="438" t="s">
        <v>859</v>
      </c>
      <c r="D25" s="439" t="s">
        <v>837</v>
      </c>
      <c r="E25" s="340"/>
      <c r="F25" s="340"/>
      <c r="G25" s="340"/>
      <c r="H25" s="441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</row>
    <row r="26" ht="15.75" customHeight="1">
      <c r="A26" s="438" t="s">
        <v>860</v>
      </c>
      <c r="B26" s="438" t="s">
        <v>861</v>
      </c>
      <c r="C26" s="438" t="s">
        <v>862</v>
      </c>
      <c r="D26" s="439" t="s">
        <v>844</v>
      </c>
      <c r="E26" s="340"/>
      <c r="F26" s="340"/>
      <c r="G26" s="340"/>
      <c r="H26" s="441"/>
      <c r="I26" s="340"/>
      <c r="J26" s="340"/>
      <c r="K26" s="340"/>
      <c r="L26" s="340"/>
      <c r="M26" s="340"/>
      <c r="N26" s="340"/>
      <c r="O26" s="340"/>
      <c r="P26" s="340"/>
      <c r="Q26" s="340"/>
      <c r="R26" s="340"/>
      <c r="S26" s="340"/>
      <c r="T26" s="340"/>
      <c r="U26" s="340"/>
      <c r="V26" s="340"/>
      <c r="W26" s="340"/>
      <c r="X26" s="340"/>
      <c r="Y26" s="340"/>
      <c r="Z26" s="340"/>
    </row>
    <row r="27" ht="15.75" customHeight="1">
      <c r="A27" s="438" t="s">
        <v>863</v>
      </c>
      <c r="B27" s="438" t="s">
        <v>864</v>
      </c>
      <c r="C27" s="438" t="s">
        <v>865</v>
      </c>
      <c r="D27" s="439" t="s">
        <v>837</v>
      </c>
      <c r="E27" s="340"/>
      <c r="F27" s="340"/>
      <c r="G27" s="340"/>
      <c r="H27" s="441"/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340"/>
      <c r="T27" s="340"/>
      <c r="U27" s="340"/>
      <c r="V27" s="340"/>
      <c r="W27" s="340"/>
      <c r="X27" s="340"/>
      <c r="Y27" s="340"/>
      <c r="Z27" s="340"/>
    </row>
    <row r="28" ht="15.75" customHeight="1">
      <c r="A28" s="442" t="s">
        <v>866</v>
      </c>
      <c r="B28" s="442" t="s">
        <v>867</v>
      </c>
      <c r="C28" s="442" t="s">
        <v>868</v>
      </c>
      <c r="D28" s="443" t="s">
        <v>869</v>
      </c>
      <c r="E28" s="340"/>
      <c r="F28" s="340"/>
      <c r="G28" s="340"/>
      <c r="H28" s="441"/>
      <c r="I28" s="340"/>
      <c r="J28" s="340"/>
      <c r="K28" s="340"/>
      <c r="L28" s="340"/>
      <c r="M28" s="340"/>
      <c r="N28" s="340"/>
      <c r="O28" s="340"/>
      <c r="P28" s="340"/>
      <c r="Q28" s="340"/>
      <c r="R28" s="340"/>
      <c r="S28" s="340"/>
      <c r="T28" s="340"/>
      <c r="U28" s="340"/>
      <c r="V28" s="340"/>
      <c r="W28" s="340"/>
      <c r="X28" s="340"/>
      <c r="Y28" s="340"/>
      <c r="Z28" s="340"/>
    </row>
    <row r="29" ht="15.75" customHeight="1">
      <c r="A29" s="444"/>
      <c r="B29" s="444"/>
      <c r="C29" s="445" t="s">
        <v>31</v>
      </c>
      <c r="D29" s="446"/>
      <c r="E29" s="340"/>
      <c r="F29" s="340"/>
      <c r="G29" s="340"/>
      <c r="H29" s="441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40"/>
      <c r="V29" s="340"/>
      <c r="W29" s="340"/>
      <c r="X29" s="340"/>
      <c r="Y29" s="340"/>
      <c r="Z29" s="340"/>
    </row>
    <row r="30" ht="15.75" customHeight="1">
      <c r="A30" s="438" t="s">
        <v>870</v>
      </c>
      <c r="B30" s="438" t="s">
        <v>871</v>
      </c>
      <c r="C30" s="438" t="s">
        <v>872</v>
      </c>
      <c r="D30" s="439" t="s">
        <v>844</v>
      </c>
      <c r="E30" s="340"/>
      <c r="F30" s="340"/>
      <c r="G30" s="340"/>
      <c r="H30" s="441"/>
      <c r="I30" s="340"/>
      <c r="J30" s="340"/>
      <c r="K30" s="340"/>
      <c r="L30" s="340"/>
      <c r="M30" s="340"/>
      <c r="N30" s="340"/>
      <c r="O30" s="340"/>
      <c r="P30" s="340"/>
      <c r="Q30" s="340"/>
      <c r="R30" s="340"/>
      <c r="S30" s="340"/>
      <c r="T30" s="340"/>
      <c r="U30" s="340"/>
      <c r="V30" s="340"/>
      <c r="W30" s="340"/>
      <c r="X30" s="340"/>
      <c r="Y30" s="340"/>
      <c r="Z30" s="340"/>
    </row>
    <row r="31" ht="15.75" customHeight="1">
      <c r="A31" s="438" t="s">
        <v>873</v>
      </c>
      <c r="B31" s="438" t="s">
        <v>874</v>
      </c>
      <c r="C31" s="438" t="s">
        <v>875</v>
      </c>
      <c r="D31" s="439" t="s">
        <v>837</v>
      </c>
      <c r="E31" s="340"/>
      <c r="F31" s="340"/>
      <c r="G31" s="340"/>
      <c r="H31" s="441"/>
      <c r="I31" s="340"/>
      <c r="J31" s="340"/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340"/>
      <c r="W31" s="340"/>
      <c r="X31" s="340"/>
      <c r="Y31" s="340"/>
      <c r="Z31" s="340"/>
    </row>
    <row r="32" ht="15.75" customHeight="1">
      <c r="A32" s="438" t="s">
        <v>876</v>
      </c>
      <c r="B32" s="438" t="s">
        <v>877</v>
      </c>
      <c r="C32" s="438" t="s">
        <v>878</v>
      </c>
      <c r="D32" s="439" t="s">
        <v>844</v>
      </c>
      <c r="E32" s="340"/>
      <c r="F32" s="340"/>
      <c r="G32" s="340"/>
      <c r="H32" s="441"/>
      <c r="I32" s="340"/>
      <c r="J32" s="340"/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340"/>
      <c r="W32" s="340"/>
      <c r="X32" s="340"/>
      <c r="Y32" s="340"/>
      <c r="Z32" s="340"/>
    </row>
    <row r="33" ht="15.75" customHeight="1">
      <c r="A33" s="438" t="s">
        <v>879</v>
      </c>
      <c r="B33" s="438" t="s">
        <v>880</v>
      </c>
      <c r="C33" s="438" t="s">
        <v>881</v>
      </c>
      <c r="D33" s="439" t="s">
        <v>837</v>
      </c>
      <c r="E33" s="340"/>
      <c r="F33" s="340"/>
      <c r="G33" s="340"/>
      <c r="H33" s="441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340"/>
      <c r="W33" s="340"/>
      <c r="X33" s="340"/>
      <c r="Y33" s="340"/>
      <c r="Z33" s="340"/>
    </row>
    <row r="34" ht="15.75" customHeight="1">
      <c r="A34" s="438" t="s">
        <v>882</v>
      </c>
      <c r="B34" s="438" t="s">
        <v>883</v>
      </c>
      <c r="C34" s="438" t="s">
        <v>884</v>
      </c>
      <c r="D34" s="439" t="s">
        <v>844</v>
      </c>
      <c r="E34" s="340"/>
      <c r="F34" s="340"/>
      <c r="G34" s="340"/>
      <c r="H34" s="441"/>
      <c r="I34" s="340"/>
      <c r="J34" s="340"/>
      <c r="K34" s="340"/>
      <c r="L34" s="340"/>
      <c r="M34" s="340"/>
      <c r="N34" s="340"/>
      <c r="O34" s="340"/>
      <c r="P34" s="340"/>
      <c r="Q34" s="340"/>
      <c r="R34" s="340"/>
      <c r="S34" s="340"/>
      <c r="T34" s="340"/>
      <c r="U34" s="340"/>
      <c r="V34" s="340"/>
      <c r="W34" s="340"/>
      <c r="X34" s="340"/>
      <c r="Y34" s="340"/>
      <c r="Z34" s="340"/>
    </row>
    <row r="35" ht="15.75" customHeight="1">
      <c r="A35" s="445" t="s">
        <v>885</v>
      </c>
      <c r="B35" s="447" t="s">
        <v>886</v>
      </c>
      <c r="C35" s="445" t="s">
        <v>887</v>
      </c>
      <c r="D35" s="448" t="s">
        <v>844</v>
      </c>
      <c r="E35" s="340"/>
      <c r="F35" s="340"/>
      <c r="G35" s="340"/>
      <c r="H35" s="441"/>
      <c r="I35" s="340"/>
      <c r="J35" s="340"/>
      <c r="K35" s="340"/>
      <c r="L35" s="340"/>
      <c r="M35" s="340"/>
      <c r="N35" s="340"/>
      <c r="O35" s="340"/>
      <c r="P35" s="340"/>
      <c r="Q35" s="340"/>
      <c r="R35" s="340"/>
      <c r="S35" s="340"/>
      <c r="T35" s="340"/>
      <c r="U35" s="340"/>
      <c r="V35" s="340"/>
      <c r="W35" s="340"/>
      <c r="X35" s="340"/>
      <c r="Y35" s="340"/>
      <c r="Z35" s="340"/>
    </row>
    <row r="36" ht="15.75" customHeight="1">
      <c r="A36" s="445" t="s">
        <v>888</v>
      </c>
      <c r="B36" s="447" t="s">
        <v>889</v>
      </c>
      <c r="C36" s="445" t="s">
        <v>890</v>
      </c>
      <c r="D36" s="448" t="s">
        <v>844</v>
      </c>
      <c r="E36" s="340"/>
      <c r="F36" s="340"/>
      <c r="G36" s="340"/>
      <c r="H36" s="441"/>
      <c r="I36" s="340"/>
      <c r="J36" s="340"/>
      <c r="K36" s="340"/>
      <c r="L36" s="340"/>
      <c r="M36" s="340"/>
      <c r="N36" s="340"/>
      <c r="O36" s="340"/>
      <c r="P36" s="340"/>
      <c r="Q36" s="340"/>
      <c r="R36" s="340"/>
      <c r="S36" s="340"/>
      <c r="T36" s="340"/>
      <c r="U36" s="340"/>
      <c r="V36" s="340"/>
      <c r="W36" s="340"/>
      <c r="X36" s="340"/>
      <c r="Y36" s="340"/>
      <c r="Z36" s="340"/>
    </row>
    <row r="37" ht="15.75" customHeight="1">
      <c r="A37" s="340"/>
      <c r="B37" s="340"/>
      <c r="C37" s="340"/>
      <c r="D37" s="340"/>
      <c r="E37" s="340"/>
      <c r="F37" s="340"/>
      <c r="G37" s="340"/>
      <c r="H37" s="441"/>
      <c r="I37" s="340"/>
      <c r="J37" s="340"/>
      <c r="K37" s="340"/>
      <c r="L37" s="340"/>
      <c r="M37" s="340"/>
      <c r="N37" s="340"/>
      <c r="O37" s="340"/>
      <c r="P37" s="340"/>
      <c r="Q37" s="340"/>
      <c r="R37" s="340"/>
      <c r="S37" s="340"/>
      <c r="T37" s="340"/>
      <c r="U37" s="340"/>
      <c r="V37" s="340"/>
      <c r="W37" s="340"/>
      <c r="X37" s="340"/>
      <c r="Y37" s="340"/>
      <c r="Z37" s="340"/>
    </row>
    <row r="38" ht="15.75" customHeight="1">
      <c r="A38" s="438" t="s">
        <v>891</v>
      </c>
      <c r="B38" s="438" t="s">
        <v>892</v>
      </c>
      <c r="C38" s="438" t="s">
        <v>893</v>
      </c>
      <c r="D38" s="439" t="s">
        <v>837</v>
      </c>
      <c r="E38" s="340"/>
      <c r="F38" s="340"/>
      <c r="G38" s="340"/>
      <c r="H38" s="441"/>
      <c r="I38" s="340"/>
      <c r="J38" s="340"/>
      <c r="K38" s="340"/>
      <c r="L38" s="340"/>
      <c r="M38" s="340"/>
      <c r="N38" s="340"/>
      <c r="O38" s="340"/>
      <c r="P38" s="340"/>
      <c r="Q38" s="340"/>
      <c r="R38" s="340"/>
      <c r="S38" s="340"/>
      <c r="T38" s="340"/>
      <c r="U38" s="340"/>
      <c r="V38" s="340"/>
      <c r="W38" s="340"/>
      <c r="X38" s="340"/>
      <c r="Y38" s="340"/>
      <c r="Z38" s="340"/>
    </row>
    <row r="39" ht="15.75" customHeight="1">
      <c r="A39" s="438" t="s">
        <v>894</v>
      </c>
      <c r="B39" s="438" t="s">
        <v>895</v>
      </c>
      <c r="C39" s="438" t="s">
        <v>896</v>
      </c>
      <c r="D39" s="439" t="s">
        <v>837</v>
      </c>
      <c r="E39" s="340"/>
      <c r="F39" s="340"/>
      <c r="G39" s="340"/>
      <c r="H39" s="441"/>
      <c r="I39" s="340"/>
      <c r="J39" s="340"/>
      <c r="K39" s="340"/>
      <c r="L39" s="340"/>
      <c r="M39" s="340"/>
      <c r="N39" s="340"/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0"/>
      <c r="Z39" s="340"/>
    </row>
    <row r="40" ht="15.75" customHeight="1">
      <c r="A40" s="438" t="s">
        <v>897</v>
      </c>
      <c r="B40" s="438" t="s">
        <v>898</v>
      </c>
      <c r="C40" s="438" t="s">
        <v>899</v>
      </c>
      <c r="D40" s="439" t="s">
        <v>837</v>
      </c>
      <c r="E40" s="340"/>
      <c r="F40" s="340"/>
      <c r="G40" s="340"/>
      <c r="H40" s="441"/>
      <c r="I40" s="340"/>
      <c r="J40" s="340"/>
      <c r="K40" s="340"/>
      <c r="L40" s="340"/>
      <c r="M40" s="340"/>
      <c r="N40" s="340"/>
      <c r="O40" s="340"/>
      <c r="P40" s="340"/>
      <c r="Q40" s="340"/>
      <c r="R40" s="340"/>
      <c r="S40" s="340"/>
      <c r="T40" s="340"/>
      <c r="U40" s="340"/>
      <c r="V40" s="340"/>
      <c r="W40" s="340"/>
      <c r="X40" s="340"/>
      <c r="Y40" s="340"/>
      <c r="Z40" s="340"/>
    </row>
    <row r="41" ht="15.75" customHeight="1">
      <c r="A41" s="438" t="s">
        <v>900</v>
      </c>
      <c r="B41" s="438" t="s">
        <v>901</v>
      </c>
      <c r="C41" s="438" t="s">
        <v>902</v>
      </c>
      <c r="D41" s="439" t="s">
        <v>837</v>
      </c>
      <c r="E41" s="340"/>
      <c r="F41" s="340"/>
      <c r="G41" s="340"/>
      <c r="H41" s="441"/>
      <c r="I41" s="340"/>
      <c r="J41" s="340"/>
      <c r="K41" s="340"/>
      <c r="L41" s="340"/>
      <c r="M41" s="340"/>
      <c r="N41" s="340"/>
      <c r="O41" s="340"/>
      <c r="P41" s="340"/>
      <c r="Q41" s="340"/>
      <c r="R41" s="340"/>
      <c r="S41" s="340"/>
      <c r="T41" s="340"/>
      <c r="U41" s="340"/>
      <c r="V41" s="340"/>
      <c r="W41" s="340"/>
      <c r="X41" s="340"/>
      <c r="Y41" s="340"/>
      <c r="Z41" s="340"/>
    </row>
    <row r="42" ht="15.75" customHeight="1">
      <c r="A42" s="438" t="s">
        <v>903</v>
      </c>
      <c r="B42" s="438" t="s">
        <v>904</v>
      </c>
      <c r="C42" s="438" t="s">
        <v>905</v>
      </c>
      <c r="D42" s="439" t="s">
        <v>837</v>
      </c>
      <c r="E42" s="340"/>
      <c r="F42" s="340"/>
      <c r="G42" s="340"/>
      <c r="H42" s="441"/>
      <c r="I42" s="340"/>
      <c r="J42" s="340"/>
      <c r="K42" s="340"/>
      <c r="L42" s="340"/>
      <c r="M42" s="340"/>
      <c r="N42" s="340"/>
      <c r="O42" s="340"/>
      <c r="P42" s="340"/>
      <c r="Q42" s="340"/>
      <c r="R42" s="340"/>
      <c r="S42" s="340"/>
      <c r="T42" s="340"/>
      <c r="U42" s="340"/>
      <c r="V42" s="340"/>
      <c r="W42" s="340"/>
      <c r="X42" s="340"/>
      <c r="Y42" s="340"/>
      <c r="Z42" s="340"/>
    </row>
    <row r="43" ht="15.75" customHeight="1">
      <c r="A43" s="438" t="s">
        <v>906</v>
      </c>
      <c r="B43" s="438" t="s">
        <v>907</v>
      </c>
      <c r="C43" s="438" t="s">
        <v>908</v>
      </c>
      <c r="D43" s="439" t="s">
        <v>837</v>
      </c>
      <c r="E43" s="340"/>
      <c r="F43" s="340"/>
      <c r="G43" s="340"/>
      <c r="H43" s="441"/>
      <c r="I43" s="340"/>
      <c r="J43" s="340"/>
      <c r="K43" s="340"/>
      <c r="L43" s="340"/>
      <c r="M43" s="340"/>
      <c r="N43" s="340"/>
      <c r="O43" s="340"/>
      <c r="P43" s="340"/>
      <c r="Q43" s="340"/>
      <c r="R43" s="340"/>
      <c r="S43" s="340"/>
      <c r="T43" s="340"/>
      <c r="U43" s="340"/>
      <c r="V43" s="340"/>
      <c r="W43" s="340"/>
      <c r="X43" s="340"/>
      <c r="Y43" s="340"/>
      <c r="Z43" s="340"/>
    </row>
    <row r="44" ht="15.75" customHeight="1">
      <c r="A44" s="438" t="s">
        <v>909</v>
      </c>
      <c r="B44" s="438" t="s">
        <v>910</v>
      </c>
      <c r="C44" s="438" t="s">
        <v>911</v>
      </c>
      <c r="D44" s="439" t="s">
        <v>837</v>
      </c>
      <c r="E44" s="340"/>
      <c r="F44" s="340"/>
      <c r="G44" s="340"/>
      <c r="H44" s="441"/>
      <c r="I44" s="340"/>
      <c r="J44" s="340"/>
      <c r="K44" s="340"/>
      <c r="L44" s="340"/>
      <c r="M44" s="340"/>
      <c r="N44" s="340"/>
      <c r="O44" s="340"/>
      <c r="P44" s="340"/>
      <c r="Q44" s="340"/>
      <c r="R44" s="340"/>
      <c r="S44" s="340"/>
      <c r="T44" s="340"/>
      <c r="U44" s="340"/>
      <c r="V44" s="340"/>
      <c r="W44" s="340"/>
      <c r="X44" s="340"/>
      <c r="Y44" s="340"/>
      <c r="Z44" s="340"/>
    </row>
    <row r="45" ht="15.75" customHeight="1">
      <c r="A45" s="438" t="s">
        <v>912</v>
      </c>
      <c r="B45" s="438" t="s">
        <v>913</v>
      </c>
      <c r="C45" s="438" t="s">
        <v>914</v>
      </c>
      <c r="D45" s="439" t="s">
        <v>837</v>
      </c>
      <c r="E45" s="340"/>
      <c r="F45" s="340"/>
      <c r="G45" s="340"/>
      <c r="H45" s="441"/>
      <c r="I45" s="340"/>
      <c r="J45" s="340"/>
      <c r="K45" s="340"/>
      <c r="L45" s="340"/>
      <c r="M45" s="340"/>
      <c r="N45" s="340"/>
      <c r="O45" s="340"/>
      <c r="P45" s="340"/>
      <c r="Q45" s="340"/>
      <c r="R45" s="340"/>
      <c r="S45" s="340"/>
      <c r="T45" s="340"/>
      <c r="U45" s="340"/>
      <c r="V45" s="340"/>
      <c r="W45" s="340"/>
      <c r="X45" s="340"/>
      <c r="Y45" s="340"/>
      <c r="Z45" s="340"/>
    </row>
    <row r="46" ht="15.75" customHeight="1">
      <c r="A46" s="438" t="s">
        <v>915</v>
      </c>
      <c r="B46" s="438" t="s">
        <v>916</v>
      </c>
      <c r="C46" s="438" t="s">
        <v>917</v>
      </c>
      <c r="D46" s="439" t="s">
        <v>837</v>
      </c>
      <c r="E46" s="340"/>
      <c r="F46" s="340"/>
      <c r="G46" s="340"/>
      <c r="H46" s="441"/>
      <c r="I46" s="340"/>
      <c r="J46" s="340"/>
      <c r="K46" s="340"/>
      <c r="L46" s="340"/>
      <c r="M46" s="340"/>
      <c r="N46" s="340"/>
      <c r="O46" s="340"/>
      <c r="P46" s="340"/>
      <c r="Q46" s="340"/>
      <c r="R46" s="340"/>
      <c r="S46" s="340"/>
      <c r="T46" s="340"/>
      <c r="U46" s="340"/>
      <c r="V46" s="340"/>
      <c r="W46" s="340"/>
      <c r="X46" s="340"/>
      <c r="Y46" s="340"/>
      <c r="Z46" s="340"/>
    </row>
    <row r="47" ht="15.75" customHeight="1">
      <c r="A47" s="340"/>
      <c r="B47" s="340"/>
      <c r="C47" s="340"/>
      <c r="D47" s="340"/>
      <c r="E47" s="340"/>
      <c r="F47" s="340"/>
      <c r="G47" s="340"/>
      <c r="H47" s="441"/>
      <c r="I47" s="340"/>
      <c r="J47" s="340"/>
      <c r="K47" s="340"/>
      <c r="L47" s="340"/>
      <c r="M47" s="340"/>
      <c r="N47" s="340"/>
      <c r="O47" s="340"/>
      <c r="P47" s="340"/>
      <c r="Q47" s="340"/>
      <c r="R47" s="340"/>
      <c r="S47" s="340"/>
      <c r="T47" s="340"/>
      <c r="U47" s="340"/>
      <c r="V47" s="340"/>
      <c r="W47" s="340"/>
      <c r="X47" s="340"/>
      <c r="Y47" s="340"/>
      <c r="Z47" s="340"/>
    </row>
    <row r="48" ht="15.75" customHeight="1">
      <c r="A48" s="438" t="s">
        <v>24</v>
      </c>
      <c r="B48" s="438" t="s">
        <v>918</v>
      </c>
      <c r="C48" s="438" t="s">
        <v>919</v>
      </c>
      <c r="D48" s="439" t="s">
        <v>837</v>
      </c>
      <c r="E48" s="340"/>
      <c r="F48" s="340"/>
      <c r="G48" s="340"/>
      <c r="H48" s="441"/>
      <c r="I48" s="340"/>
      <c r="J48" s="340"/>
      <c r="K48" s="340"/>
      <c r="L48" s="340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</row>
    <row r="49" ht="15.75" customHeight="1">
      <c r="A49" s="438" t="s">
        <v>55</v>
      </c>
      <c r="B49" s="438" t="s">
        <v>920</v>
      </c>
      <c r="C49" s="438" t="s">
        <v>921</v>
      </c>
      <c r="D49" s="439" t="s">
        <v>837</v>
      </c>
      <c r="E49" s="340"/>
      <c r="F49" s="340"/>
      <c r="G49" s="340"/>
      <c r="H49" s="441"/>
      <c r="I49" s="340"/>
      <c r="J49" s="340"/>
      <c r="K49" s="340"/>
      <c r="L49" s="340"/>
      <c r="M49" s="340"/>
      <c r="N49" s="340"/>
      <c r="O49" s="340"/>
      <c r="P49" s="340"/>
      <c r="Q49" s="340"/>
      <c r="R49" s="340"/>
      <c r="S49" s="340"/>
      <c r="T49" s="340"/>
      <c r="U49" s="340"/>
      <c r="V49" s="340"/>
      <c r="W49" s="340"/>
      <c r="X49" s="340"/>
      <c r="Y49" s="340"/>
      <c r="Z49" s="340"/>
    </row>
    <row r="50" ht="15.75" customHeight="1">
      <c r="A50" s="438" t="s">
        <v>922</v>
      </c>
      <c r="B50" s="438" t="s">
        <v>923</v>
      </c>
      <c r="C50" s="438" t="s">
        <v>924</v>
      </c>
      <c r="D50" s="439" t="s">
        <v>837</v>
      </c>
      <c r="E50" s="340"/>
      <c r="F50" s="340"/>
      <c r="G50" s="340"/>
      <c r="H50" s="441"/>
      <c r="I50" s="340"/>
      <c r="J50" s="340"/>
      <c r="K50" s="340"/>
      <c r="L50" s="340"/>
      <c r="M50" s="340"/>
      <c r="N50" s="340"/>
      <c r="O50" s="340"/>
      <c r="P50" s="340"/>
      <c r="Q50" s="340"/>
      <c r="R50" s="340"/>
      <c r="S50" s="340"/>
      <c r="T50" s="340"/>
      <c r="U50" s="340"/>
      <c r="V50" s="340"/>
      <c r="W50" s="340"/>
      <c r="X50" s="340"/>
      <c r="Y50" s="340"/>
      <c r="Z50" s="340"/>
    </row>
    <row r="51" ht="15.75" customHeight="1">
      <c r="A51" s="438" t="s">
        <v>925</v>
      </c>
      <c r="B51" s="438" t="s">
        <v>926</v>
      </c>
      <c r="C51" s="438" t="s">
        <v>927</v>
      </c>
      <c r="D51" s="439" t="s">
        <v>837</v>
      </c>
      <c r="E51" s="340"/>
      <c r="F51" s="340"/>
      <c r="G51" s="340"/>
      <c r="H51" s="441"/>
      <c r="I51" s="340"/>
      <c r="J51" s="340"/>
      <c r="K51" s="340"/>
      <c r="L51" s="340"/>
      <c r="M51" s="340"/>
      <c r="N51" s="340"/>
      <c r="O51" s="340"/>
      <c r="P51" s="340"/>
      <c r="Q51" s="340"/>
      <c r="R51" s="340"/>
      <c r="S51" s="340"/>
      <c r="T51" s="340"/>
      <c r="U51" s="340"/>
      <c r="V51" s="340"/>
      <c r="W51" s="340"/>
      <c r="X51" s="340"/>
      <c r="Y51" s="340"/>
      <c r="Z51" s="340"/>
    </row>
    <row r="52" ht="15.75" customHeight="1">
      <c r="A52" s="438" t="s">
        <v>928</v>
      </c>
      <c r="B52" s="438" t="s">
        <v>929</v>
      </c>
      <c r="C52" s="438" t="s">
        <v>930</v>
      </c>
      <c r="D52" s="439" t="s">
        <v>837</v>
      </c>
      <c r="E52" s="340"/>
      <c r="F52" s="340"/>
      <c r="G52" s="340"/>
      <c r="H52" s="441"/>
      <c r="I52" s="340"/>
      <c r="J52" s="340"/>
      <c r="K52" s="340"/>
      <c r="L52" s="340"/>
      <c r="M52" s="340"/>
      <c r="N52" s="340"/>
      <c r="O52" s="340"/>
      <c r="P52" s="340"/>
      <c r="Q52" s="340"/>
      <c r="R52" s="340"/>
      <c r="S52" s="340"/>
      <c r="T52" s="340"/>
      <c r="U52" s="340"/>
      <c r="V52" s="340"/>
      <c r="W52" s="340"/>
      <c r="X52" s="340"/>
      <c r="Y52" s="340"/>
      <c r="Z52" s="340"/>
    </row>
    <row r="53" ht="15.75" customHeight="1">
      <c r="A53" s="438" t="s">
        <v>931</v>
      </c>
      <c r="B53" s="438" t="s">
        <v>932</v>
      </c>
      <c r="C53" s="438" t="s">
        <v>933</v>
      </c>
      <c r="D53" s="439" t="s">
        <v>837</v>
      </c>
      <c r="E53" s="340"/>
      <c r="F53" s="340"/>
      <c r="G53" s="340"/>
      <c r="H53" s="441"/>
      <c r="I53" s="340"/>
      <c r="J53" s="340"/>
      <c r="K53" s="340"/>
      <c r="L53" s="340"/>
      <c r="M53" s="340"/>
      <c r="N53" s="340"/>
      <c r="O53" s="340"/>
      <c r="P53" s="340"/>
      <c r="Q53" s="340"/>
      <c r="R53" s="340"/>
      <c r="S53" s="340"/>
      <c r="T53" s="340"/>
      <c r="U53" s="340"/>
      <c r="V53" s="340"/>
      <c r="W53" s="340"/>
      <c r="X53" s="340"/>
      <c r="Y53" s="340"/>
      <c r="Z53" s="340"/>
    </row>
    <row r="54" ht="15.75" customHeight="1">
      <c r="A54" s="438" t="s">
        <v>934</v>
      </c>
      <c r="B54" s="438" t="s">
        <v>935</v>
      </c>
      <c r="C54" s="438" t="s">
        <v>936</v>
      </c>
      <c r="D54" s="439" t="s">
        <v>837</v>
      </c>
      <c r="E54" s="340"/>
      <c r="F54" s="340"/>
      <c r="G54" s="340"/>
      <c r="H54" s="441"/>
      <c r="I54" s="340"/>
      <c r="J54" s="340"/>
      <c r="K54" s="340"/>
      <c r="L54" s="340"/>
      <c r="M54" s="340"/>
      <c r="N54" s="340"/>
      <c r="O54" s="340"/>
      <c r="P54" s="340"/>
      <c r="Q54" s="340"/>
      <c r="R54" s="340"/>
      <c r="S54" s="340"/>
      <c r="T54" s="340"/>
      <c r="U54" s="340"/>
      <c r="V54" s="340"/>
      <c r="W54" s="340"/>
      <c r="X54" s="340"/>
      <c r="Y54" s="340"/>
      <c r="Z54" s="340"/>
    </row>
    <row r="55" ht="15.75" customHeight="1">
      <c r="A55" s="438" t="s">
        <v>937</v>
      </c>
      <c r="B55" s="438" t="s">
        <v>938</v>
      </c>
      <c r="C55" s="438" t="s">
        <v>939</v>
      </c>
      <c r="D55" s="439" t="s">
        <v>837</v>
      </c>
      <c r="E55" s="340"/>
      <c r="F55" s="340"/>
      <c r="G55" s="340"/>
      <c r="H55" s="441"/>
      <c r="I55" s="340"/>
      <c r="J55" s="340"/>
      <c r="K55" s="340"/>
      <c r="L55" s="340"/>
      <c r="M55" s="340"/>
      <c r="N55" s="340"/>
      <c r="O55" s="340"/>
      <c r="P55" s="340"/>
      <c r="Q55" s="340"/>
      <c r="R55" s="340"/>
      <c r="S55" s="340"/>
      <c r="T55" s="340"/>
      <c r="U55" s="340"/>
      <c r="V55" s="340"/>
      <c r="W55" s="340"/>
      <c r="X55" s="340"/>
      <c r="Y55" s="340"/>
      <c r="Z55" s="340"/>
    </row>
    <row r="56" ht="15.75" customHeight="1">
      <c r="A56" s="438" t="s">
        <v>940</v>
      </c>
      <c r="B56" s="438" t="s">
        <v>941</v>
      </c>
      <c r="C56" s="438" t="s">
        <v>942</v>
      </c>
      <c r="D56" s="439" t="s">
        <v>837</v>
      </c>
      <c r="E56" s="340"/>
      <c r="F56" s="340"/>
      <c r="G56" s="340"/>
      <c r="H56" s="441"/>
      <c r="I56" s="340"/>
      <c r="J56" s="340"/>
      <c r="K56" s="340"/>
      <c r="L56" s="340"/>
      <c r="M56" s="340"/>
      <c r="N56" s="340"/>
      <c r="O56" s="340"/>
      <c r="P56" s="340"/>
      <c r="Q56" s="340"/>
      <c r="R56" s="340"/>
      <c r="S56" s="340"/>
      <c r="T56" s="340"/>
      <c r="U56" s="340"/>
      <c r="V56" s="340"/>
      <c r="W56" s="340"/>
      <c r="X56" s="340"/>
      <c r="Y56" s="340"/>
      <c r="Z56" s="340"/>
    </row>
    <row r="57" ht="15.75" customHeight="1">
      <c r="A57" s="438" t="s">
        <v>943</v>
      </c>
      <c r="B57" s="438" t="s">
        <v>944</v>
      </c>
      <c r="C57" s="438" t="s">
        <v>945</v>
      </c>
      <c r="D57" s="439" t="s">
        <v>946</v>
      </c>
      <c r="E57" s="340"/>
      <c r="F57" s="340"/>
      <c r="G57" s="340"/>
      <c r="H57" s="441"/>
      <c r="I57" s="340"/>
      <c r="J57" s="340"/>
      <c r="K57" s="340"/>
      <c r="L57" s="340"/>
      <c r="M57" s="340"/>
      <c r="N57" s="340"/>
      <c r="O57" s="340"/>
      <c r="P57" s="340"/>
      <c r="Q57" s="340"/>
      <c r="R57" s="340"/>
      <c r="S57" s="340"/>
      <c r="T57" s="340"/>
      <c r="U57" s="340"/>
      <c r="V57" s="340"/>
      <c r="W57" s="340"/>
      <c r="X57" s="340"/>
      <c r="Y57" s="340"/>
      <c r="Z57" s="340"/>
    </row>
    <row r="58" ht="15.75" customHeight="1">
      <c r="A58" s="438" t="s">
        <v>947</v>
      </c>
      <c r="B58" s="438" t="s">
        <v>948</v>
      </c>
      <c r="C58" s="438" t="s">
        <v>949</v>
      </c>
      <c r="D58" s="439" t="s">
        <v>946</v>
      </c>
      <c r="E58" s="340"/>
      <c r="F58" s="340"/>
      <c r="G58" s="340"/>
      <c r="H58" s="441"/>
      <c r="I58" s="340"/>
      <c r="J58" s="340"/>
      <c r="K58" s="340"/>
      <c r="L58" s="340"/>
      <c r="M58" s="340"/>
      <c r="N58" s="340"/>
      <c r="O58" s="340"/>
      <c r="P58" s="340"/>
      <c r="Q58" s="340"/>
      <c r="R58" s="340"/>
      <c r="S58" s="340"/>
      <c r="T58" s="340"/>
      <c r="U58" s="340"/>
      <c r="V58" s="340"/>
      <c r="W58" s="340"/>
      <c r="X58" s="340"/>
      <c r="Y58" s="340"/>
      <c r="Z58" s="340"/>
    </row>
    <row r="59" ht="15.75" customHeight="1">
      <c r="A59" s="438" t="s">
        <v>950</v>
      </c>
      <c r="B59" s="438" t="s">
        <v>951</v>
      </c>
      <c r="C59" s="438" t="s">
        <v>952</v>
      </c>
      <c r="D59" s="439" t="s">
        <v>946</v>
      </c>
      <c r="E59" s="340"/>
      <c r="F59" s="340"/>
      <c r="G59" s="340"/>
      <c r="H59" s="441"/>
      <c r="I59" s="340"/>
      <c r="J59" s="340"/>
      <c r="K59" s="340"/>
      <c r="L59" s="340"/>
      <c r="M59" s="340"/>
      <c r="N59" s="340"/>
      <c r="O59" s="340"/>
      <c r="P59" s="340"/>
      <c r="Q59" s="340"/>
      <c r="R59" s="340"/>
      <c r="S59" s="340"/>
      <c r="T59" s="340"/>
      <c r="U59" s="340"/>
      <c r="V59" s="340"/>
      <c r="W59" s="340"/>
      <c r="X59" s="340"/>
      <c r="Y59" s="340"/>
      <c r="Z59" s="340"/>
    </row>
    <row r="60" ht="15.75" customHeight="1">
      <c r="A60" s="438" t="s">
        <v>953</v>
      </c>
      <c r="B60" s="438" t="s">
        <v>954</v>
      </c>
      <c r="C60" s="438" t="s">
        <v>955</v>
      </c>
      <c r="D60" s="439" t="s">
        <v>946</v>
      </c>
      <c r="E60" s="340"/>
      <c r="F60" s="340"/>
      <c r="G60" s="340"/>
      <c r="H60" s="441"/>
      <c r="I60" s="340"/>
      <c r="J60" s="340"/>
      <c r="K60" s="340"/>
      <c r="L60" s="340"/>
      <c r="M60" s="340"/>
      <c r="N60" s="340"/>
      <c r="O60" s="340"/>
      <c r="P60" s="340"/>
      <c r="Q60" s="340"/>
      <c r="R60" s="340"/>
      <c r="S60" s="340"/>
      <c r="T60" s="340"/>
      <c r="U60" s="340"/>
      <c r="V60" s="340"/>
      <c r="W60" s="340"/>
      <c r="X60" s="340"/>
      <c r="Y60" s="340"/>
      <c r="Z60" s="340"/>
    </row>
    <row r="61" ht="15.75" customHeight="1">
      <c r="A61" s="438" t="s">
        <v>956</v>
      </c>
      <c r="B61" s="438" t="s">
        <v>957</v>
      </c>
      <c r="C61" s="438" t="s">
        <v>958</v>
      </c>
      <c r="D61" s="439" t="s">
        <v>946</v>
      </c>
      <c r="E61" s="340"/>
      <c r="F61" s="340"/>
      <c r="G61" s="340"/>
      <c r="H61" s="441"/>
      <c r="I61" s="340"/>
      <c r="J61" s="340"/>
      <c r="K61" s="340"/>
      <c r="L61" s="340"/>
      <c r="M61" s="340"/>
      <c r="N61" s="340"/>
      <c r="O61" s="340"/>
      <c r="P61" s="340"/>
      <c r="Q61" s="340"/>
      <c r="R61" s="340"/>
      <c r="S61" s="340"/>
      <c r="T61" s="340"/>
      <c r="U61" s="340"/>
      <c r="V61" s="340"/>
      <c r="W61" s="340"/>
      <c r="X61" s="340"/>
      <c r="Y61" s="340"/>
      <c r="Z61" s="340"/>
    </row>
    <row r="62" ht="15.75" customHeight="1">
      <c r="A62" s="438" t="s">
        <v>959</v>
      </c>
      <c r="B62" s="438" t="s">
        <v>960</v>
      </c>
      <c r="C62" s="438" t="s">
        <v>961</v>
      </c>
      <c r="D62" s="439" t="s">
        <v>837</v>
      </c>
      <c r="E62" s="340"/>
      <c r="F62" s="340"/>
      <c r="G62" s="340"/>
      <c r="H62" s="441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/>
      <c r="Y62" s="340"/>
      <c r="Z62" s="340"/>
    </row>
    <row r="63" ht="15.75" customHeight="1">
      <c r="A63" s="438" t="s">
        <v>962</v>
      </c>
      <c r="B63" s="438" t="s">
        <v>963</v>
      </c>
      <c r="C63" s="438" t="s">
        <v>964</v>
      </c>
      <c r="D63" s="439" t="s">
        <v>837</v>
      </c>
      <c r="E63" s="340"/>
      <c r="F63" s="340"/>
      <c r="G63" s="340"/>
      <c r="H63" s="441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</row>
    <row r="64" ht="15.75" customHeight="1">
      <c r="A64" s="438" t="s">
        <v>965</v>
      </c>
      <c r="B64" s="438" t="s">
        <v>966</v>
      </c>
      <c r="C64" s="438" t="s">
        <v>967</v>
      </c>
      <c r="D64" s="439" t="s">
        <v>946</v>
      </c>
      <c r="E64" s="340"/>
      <c r="F64" s="340"/>
      <c r="G64" s="340"/>
      <c r="H64" s="441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</row>
    <row r="65" ht="15.75" customHeight="1">
      <c r="A65" s="438" t="s">
        <v>968</v>
      </c>
      <c r="B65" s="438" t="s">
        <v>969</v>
      </c>
      <c r="C65" s="438" t="s">
        <v>970</v>
      </c>
      <c r="D65" s="439" t="s">
        <v>844</v>
      </c>
      <c r="E65" s="340"/>
      <c r="F65" s="340"/>
      <c r="G65" s="340"/>
      <c r="H65" s="441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</row>
    <row r="66" ht="15.75" customHeight="1">
      <c r="A66" s="438" t="s">
        <v>971</v>
      </c>
      <c r="B66" s="438" t="s">
        <v>972</v>
      </c>
      <c r="C66" s="438" t="s">
        <v>973</v>
      </c>
      <c r="D66" s="439" t="s">
        <v>837</v>
      </c>
      <c r="E66" s="340"/>
      <c r="F66" s="340"/>
      <c r="G66" s="340"/>
      <c r="H66" s="441"/>
      <c r="I66" s="340"/>
      <c r="J66" s="340"/>
      <c r="K66" s="340"/>
      <c r="L66" s="340"/>
      <c r="M66" s="340"/>
      <c r="N66" s="340"/>
      <c r="O66" s="340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</row>
    <row r="67" ht="15.75" customHeight="1">
      <c r="A67" s="438" t="s">
        <v>974</v>
      </c>
      <c r="B67" s="438" t="s">
        <v>975</v>
      </c>
      <c r="C67" s="438" t="s">
        <v>976</v>
      </c>
      <c r="D67" s="439" t="s">
        <v>837</v>
      </c>
      <c r="E67" s="340"/>
      <c r="F67" s="340"/>
      <c r="G67" s="340"/>
      <c r="H67" s="441"/>
      <c r="I67" s="340"/>
      <c r="J67" s="340"/>
      <c r="K67" s="340"/>
      <c r="L67" s="340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</row>
    <row r="68" ht="15.75" customHeight="1">
      <c r="A68" s="438" t="s">
        <v>977</v>
      </c>
      <c r="B68" s="438" t="s">
        <v>978</v>
      </c>
      <c r="C68" s="438" t="s">
        <v>979</v>
      </c>
      <c r="D68" s="439" t="s">
        <v>946</v>
      </c>
      <c r="E68" s="340"/>
      <c r="F68" s="340"/>
      <c r="G68" s="340"/>
      <c r="H68" s="441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340"/>
      <c r="V68" s="340"/>
      <c r="W68" s="340"/>
      <c r="X68" s="340"/>
      <c r="Y68" s="340"/>
      <c r="Z68" s="340"/>
    </row>
    <row r="69" ht="15.75" customHeight="1">
      <c r="A69" s="438" t="s">
        <v>980</v>
      </c>
      <c r="B69" s="438" t="s">
        <v>981</v>
      </c>
      <c r="C69" s="438" t="s">
        <v>982</v>
      </c>
      <c r="D69" s="439" t="s">
        <v>946</v>
      </c>
      <c r="E69" s="340"/>
      <c r="F69" s="340"/>
      <c r="G69" s="340"/>
      <c r="H69" s="441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</row>
    <row r="70" ht="15.75" customHeight="1">
      <c r="A70" s="438" t="s">
        <v>983</v>
      </c>
      <c r="B70" s="438" t="s">
        <v>984</v>
      </c>
      <c r="C70" s="438" t="s">
        <v>985</v>
      </c>
      <c r="D70" s="439" t="s">
        <v>844</v>
      </c>
      <c r="E70" s="340"/>
      <c r="F70" s="340"/>
      <c r="G70" s="340"/>
      <c r="H70" s="441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</row>
    <row r="71" ht="15.75" customHeight="1">
      <c r="A71" s="438" t="s">
        <v>986</v>
      </c>
      <c r="B71" s="438" t="s">
        <v>987</v>
      </c>
      <c r="C71" s="438" t="s">
        <v>988</v>
      </c>
      <c r="D71" s="439" t="s">
        <v>844</v>
      </c>
      <c r="E71" s="340"/>
      <c r="F71" s="340"/>
      <c r="G71" s="340"/>
      <c r="H71" s="441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</row>
    <row r="72" ht="15.75" customHeight="1">
      <c r="A72" s="438" t="s">
        <v>989</v>
      </c>
      <c r="B72" s="438" t="s">
        <v>990</v>
      </c>
      <c r="C72" s="438" t="s">
        <v>991</v>
      </c>
      <c r="D72" s="439" t="s">
        <v>844</v>
      </c>
      <c r="E72" s="340"/>
      <c r="F72" s="340"/>
      <c r="G72" s="340"/>
      <c r="H72" s="441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</row>
    <row r="73" ht="15.75" customHeight="1">
      <c r="A73" s="445" t="s">
        <v>992</v>
      </c>
      <c r="B73" s="445" t="s">
        <v>993</v>
      </c>
      <c r="C73" s="445" t="s">
        <v>994</v>
      </c>
      <c r="D73" s="448" t="s">
        <v>837</v>
      </c>
      <c r="E73" s="340"/>
      <c r="F73" s="340"/>
      <c r="G73" s="340"/>
      <c r="H73" s="441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</row>
    <row r="74" ht="15.75" customHeight="1">
      <c r="A74" s="439" t="s">
        <v>995</v>
      </c>
      <c r="B74" s="439" t="s">
        <v>996</v>
      </c>
      <c r="C74" s="439" t="s">
        <v>997</v>
      </c>
      <c r="D74" s="439" t="s">
        <v>837</v>
      </c>
      <c r="E74" s="340"/>
      <c r="F74" s="340"/>
      <c r="G74" s="340"/>
      <c r="H74" s="441"/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</row>
    <row r="75" ht="15.75" customHeight="1">
      <c r="A75" s="439" t="s">
        <v>998</v>
      </c>
      <c r="B75" s="439" t="s">
        <v>999</v>
      </c>
      <c r="C75" s="439" t="s">
        <v>1000</v>
      </c>
      <c r="D75" s="439" t="s">
        <v>844</v>
      </c>
      <c r="E75" s="340"/>
      <c r="F75" s="340"/>
      <c r="G75" s="340"/>
      <c r="H75" s="441"/>
      <c r="I75" s="340"/>
      <c r="J75" s="340"/>
      <c r="K75" s="340"/>
      <c r="L75" s="340"/>
      <c r="M75" s="340"/>
      <c r="N75" s="340"/>
      <c r="O75" s="340"/>
      <c r="P75" s="340"/>
      <c r="Q75" s="340"/>
      <c r="R75" s="340"/>
      <c r="S75" s="340"/>
      <c r="T75" s="340"/>
      <c r="U75" s="340"/>
      <c r="V75" s="340"/>
      <c r="W75" s="340"/>
      <c r="X75" s="340"/>
      <c r="Y75" s="340"/>
      <c r="Z75" s="340"/>
    </row>
    <row r="76" ht="15.75" customHeight="1">
      <c r="A76" s="340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40"/>
      <c r="M76" s="340"/>
      <c r="N76" s="340"/>
      <c r="O76" s="340"/>
      <c r="P76" s="340"/>
      <c r="Q76" s="340"/>
      <c r="R76" s="340"/>
      <c r="S76" s="340"/>
      <c r="T76" s="340"/>
      <c r="U76" s="340"/>
      <c r="V76" s="340"/>
      <c r="W76" s="340"/>
      <c r="X76" s="340"/>
      <c r="Y76" s="340"/>
      <c r="Z76" s="340"/>
    </row>
    <row r="77" ht="15.75" customHeight="1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40"/>
      <c r="M77" s="340"/>
      <c r="N77" s="340"/>
      <c r="O77" s="340"/>
      <c r="P77" s="340"/>
      <c r="Q77" s="340"/>
      <c r="R77" s="340"/>
      <c r="S77" s="340"/>
      <c r="T77" s="340"/>
      <c r="U77" s="340"/>
      <c r="V77" s="340"/>
      <c r="W77" s="340"/>
      <c r="X77" s="340"/>
      <c r="Y77" s="340"/>
      <c r="Z77" s="340"/>
    </row>
    <row r="78" ht="15.75" customHeight="1">
      <c r="A78" s="340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</row>
    <row r="79" ht="15.75" customHeight="1">
      <c r="A79" s="340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40"/>
      <c r="M79" s="340"/>
      <c r="N79" s="340"/>
      <c r="O79" s="340"/>
      <c r="P79" s="340"/>
      <c r="Q79" s="340"/>
      <c r="R79" s="340"/>
      <c r="S79" s="340"/>
      <c r="T79" s="340"/>
      <c r="U79" s="340"/>
      <c r="V79" s="340"/>
      <c r="W79" s="340"/>
      <c r="X79" s="340"/>
      <c r="Y79" s="340"/>
      <c r="Z79" s="340"/>
    </row>
    <row r="80" ht="15.75" customHeight="1">
      <c r="A80" s="340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40"/>
      <c r="M80" s="340"/>
      <c r="N80" s="340"/>
      <c r="O80" s="340"/>
      <c r="P80" s="340"/>
      <c r="Q80" s="340"/>
      <c r="R80" s="340"/>
      <c r="S80" s="340"/>
      <c r="T80" s="340"/>
      <c r="U80" s="340"/>
      <c r="V80" s="340"/>
      <c r="W80" s="340"/>
      <c r="X80" s="340"/>
      <c r="Y80" s="340"/>
      <c r="Z80" s="340"/>
    </row>
    <row r="81" ht="15.75" customHeight="1">
      <c r="A81" s="340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40"/>
      <c r="M81" s="340"/>
      <c r="N81" s="340"/>
      <c r="O81" s="340"/>
      <c r="P81" s="340"/>
      <c r="Q81" s="340"/>
      <c r="R81" s="340"/>
      <c r="S81" s="340"/>
      <c r="T81" s="340"/>
      <c r="U81" s="340"/>
      <c r="V81" s="340"/>
      <c r="W81" s="340"/>
      <c r="X81" s="340"/>
      <c r="Y81" s="340"/>
      <c r="Z81" s="340"/>
    </row>
    <row r="82" ht="15.75" customHeight="1">
      <c r="A82" s="340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40"/>
      <c r="M82" s="340"/>
      <c r="N82" s="340"/>
      <c r="O82" s="340"/>
      <c r="P82" s="340"/>
      <c r="Q82" s="340"/>
      <c r="R82" s="340"/>
      <c r="S82" s="340"/>
      <c r="T82" s="340"/>
      <c r="U82" s="340"/>
      <c r="V82" s="340"/>
      <c r="W82" s="340"/>
      <c r="X82" s="340"/>
      <c r="Y82" s="340"/>
      <c r="Z82" s="340"/>
    </row>
    <row r="83" ht="15.75" customHeight="1">
      <c r="A83" s="340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40"/>
      <c r="M83" s="340"/>
      <c r="N83" s="340"/>
      <c r="O83" s="340"/>
      <c r="P83" s="340"/>
      <c r="Q83" s="340"/>
      <c r="R83" s="340"/>
      <c r="S83" s="340"/>
      <c r="T83" s="340"/>
      <c r="U83" s="340"/>
      <c r="V83" s="340"/>
      <c r="W83" s="340"/>
      <c r="X83" s="340"/>
      <c r="Y83" s="340"/>
      <c r="Z83" s="340"/>
    </row>
    <row r="84" ht="15.75" customHeight="1">
      <c r="A84" s="340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40"/>
      <c r="M84" s="340"/>
      <c r="N84" s="340"/>
      <c r="O84" s="340"/>
      <c r="P84" s="340"/>
      <c r="Q84" s="340"/>
      <c r="R84" s="340"/>
      <c r="S84" s="340"/>
      <c r="T84" s="340"/>
      <c r="U84" s="340"/>
      <c r="V84" s="340"/>
      <c r="W84" s="340"/>
      <c r="X84" s="340"/>
      <c r="Y84" s="340"/>
      <c r="Z84" s="340"/>
    </row>
    <row r="85" ht="15.75" customHeight="1">
      <c r="A85" s="340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40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</row>
    <row r="86" ht="15.75" customHeight="1">
      <c r="A86" s="340"/>
      <c r="B86" s="340"/>
      <c r="C86" s="340"/>
      <c r="D86" s="340"/>
      <c r="E86" s="340"/>
      <c r="F86" s="340"/>
      <c r="G86" s="340"/>
      <c r="H86" s="340"/>
      <c r="I86" s="340"/>
      <c r="J86" s="340"/>
      <c r="K86" s="340"/>
      <c r="L86" s="340"/>
      <c r="M86" s="340"/>
      <c r="N86" s="340"/>
      <c r="O86" s="340"/>
      <c r="P86" s="340"/>
      <c r="Q86" s="340"/>
      <c r="R86" s="340"/>
      <c r="S86" s="340"/>
      <c r="T86" s="340"/>
      <c r="U86" s="340"/>
      <c r="V86" s="340"/>
      <c r="W86" s="340"/>
      <c r="X86" s="340"/>
      <c r="Y86" s="340"/>
      <c r="Z86" s="340"/>
    </row>
    <row r="87" ht="15.75" customHeight="1">
      <c r="A87" s="340"/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40"/>
      <c r="M87" s="340"/>
      <c r="N87" s="340"/>
      <c r="O87" s="340"/>
      <c r="P87" s="340"/>
      <c r="Q87" s="340"/>
      <c r="R87" s="340"/>
      <c r="S87" s="340"/>
      <c r="T87" s="340"/>
      <c r="U87" s="340"/>
      <c r="V87" s="340"/>
      <c r="W87" s="340"/>
      <c r="X87" s="340"/>
      <c r="Y87" s="340"/>
      <c r="Z87" s="340"/>
    </row>
    <row r="88" ht="15.75" customHeight="1">
      <c r="A88" s="340"/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40"/>
      <c r="M88" s="340"/>
      <c r="N88" s="340"/>
      <c r="O88" s="340"/>
      <c r="P88" s="340"/>
      <c r="Q88" s="340"/>
      <c r="R88" s="340"/>
      <c r="S88" s="340"/>
      <c r="T88" s="340"/>
      <c r="U88" s="340"/>
      <c r="V88" s="340"/>
      <c r="W88" s="340"/>
      <c r="X88" s="340"/>
      <c r="Y88" s="340"/>
      <c r="Z88" s="340"/>
    </row>
    <row r="89" ht="15.75" customHeight="1">
      <c r="A89" s="340"/>
      <c r="B89" s="340"/>
      <c r="C89" s="340"/>
      <c r="D89" s="340"/>
      <c r="E89" s="340"/>
      <c r="F89" s="340"/>
      <c r="G89" s="340"/>
      <c r="H89" s="340"/>
      <c r="I89" s="340"/>
      <c r="J89" s="340"/>
      <c r="K89" s="340"/>
      <c r="L89" s="340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</row>
    <row r="90" ht="15.75" customHeight="1">
      <c r="A90" s="340"/>
      <c r="B90" s="340"/>
      <c r="C90" s="340"/>
      <c r="D90" s="340"/>
      <c r="E90" s="340"/>
      <c r="F90" s="340"/>
      <c r="G90" s="340"/>
      <c r="H90" s="340"/>
      <c r="I90" s="340"/>
      <c r="J90" s="340"/>
      <c r="K90" s="340"/>
      <c r="L90" s="340"/>
      <c r="M90" s="340"/>
      <c r="N90" s="340"/>
      <c r="O90" s="340"/>
      <c r="P90" s="340"/>
      <c r="Q90" s="340"/>
      <c r="R90" s="340"/>
      <c r="S90" s="340"/>
      <c r="T90" s="340"/>
      <c r="U90" s="340"/>
      <c r="V90" s="340"/>
      <c r="W90" s="340"/>
      <c r="X90" s="340"/>
      <c r="Y90" s="340"/>
      <c r="Z90" s="340"/>
    </row>
    <row r="91" ht="15.75" customHeight="1">
      <c r="A91" s="340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</row>
    <row r="92" ht="15.75" customHeight="1">
      <c r="A92" s="340"/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40"/>
      <c r="M92" s="340"/>
      <c r="N92" s="340"/>
      <c r="O92" s="340"/>
      <c r="P92" s="340"/>
      <c r="Q92" s="340"/>
      <c r="R92" s="340"/>
      <c r="S92" s="340"/>
      <c r="T92" s="340"/>
      <c r="U92" s="340"/>
      <c r="V92" s="340"/>
      <c r="W92" s="340"/>
      <c r="X92" s="340"/>
      <c r="Y92" s="340"/>
      <c r="Z92" s="340"/>
    </row>
    <row r="93" ht="15.75" customHeight="1">
      <c r="A93" s="340"/>
      <c r="B93" s="340"/>
      <c r="C93" s="340"/>
      <c r="D93" s="340"/>
      <c r="E93" s="340"/>
      <c r="F93" s="340"/>
      <c r="G93" s="340"/>
      <c r="H93" s="340"/>
      <c r="I93" s="340"/>
      <c r="J93" s="340"/>
      <c r="K93" s="340"/>
      <c r="L93" s="340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</row>
    <row r="94" ht="15.75" customHeight="1">
      <c r="A94" s="340"/>
      <c r="B94" s="340"/>
      <c r="C94" s="340"/>
      <c r="D94" s="340"/>
      <c r="E94" s="340"/>
      <c r="F94" s="340"/>
      <c r="G94" s="340"/>
      <c r="H94" s="340"/>
      <c r="I94" s="340"/>
      <c r="J94" s="340"/>
      <c r="K94" s="340"/>
      <c r="L94" s="340"/>
      <c r="M94" s="340"/>
      <c r="N94" s="340"/>
      <c r="O94" s="340"/>
      <c r="P94" s="340"/>
      <c r="Q94" s="340"/>
      <c r="R94" s="340"/>
      <c r="S94" s="340"/>
      <c r="T94" s="340"/>
      <c r="U94" s="340"/>
      <c r="V94" s="340"/>
      <c r="W94" s="340"/>
      <c r="X94" s="340"/>
      <c r="Y94" s="340"/>
      <c r="Z94" s="340"/>
    </row>
    <row r="95" ht="15.75" customHeight="1">
      <c r="A95" s="340"/>
      <c r="B95" s="340"/>
      <c r="C95" s="340"/>
      <c r="D95" s="340"/>
      <c r="E95" s="340"/>
      <c r="F95" s="340"/>
      <c r="G95" s="340"/>
      <c r="H95" s="340"/>
      <c r="I95" s="340"/>
      <c r="J95" s="340"/>
      <c r="K95" s="340"/>
      <c r="L95" s="340"/>
      <c r="M95" s="340"/>
      <c r="N95" s="340"/>
      <c r="O95" s="340"/>
      <c r="P95" s="340"/>
      <c r="Q95" s="340"/>
      <c r="R95" s="340"/>
      <c r="S95" s="340"/>
      <c r="T95" s="340"/>
      <c r="U95" s="340"/>
      <c r="V95" s="340"/>
      <c r="W95" s="340"/>
      <c r="X95" s="340"/>
      <c r="Y95" s="340"/>
      <c r="Z95" s="340"/>
    </row>
    <row r="96" ht="15.75" customHeight="1">
      <c r="A96" s="340"/>
      <c r="B96" s="340"/>
      <c r="C96" s="340"/>
      <c r="D96" s="340"/>
      <c r="E96" s="340"/>
      <c r="F96" s="340"/>
      <c r="G96" s="340"/>
      <c r="H96" s="340"/>
      <c r="I96" s="340"/>
      <c r="J96" s="340"/>
      <c r="K96" s="340"/>
      <c r="L96" s="340"/>
      <c r="M96" s="340"/>
      <c r="N96" s="340"/>
      <c r="O96" s="340"/>
      <c r="P96" s="340"/>
      <c r="Q96" s="340"/>
      <c r="R96" s="340"/>
      <c r="S96" s="340"/>
      <c r="T96" s="340"/>
      <c r="U96" s="340"/>
      <c r="V96" s="340"/>
      <c r="W96" s="340"/>
      <c r="X96" s="340"/>
      <c r="Y96" s="340"/>
      <c r="Z96" s="340"/>
    </row>
    <row r="97" ht="15.75" customHeight="1">
      <c r="A97" s="340"/>
      <c r="B97" s="340"/>
      <c r="C97" s="340"/>
      <c r="D97" s="340"/>
      <c r="E97" s="340"/>
      <c r="F97" s="340"/>
      <c r="G97" s="340"/>
      <c r="H97" s="340"/>
      <c r="I97" s="340"/>
      <c r="J97" s="340"/>
      <c r="K97" s="340"/>
      <c r="L97" s="340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</row>
    <row r="98" ht="15.75" customHeight="1">
      <c r="A98" s="340"/>
      <c r="B98" s="340"/>
      <c r="C98" s="340"/>
      <c r="D98" s="340"/>
      <c r="E98" s="340"/>
      <c r="F98" s="340"/>
      <c r="G98" s="340"/>
      <c r="H98" s="340"/>
      <c r="I98" s="340"/>
      <c r="J98" s="340"/>
      <c r="K98" s="340"/>
      <c r="L98" s="340"/>
      <c r="M98" s="340"/>
      <c r="N98" s="340"/>
      <c r="O98" s="340"/>
      <c r="P98" s="340"/>
      <c r="Q98" s="340"/>
      <c r="R98" s="340"/>
      <c r="S98" s="340"/>
      <c r="T98" s="340"/>
      <c r="U98" s="340"/>
      <c r="V98" s="340"/>
      <c r="W98" s="340"/>
      <c r="X98" s="340"/>
      <c r="Y98" s="340"/>
      <c r="Z98" s="340"/>
    </row>
    <row r="99" ht="15.75" customHeight="1">
      <c r="A99" s="340"/>
      <c r="B99" s="340"/>
      <c r="C99" s="340"/>
      <c r="D99" s="340"/>
      <c r="E99" s="340"/>
      <c r="F99" s="340"/>
      <c r="G99" s="340"/>
      <c r="H99" s="340"/>
      <c r="I99" s="340"/>
      <c r="J99" s="340"/>
      <c r="K99" s="340"/>
      <c r="L99" s="340"/>
      <c r="M99" s="340"/>
      <c r="N99" s="340"/>
      <c r="O99" s="340"/>
      <c r="P99" s="340"/>
      <c r="Q99" s="340"/>
      <c r="R99" s="340"/>
      <c r="S99" s="340"/>
      <c r="T99" s="340"/>
      <c r="U99" s="340"/>
      <c r="V99" s="340"/>
      <c r="W99" s="340"/>
      <c r="X99" s="340"/>
      <c r="Y99" s="340"/>
      <c r="Z99" s="340"/>
    </row>
    <row r="100" ht="15.75" customHeight="1">
      <c r="A100" s="340"/>
      <c r="B100" s="340"/>
      <c r="C100" s="340"/>
      <c r="D100" s="340"/>
      <c r="E100" s="340"/>
      <c r="F100" s="340"/>
      <c r="G100" s="340"/>
      <c r="H100" s="340"/>
      <c r="I100" s="340"/>
      <c r="J100" s="340"/>
      <c r="K100" s="340"/>
      <c r="L100" s="340"/>
      <c r="M100" s="340"/>
      <c r="N100" s="340"/>
      <c r="O100" s="340"/>
      <c r="P100" s="340"/>
      <c r="Q100" s="340"/>
      <c r="R100" s="340"/>
      <c r="S100" s="340"/>
      <c r="T100" s="340"/>
      <c r="U100" s="340"/>
      <c r="V100" s="340"/>
      <c r="W100" s="340"/>
      <c r="X100" s="340"/>
      <c r="Y100" s="340"/>
      <c r="Z100" s="340"/>
    </row>
    <row r="101" ht="15.75" customHeight="1">
      <c r="A101" s="340"/>
      <c r="B101" s="340"/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</row>
    <row r="102" ht="15.75" customHeight="1">
      <c r="A102" s="340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</row>
    <row r="103" ht="15.75" customHeight="1">
      <c r="A103" s="340"/>
      <c r="B103" s="340"/>
      <c r="C103" s="340"/>
      <c r="D103" s="340"/>
      <c r="E103" s="340"/>
      <c r="F103" s="340"/>
      <c r="G103" s="340"/>
      <c r="H103" s="340"/>
      <c r="I103" s="340"/>
      <c r="J103" s="340"/>
      <c r="K103" s="340"/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</row>
    <row r="104" ht="15.75" customHeight="1">
      <c r="A104" s="340"/>
      <c r="B104" s="340"/>
      <c r="C104" s="340"/>
      <c r="D104" s="340"/>
      <c r="E104" s="340"/>
      <c r="F104" s="340"/>
      <c r="G104" s="340"/>
      <c r="H104" s="340"/>
      <c r="I104" s="340"/>
      <c r="J104" s="340"/>
      <c r="K104" s="340"/>
      <c r="L104" s="340"/>
      <c r="M104" s="340"/>
      <c r="N104" s="340"/>
      <c r="O104" s="340"/>
      <c r="P104" s="340"/>
      <c r="Q104" s="340"/>
      <c r="R104" s="340"/>
      <c r="S104" s="340"/>
      <c r="T104" s="340"/>
      <c r="U104" s="340"/>
      <c r="V104" s="340"/>
      <c r="W104" s="340"/>
      <c r="X104" s="340"/>
      <c r="Y104" s="340"/>
      <c r="Z104" s="340"/>
    </row>
    <row r="105" ht="15.75" customHeight="1">
      <c r="A105" s="340"/>
      <c r="B105" s="340"/>
      <c r="C105" s="340"/>
      <c r="D105" s="340"/>
      <c r="E105" s="340"/>
      <c r="F105" s="340"/>
      <c r="G105" s="340"/>
      <c r="H105" s="340"/>
      <c r="I105" s="340"/>
      <c r="J105" s="340"/>
      <c r="K105" s="340"/>
      <c r="L105" s="340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</row>
    <row r="106" ht="15.75" customHeight="1">
      <c r="A106" s="340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  <c r="O106" s="340"/>
      <c r="P106" s="340"/>
      <c r="Q106" s="340"/>
      <c r="R106" s="340"/>
      <c r="S106" s="340"/>
      <c r="T106" s="340"/>
      <c r="U106" s="340"/>
      <c r="V106" s="340"/>
      <c r="W106" s="340"/>
      <c r="X106" s="340"/>
      <c r="Y106" s="340"/>
      <c r="Z106" s="340"/>
    </row>
    <row r="107" ht="15.75" customHeight="1">
      <c r="A107" s="340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340"/>
      <c r="W107" s="340"/>
      <c r="X107" s="340"/>
      <c r="Y107" s="340"/>
      <c r="Z107" s="340"/>
    </row>
    <row r="108" ht="15.75" customHeight="1">
      <c r="A108" s="340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</row>
    <row r="109" ht="15.75" customHeight="1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</row>
    <row r="110" ht="15.75" customHeight="1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</row>
    <row r="111" ht="15.75" customHeight="1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340"/>
      <c r="W111" s="340"/>
      <c r="X111" s="340"/>
      <c r="Y111" s="340"/>
      <c r="Z111" s="340"/>
    </row>
    <row r="112" ht="15.75" customHeight="1">
      <c r="A112" s="340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0"/>
      <c r="Q112" s="340"/>
      <c r="R112" s="340"/>
      <c r="S112" s="340"/>
      <c r="T112" s="340"/>
      <c r="U112" s="340"/>
      <c r="V112" s="340"/>
      <c r="W112" s="340"/>
      <c r="X112" s="340"/>
      <c r="Y112" s="340"/>
      <c r="Z112" s="340"/>
    </row>
    <row r="113" ht="15.75" customHeight="1">
      <c r="A113" s="340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</row>
    <row r="114" ht="15.75" customHeight="1">
      <c r="A114" s="340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  <c r="O114" s="340"/>
      <c r="P114" s="340"/>
      <c r="Q114" s="340"/>
      <c r="R114" s="340"/>
      <c r="S114" s="340"/>
      <c r="T114" s="340"/>
      <c r="U114" s="340"/>
      <c r="V114" s="340"/>
      <c r="W114" s="340"/>
      <c r="X114" s="340"/>
      <c r="Y114" s="340"/>
      <c r="Z114" s="340"/>
    </row>
    <row r="115" ht="15.75" customHeight="1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340"/>
      <c r="W115" s="340"/>
      <c r="X115" s="340"/>
      <c r="Y115" s="340"/>
      <c r="Z115" s="340"/>
    </row>
    <row r="116" ht="15.75" customHeight="1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40"/>
      <c r="M116" s="340"/>
      <c r="N116" s="340"/>
      <c r="O116" s="340"/>
      <c r="P116" s="340"/>
      <c r="Q116" s="340"/>
      <c r="R116" s="340"/>
      <c r="S116" s="340"/>
      <c r="T116" s="340"/>
      <c r="U116" s="340"/>
      <c r="V116" s="340"/>
      <c r="W116" s="340"/>
      <c r="X116" s="340"/>
      <c r="Y116" s="340"/>
      <c r="Z116" s="340"/>
    </row>
    <row r="117" ht="15.75" customHeight="1">
      <c r="A117" s="340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40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</row>
    <row r="118" ht="15.75" customHeight="1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40"/>
      <c r="M118" s="340"/>
      <c r="N118" s="340"/>
      <c r="O118" s="340"/>
      <c r="P118" s="340"/>
      <c r="Q118" s="340"/>
      <c r="R118" s="340"/>
      <c r="S118" s="340"/>
      <c r="T118" s="340"/>
      <c r="U118" s="340"/>
      <c r="V118" s="340"/>
      <c r="W118" s="340"/>
      <c r="X118" s="340"/>
      <c r="Y118" s="340"/>
      <c r="Z118" s="340"/>
    </row>
    <row r="119" ht="15.75" customHeight="1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40"/>
      <c r="M119" s="340"/>
      <c r="N119" s="340"/>
      <c r="O119" s="340"/>
      <c r="P119" s="340"/>
      <c r="Q119" s="340"/>
      <c r="R119" s="340"/>
      <c r="S119" s="340"/>
      <c r="T119" s="340"/>
      <c r="U119" s="340"/>
      <c r="V119" s="340"/>
      <c r="W119" s="340"/>
      <c r="X119" s="340"/>
      <c r="Y119" s="340"/>
      <c r="Z119" s="340"/>
    </row>
    <row r="120" ht="15.75" customHeight="1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</row>
    <row r="121" ht="15.75" customHeight="1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</row>
    <row r="122" ht="15.75" customHeight="1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40"/>
      <c r="M122" s="340"/>
      <c r="N122" s="340"/>
      <c r="O122" s="340"/>
      <c r="P122" s="340"/>
      <c r="Q122" s="340"/>
      <c r="R122" s="340"/>
      <c r="S122" s="340"/>
      <c r="T122" s="340"/>
      <c r="U122" s="340"/>
      <c r="V122" s="340"/>
      <c r="W122" s="340"/>
      <c r="X122" s="340"/>
      <c r="Y122" s="340"/>
      <c r="Z122" s="340"/>
    </row>
    <row r="123" ht="15.75" customHeight="1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40"/>
      <c r="M123" s="340"/>
      <c r="N123" s="340"/>
      <c r="O123" s="340"/>
      <c r="P123" s="340"/>
      <c r="Q123" s="340"/>
      <c r="R123" s="340"/>
      <c r="S123" s="340"/>
      <c r="T123" s="340"/>
      <c r="U123" s="340"/>
      <c r="V123" s="340"/>
      <c r="W123" s="340"/>
      <c r="X123" s="340"/>
      <c r="Y123" s="340"/>
      <c r="Z123" s="340"/>
    </row>
    <row r="124" ht="15.75" customHeight="1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40"/>
      <c r="M124" s="340"/>
      <c r="N124" s="340"/>
      <c r="O124" s="340"/>
      <c r="P124" s="340"/>
      <c r="Q124" s="340"/>
      <c r="R124" s="340"/>
      <c r="S124" s="340"/>
      <c r="T124" s="340"/>
      <c r="U124" s="340"/>
      <c r="V124" s="340"/>
      <c r="W124" s="340"/>
      <c r="X124" s="340"/>
      <c r="Y124" s="340"/>
      <c r="Z124" s="340"/>
    </row>
    <row r="125" ht="15.75" customHeight="1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40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</row>
    <row r="126" ht="15.75" customHeight="1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40"/>
      <c r="M126" s="340"/>
      <c r="N126" s="340"/>
      <c r="O126" s="340"/>
      <c r="P126" s="340"/>
      <c r="Q126" s="340"/>
      <c r="R126" s="340"/>
      <c r="S126" s="340"/>
      <c r="T126" s="340"/>
      <c r="U126" s="340"/>
      <c r="V126" s="340"/>
      <c r="W126" s="340"/>
      <c r="X126" s="340"/>
      <c r="Y126" s="340"/>
      <c r="Z126" s="340"/>
    </row>
    <row r="127" ht="15.75" customHeight="1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40"/>
      <c r="M127" s="340"/>
      <c r="N127" s="340"/>
      <c r="O127" s="340"/>
      <c r="P127" s="340"/>
      <c r="Q127" s="340"/>
      <c r="R127" s="340"/>
      <c r="S127" s="340"/>
      <c r="T127" s="340"/>
      <c r="U127" s="340"/>
      <c r="V127" s="340"/>
      <c r="W127" s="340"/>
      <c r="X127" s="340"/>
      <c r="Y127" s="340"/>
      <c r="Z127" s="340"/>
    </row>
    <row r="128" ht="15.75" customHeight="1">
      <c r="A128" s="340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</row>
    <row r="129" ht="15.75" customHeight="1">
      <c r="A129" s="340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</row>
    <row r="130" ht="15.75" customHeight="1">
      <c r="A130" s="340"/>
      <c r="B130" s="340"/>
      <c r="C130" s="340"/>
      <c r="D130" s="340"/>
      <c r="E130" s="340"/>
      <c r="F130" s="340"/>
      <c r="G130" s="340"/>
      <c r="H130" s="340"/>
      <c r="I130" s="340"/>
      <c r="J130" s="340"/>
      <c r="K130" s="340"/>
      <c r="L130" s="340"/>
      <c r="M130" s="340"/>
      <c r="N130" s="340"/>
      <c r="O130" s="340"/>
      <c r="P130" s="340"/>
      <c r="Q130" s="340"/>
      <c r="R130" s="340"/>
      <c r="S130" s="340"/>
      <c r="T130" s="340"/>
      <c r="U130" s="340"/>
      <c r="V130" s="340"/>
      <c r="W130" s="340"/>
      <c r="X130" s="340"/>
      <c r="Y130" s="340"/>
      <c r="Z130" s="340"/>
    </row>
    <row r="131" ht="15.75" customHeight="1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40"/>
      <c r="L131" s="340"/>
      <c r="M131" s="340"/>
      <c r="N131" s="340"/>
      <c r="O131" s="340"/>
      <c r="P131" s="340"/>
      <c r="Q131" s="340"/>
      <c r="R131" s="340"/>
      <c r="S131" s="340"/>
      <c r="T131" s="340"/>
      <c r="U131" s="340"/>
      <c r="V131" s="340"/>
      <c r="W131" s="340"/>
      <c r="X131" s="340"/>
      <c r="Y131" s="340"/>
      <c r="Z131" s="340"/>
    </row>
    <row r="132" ht="15.75" customHeight="1">
      <c r="A132" s="340"/>
      <c r="B132" s="340"/>
      <c r="C132" s="340"/>
      <c r="D132" s="340"/>
      <c r="E132" s="340"/>
      <c r="F132" s="340"/>
      <c r="G132" s="340"/>
      <c r="H132" s="340"/>
      <c r="I132" s="340"/>
      <c r="J132" s="340"/>
      <c r="K132" s="340"/>
      <c r="L132" s="340"/>
      <c r="M132" s="340"/>
      <c r="N132" s="340"/>
      <c r="O132" s="340"/>
      <c r="P132" s="340"/>
      <c r="Q132" s="340"/>
      <c r="R132" s="340"/>
      <c r="S132" s="340"/>
      <c r="T132" s="340"/>
      <c r="U132" s="340"/>
      <c r="V132" s="340"/>
      <c r="W132" s="340"/>
      <c r="X132" s="340"/>
      <c r="Y132" s="340"/>
      <c r="Z132" s="340"/>
    </row>
    <row r="133" ht="15.75" customHeight="1">
      <c r="A133" s="340"/>
      <c r="B133" s="340"/>
      <c r="C133" s="340"/>
      <c r="D133" s="340"/>
      <c r="E133" s="340"/>
      <c r="F133" s="340"/>
      <c r="G133" s="340"/>
      <c r="H133" s="340"/>
      <c r="I133" s="340"/>
      <c r="J133" s="340"/>
      <c r="K133" s="340"/>
      <c r="L133" s="340"/>
      <c r="M133" s="340"/>
      <c r="N133" s="340"/>
      <c r="O133" s="340"/>
      <c r="P133" s="340"/>
      <c r="Q133" s="340"/>
      <c r="R133" s="340"/>
      <c r="S133" s="340"/>
      <c r="T133" s="340"/>
      <c r="U133" s="340"/>
      <c r="V133" s="340"/>
      <c r="W133" s="340"/>
      <c r="X133" s="340"/>
      <c r="Y133" s="340"/>
      <c r="Z133" s="340"/>
    </row>
    <row r="134" ht="15.75" customHeight="1">
      <c r="A134" s="340"/>
      <c r="B134" s="340"/>
      <c r="C134" s="340"/>
      <c r="D134" s="340"/>
      <c r="E134" s="340"/>
      <c r="F134" s="340"/>
      <c r="G134" s="340"/>
      <c r="H134" s="340"/>
      <c r="I134" s="340"/>
      <c r="J134" s="340"/>
      <c r="K134" s="340"/>
      <c r="L134" s="340"/>
      <c r="M134" s="340"/>
      <c r="N134" s="340"/>
      <c r="O134" s="340"/>
      <c r="P134" s="340"/>
      <c r="Q134" s="340"/>
      <c r="R134" s="340"/>
      <c r="S134" s="340"/>
      <c r="T134" s="340"/>
      <c r="U134" s="340"/>
      <c r="V134" s="340"/>
      <c r="W134" s="340"/>
      <c r="X134" s="340"/>
      <c r="Y134" s="340"/>
      <c r="Z134" s="340"/>
    </row>
    <row r="135" ht="15.75" customHeight="1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40"/>
      <c r="L135" s="340"/>
      <c r="M135" s="340"/>
      <c r="N135" s="340"/>
      <c r="O135" s="340"/>
      <c r="P135" s="340"/>
      <c r="Q135" s="340"/>
      <c r="R135" s="340"/>
      <c r="S135" s="340"/>
      <c r="T135" s="340"/>
      <c r="U135" s="340"/>
      <c r="V135" s="340"/>
      <c r="W135" s="340"/>
      <c r="X135" s="340"/>
      <c r="Y135" s="340"/>
      <c r="Z135" s="340"/>
    </row>
    <row r="136" ht="15.75" customHeight="1">
      <c r="A136" s="340"/>
      <c r="B136" s="340"/>
      <c r="C136" s="340"/>
      <c r="D136" s="340"/>
      <c r="E136" s="340"/>
      <c r="F136" s="340"/>
      <c r="G136" s="340"/>
      <c r="H136" s="340"/>
      <c r="I136" s="340"/>
      <c r="J136" s="340"/>
      <c r="K136" s="340"/>
      <c r="L136" s="340"/>
      <c r="M136" s="340"/>
      <c r="N136" s="340"/>
      <c r="O136" s="340"/>
      <c r="P136" s="340"/>
      <c r="Q136" s="340"/>
      <c r="R136" s="340"/>
      <c r="S136" s="340"/>
      <c r="T136" s="340"/>
      <c r="U136" s="340"/>
      <c r="V136" s="340"/>
      <c r="W136" s="340"/>
      <c r="X136" s="340"/>
      <c r="Y136" s="340"/>
      <c r="Z136" s="340"/>
    </row>
    <row r="137" ht="15.75" customHeight="1">
      <c r="A137" s="340"/>
      <c r="B137" s="340"/>
      <c r="C137" s="340"/>
      <c r="D137" s="340"/>
      <c r="E137" s="340"/>
      <c r="F137" s="340"/>
      <c r="G137" s="340"/>
      <c r="H137" s="340"/>
      <c r="I137" s="340"/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340"/>
      <c r="W137" s="340"/>
      <c r="X137" s="340"/>
      <c r="Y137" s="340"/>
      <c r="Z137" s="340"/>
    </row>
    <row r="138" ht="15.75" customHeight="1">
      <c r="A138" s="340"/>
      <c r="B138" s="340"/>
      <c r="C138" s="340"/>
      <c r="D138" s="340"/>
      <c r="E138" s="340"/>
      <c r="F138" s="340"/>
      <c r="G138" s="340"/>
      <c r="H138" s="340"/>
      <c r="I138" s="340"/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340"/>
      <c r="W138" s="340"/>
      <c r="X138" s="340"/>
      <c r="Y138" s="340"/>
      <c r="Z138" s="340"/>
    </row>
    <row r="139" ht="15.75" customHeight="1">
      <c r="A139" s="340"/>
      <c r="B139" s="340"/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</row>
    <row r="140" ht="15.75" customHeight="1">
      <c r="A140" s="340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</row>
    <row r="141" ht="15.75" customHeight="1">
      <c r="A141" s="340"/>
      <c r="B141" s="340"/>
      <c r="C141" s="340"/>
      <c r="D141" s="340"/>
      <c r="E141" s="340"/>
      <c r="F141" s="340"/>
      <c r="G141" s="340"/>
      <c r="H141" s="340"/>
      <c r="I141" s="340"/>
      <c r="J141" s="340"/>
      <c r="K141" s="340"/>
      <c r="L141" s="340"/>
      <c r="M141" s="340"/>
      <c r="N141" s="340"/>
      <c r="O141" s="340"/>
      <c r="P141" s="340"/>
      <c r="Q141" s="340"/>
      <c r="R141" s="340"/>
      <c r="S141" s="340"/>
      <c r="T141" s="340"/>
      <c r="U141" s="340"/>
      <c r="V141" s="340"/>
      <c r="W141" s="340"/>
      <c r="X141" s="340"/>
      <c r="Y141" s="340"/>
      <c r="Z141" s="340"/>
    </row>
    <row r="142" ht="15.75" customHeight="1">
      <c r="A142" s="340"/>
      <c r="B142" s="340"/>
      <c r="C142" s="340"/>
      <c r="D142" s="340"/>
      <c r="E142" s="340"/>
      <c r="F142" s="340"/>
      <c r="G142" s="340"/>
      <c r="H142" s="340"/>
      <c r="I142" s="340"/>
      <c r="J142" s="340"/>
      <c r="K142" s="340"/>
      <c r="L142" s="340"/>
      <c r="M142" s="340"/>
      <c r="N142" s="340"/>
      <c r="O142" s="340"/>
      <c r="P142" s="340"/>
      <c r="Q142" s="340"/>
      <c r="R142" s="340"/>
      <c r="S142" s="340"/>
      <c r="T142" s="340"/>
      <c r="U142" s="340"/>
      <c r="V142" s="340"/>
      <c r="W142" s="340"/>
      <c r="X142" s="340"/>
      <c r="Y142" s="340"/>
      <c r="Z142" s="340"/>
    </row>
    <row r="143" ht="15.75" customHeight="1">
      <c r="A143" s="340"/>
      <c r="B143" s="340"/>
      <c r="C143" s="340"/>
      <c r="D143" s="340"/>
      <c r="E143" s="340"/>
      <c r="F143" s="340"/>
      <c r="G143" s="340"/>
      <c r="H143" s="340"/>
      <c r="I143" s="340"/>
      <c r="J143" s="340"/>
      <c r="K143" s="340"/>
      <c r="L143" s="340"/>
      <c r="M143" s="340"/>
      <c r="N143" s="340"/>
      <c r="O143" s="340"/>
      <c r="P143" s="340"/>
      <c r="Q143" s="340"/>
      <c r="R143" s="340"/>
      <c r="S143" s="340"/>
      <c r="T143" s="340"/>
      <c r="U143" s="340"/>
      <c r="V143" s="340"/>
      <c r="W143" s="340"/>
      <c r="X143" s="340"/>
      <c r="Y143" s="340"/>
      <c r="Z143" s="340"/>
    </row>
    <row r="144" ht="15.75" customHeight="1">
      <c r="A144" s="340"/>
      <c r="B144" s="340"/>
      <c r="C144" s="340"/>
      <c r="D144" s="340"/>
      <c r="E144" s="340"/>
      <c r="F144" s="340"/>
      <c r="G144" s="340"/>
      <c r="H144" s="340"/>
      <c r="I144" s="340"/>
      <c r="J144" s="340"/>
      <c r="K144" s="340"/>
      <c r="L144" s="340"/>
      <c r="M144" s="340"/>
      <c r="N144" s="340"/>
      <c r="O144" s="340"/>
      <c r="P144" s="340"/>
      <c r="Q144" s="340"/>
      <c r="R144" s="340"/>
      <c r="S144" s="340"/>
      <c r="T144" s="340"/>
      <c r="U144" s="340"/>
      <c r="V144" s="340"/>
      <c r="W144" s="340"/>
      <c r="X144" s="340"/>
      <c r="Y144" s="340"/>
      <c r="Z144" s="340"/>
    </row>
    <row r="145" ht="15.75" customHeight="1">
      <c r="A145" s="340"/>
      <c r="B145" s="340"/>
      <c r="C145" s="340"/>
      <c r="D145" s="340"/>
      <c r="E145" s="340"/>
      <c r="F145" s="340"/>
      <c r="G145" s="340"/>
      <c r="H145" s="340"/>
      <c r="I145" s="340"/>
      <c r="J145" s="340"/>
      <c r="K145" s="340"/>
      <c r="L145" s="340"/>
      <c r="M145" s="340"/>
      <c r="N145" s="340"/>
      <c r="O145" s="340"/>
      <c r="P145" s="340"/>
      <c r="Q145" s="340"/>
      <c r="R145" s="340"/>
      <c r="S145" s="340"/>
      <c r="T145" s="340"/>
      <c r="U145" s="340"/>
      <c r="V145" s="340"/>
      <c r="W145" s="340"/>
      <c r="X145" s="340"/>
      <c r="Y145" s="340"/>
      <c r="Z145" s="340"/>
    </row>
    <row r="146" ht="15.75" customHeight="1">
      <c r="A146" s="340"/>
      <c r="B146" s="340"/>
      <c r="C146" s="340"/>
      <c r="D146" s="340"/>
      <c r="E146" s="340"/>
      <c r="F146" s="340"/>
      <c r="G146" s="340"/>
      <c r="H146" s="340"/>
      <c r="I146" s="340"/>
      <c r="J146" s="340"/>
      <c r="K146" s="340"/>
      <c r="L146" s="340"/>
      <c r="M146" s="340"/>
      <c r="N146" s="340"/>
      <c r="O146" s="340"/>
      <c r="P146" s="340"/>
      <c r="Q146" s="340"/>
      <c r="R146" s="340"/>
      <c r="S146" s="340"/>
      <c r="T146" s="340"/>
      <c r="U146" s="340"/>
      <c r="V146" s="340"/>
      <c r="W146" s="340"/>
      <c r="X146" s="340"/>
      <c r="Y146" s="340"/>
      <c r="Z146" s="340"/>
    </row>
    <row r="147" ht="15.75" customHeight="1">
      <c r="A147" s="340"/>
      <c r="B147" s="340"/>
      <c r="C147" s="340"/>
      <c r="D147" s="340"/>
      <c r="E147" s="340"/>
      <c r="F147" s="340"/>
      <c r="G147" s="340"/>
      <c r="H147" s="340"/>
      <c r="I147" s="340"/>
      <c r="J147" s="340"/>
      <c r="K147" s="340"/>
      <c r="L147" s="340"/>
      <c r="M147" s="340"/>
      <c r="N147" s="340"/>
      <c r="O147" s="340"/>
      <c r="P147" s="340"/>
      <c r="Q147" s="340"/>
      <c r="R147" s="340"/>
      <c r="S147" s="340"/>
      <c r="T147" s="340"/>
      <c r="U147" s="340"/>
      <c r="V147" s="340"/>
      <c r="W147" s="340"/>
      <c r="X147" s="340"/>
      <c r="Y147" s="340"/>
      <c r="Z147" s="340"/>
    </row>
    <row r="148" ht="15.75" customHeight="1">
      <c r="A148" s="340"/>
      <c r="B148" s="340"/>
      <c r="C148" s="340"/>
      <c r="D148" s="340"/>
      <c r="E148" s="340"/>
      <c r="F148" s="340"/>
      <c r="G148" s="340"/>
      <c r="H148" s="340"/>
      <c r="I148" s="340"/>
      <c r="J148" s="340"/>
      <c r="K148" s="340"/>
      <c r="L148" s="340"/>
      <c r="M148" s="340"/>
      <c r="N148" s="340"/>
      <c r="O148" s="340"/>
      <c r="P148" s="340"/>
      <c r="Q148" s="340"/>
      <c r="R148" s="340"/>
      <c r="S148" s="340"/>
      <c r="T148" s="340"/>
      <c r="U148" s="340"/>
      <c r="V148" s="340"/>
      <c r="W148" s="340"/>
      <c r="X148" s="340"/>
      <c r="Y148" s="340"/>
      <c r="Z148" s="340"/>
    </row>
    <row r="149" ht="15.75" customHeight="1">
      <c r="A149" s="340"/>
      <c r="B149" s="340"/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  <c r="V149" s="340"/>
      <c r="W149" s="340"/>
      <c r="X149" s="340"/>
      <c r="Y149" s="340"/>
      <c r="Z149" s="340"/>
    </row>
    <row r="150" ht="15.75" customHeight="1">
      <c r="A150" s="340"/>
      <c r="B150" s="340"/>
      <c r="C150" s="340"/>
      <c r="D150" s="340"/>
      <c r="E150" s="340"/>
      <c r="F150" s="340"/>
      <c r="G150" s="340"/>
      <c r="H150" s="340"/>
      <c r="I150" s="340"/>
      <c r="J150" s="340"/>
      <c r="K150" s="340"/>
      <c r="L150" s="340"/>
      <c r="M150" s="340"/>
      <c r="N150" s="340"/>
      <c r="O150" s="340"/>
      <c r="P150" s="340"/>
      <c r="Q150" s="340"/>
      <c r="R150" s="340"/>
      <c r="S150" s="340"/>
      <c r="T150" s="340"/>
      <c r="U150" s="340"/>
      <c r="V150" s="340"/>
      <c r="W150" s="340"/>
      <c r="X150" s="340"/>
      <c r="Y150" s="340"/>
      <c r="Z150" s="340"/>
    </row>
    <row r="151" ht="15.75" customHeight="1">
      <c r="A151" s="340"/>
      <c r="B151" s="340"/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</row>
    <row r="152" ht="15.75" customHeight="1">
      <c r="A152" s="340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</row>
    <row r="153" ht="15.75" customHeight="1">
      <c r="A153" s="340"/>
      <c r="B153" s="340"/>
      <c r="C153" s="340"/>
      <c r="D153" s="340"/>
      <c r="E153" s="340"/>
      <c r="F153" s="340"/>
      <c r="G153" s="340"/>
      <c r="H153" s="340"/>
      <c r="I153" s="340"/>
      <c r="J153" s="340"/>
      <c r="K153" s="340"/>
      <c r="L153" s="340"/>
      <c r="M153" s="340"/>
      <c r="N153" s="340"/>
      <c r="O153" s="340"/>
      <c r="P153" s="340"/>
      <c r="Q153" s="340"/>
      <c r="R153" s="340"/>
      <c r="S153" s="340"/>
      <c r="T153" s="340"/>
      <c r="U153" s="340"/>
      <c r="V153" s="340"/>
      <c r="W153" s="340"/>
      <c r="X153" s="340"/>
      <c r="Y153" s="340"/>
      <c r="Z153" s="340"/>
    </row>
    <row r="154" ht="15.75" customHeight="1">
      <c r="A154" s="340"/>
      <c r="B154" s="340"/>
      <c r="C154" s="340"/>
      <c r="D154" s="340"/>
      <c r="E154" s="340"/>
      <c r="F154" s="340"/>
      <c r="G154" s="340"/>
      <c r="H154" s="340"/>
      <c r="I154" s="340"/>
      <c r="J154" s="340"/>
      <c r="K154" s="340"/>
      <c r="L154" s="340"/>
      <c r="M154" s="340"/>
      <c r="N154" s="340"/>
      <c r="O154" s="340"/>
      <c r="P154" s="340"/>
      <c r="Q154" s="340"/>
      <c r="R154" s="340"/>
      <c r="S154" s="340"/>
      <c r="T154" s="340"/>
      <c r="U154" s="340"/>
      <c r="V154" s="340"/>
      <c r="W154" s="340"/>
      <c r="X154" s="340"/>
      <c r="Y154" s="340"/>
      <c r="Z154" s="340"/>
    </row>
    <row r="155" ht="15.75" customHeight="1">
      <c r="A155" s="340"/>
      <c r="B155" s="340"/>
      <c r="C155" s="340"/>
      <c r="D155" s="340"/>
      <c r="E155" s="340"/>
      <c r="F155" s="340"/>
      <c r="G155" s="340"/>
      <c r="H155" s="340"/>
      <c r="I155" s="340"/>
      <c r="J155" s="340"/>
      <c r="K155" s="340"/>
      <c r="L155" s="340"/>
      <c r="M155" s="340"/>
      <c r="N155" s="340"/>
      <c r="O155" s="340"/>
      <c r="P155" s="340"/>
      <c r="Q155" s="340"/>
      <c r="R155" s="340"/>
      <c r="S155" s="340"/>
      <c r="T155" s="340"/>
      <c r="U155" s="340"/>
      <c r="V155" s="340"/>
      <c r="W155" s="340"/>
      <c r="X155" s="340"/>
      <c r="Y155" s="340"/>
      <c r="Z155" s="340"/>
    </row>
    <row r="156" ht="15.75" customHeight="1">
      <c r="A156" s="340"/>
      <c r="B156" s="340"/>
      <c r="C156" s="340"/>
      <c r="D156" s="340"/>
      <c r="E156" s="340"/>
      <c r="F156" s="340"/>
      <c r="G156" s="340"/>
      <c r="H156" s="340"/>
      <c r="I156" s="340"/>
      <c r="J156" s="340"/>
      <c r="K156" s="340"/>
      <c r="L156" s="340"/>
      <c r="M156" s="340"/>
      <c r="N156" s="340"/>
      <c r="O156" s="340"/>
      <c r="P156" s="340"/>
      <c r="Q156" s="340"/>
      <c r="R156" s="340"/>
      <c r="S156" s="340"/>
      <c r="T156" s="340"/>
      <c r="U156" s="340"/>
      <c r="V156" s="340"/>
      <c r="W156" s="340"/>
      <c r="X156" s="340"/>
      <c r="Y156" s="340"/>
      <c r="Z156" s="340"/>
    </row>
    <row r="157" ht="15.75" customHeight="1">
      <c r="A157" s="340"/>
      <c r="B157" s="340"/>
      <c r="C157" s="340"/>
      <c r="D157" s="340"/>
      <c r="E157" s="340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40"/>
      <c r="R157" s="340"/>
      <c r="S157" s="340"/>
      <c r="T157" s="340"/>
      <c r="U157" s="340"/>
      <c r="V157" s="340"/>
      <c r="W157" s="340"/>
      <c r="X157" s="340"/>
      <c r="Y157" s="340"/>
      <c r="Z157" s="340"/>
    </row>
    <row r="158" ht="15.75" customHeight="1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40"/>
      <c r="L158" s="340"/>
      <c r="M158" s="340"/>
      <c r="N158" s="340"/>
      <c r="O158" s="340"/>
      <c r="P158" s="340"/>
      <c r="Q158" s="340"/>
      <c r="R158" s="340"/>
      <c r="S158" s="340"/>
      <c r="T158" s="340"/>
      <c r="U158" s="340"/>
      <c r="V158" s="340"/>
      <c r="W158" s="340"/>
      <c r="X158" s="340"/>
      <c r="Y158" s="340"/>
      <c r="Z158" s="340"/>
    </row>
    <row r="159" ht="15.75" customHeight="1">
      <c r="A159" s="340"/>
      <c r="B159" s="340"/>
      <c r="C159" s="340"/>
      <c r="D159" s="340"/>
      <c r="E159" s="340"/>
      <c r="F159" s="340"/>
      <c r="G159" s="340"/>
      <c r="H159" s="340"/>
      <c r="I159" s="340"/>
      <c r="J159" s="340"/>
      <c r="K159" s="340"/>
      <c r="L159" s="340"/>
      <c r="M159" s="340"/>
      <c r="N159" s="340"/>
      <c r="O159" s="340"/>
      <c r="P159" s="340"/>
      <c r="Q159" s="340"/>
      <c r="R159" s="340"/>
      <c r="S159" s="340"/>
      <c r="T159" s="340"/>
      <c r="U159" s="340"/>
      <c r="V159" s="340"/>
      <c r="W159" s="340"/>
      <c r="X159" s="340"/>
      <c r="Y159" s="340"/>
      <c r="Z159" s="340"/>
    </row>
    <row r="160" ht="15.75" customHeight="1">
      <c r="A160" s="340"/>
      <c r="B160" s="340"/>
      <c r="C160" s="340"/>
      <c r="D160" s="340"/>
      <c r="E160" s="340"/>
      <c r="F160" s="340"/>
      <c r="G160" s="340"/>
      <c r="H160" s="340"/>
      <c r="I160" s="340"/>
      <c r="J160" s="340"/>
      <c r="K160" s="340"/>
      <c r="L160" s="340"/>
      <c r="M160" s="340"/>
      <c r="N160" s="340"/>
      <c r="O160" s="340"/>
      <c r="P160" s="340"/>
      <c r="Q160" s="340"/>
      <c r="R160" s="340"/>
      <c r="S160" s="340"/>
      <c r="T160" s="340"/>
      <c r="U160" s="340"/>
      <c r="V160" s="340"/>
      <c r="W160" s="340"/>
      <c r="X160" s="340"/>
      <c r="Y160" s="340"/>
      <c r="Z160" s="340"/>
    </row>
    <row r="161" ht="15.75" customHeight="1">
      <c r="A161" s="340"/>
      <c r="B161" s="340"/>
      <c r="C161" s="340"/>
      <c r="D161" s="340"/>
      <c r="E161" s="340"/>
      <c r="F161" s="340"/>
      <c r="G161" s="340"/>
      <c r="H161" s="340"/>
      <c r="I161" s="340"/>
      <c r="J161" s="340"/>
      <c r="K161" s="340"/>
      <c r="L161" s="340"/>
      <c r="M161" s="340"/>
      <c r="N161" s="340"/>
      <c r="O161" s="340"/>
      <c r="P161" s="340"/>
      <c r="Q161" s="340"/>
      <c r="R161" s="340"/>
      <c r="S161" s="340"/>
      <c r="T161" s="340"/>
      <c r="U161" s="340"/>
      <c r="V161" s="340"/>
      <c r="W161" s="340"/>
      <c r="X161" s="340"/>
      <c r="Y161" s="340"/>
      <c r="Z161" s="340"/>
    </row>
    <row r="162" ht="15.75" customHeight="1">
      <c r="A162" s="340"/>
      <c r="B162" s="340"/>
      <c r="C162" s="340"/>
      <c r="D162" s="340"/>
      <c r="E162" s="340"/>
      <c r="F162" s="340"/>
      <c r="G162" s="340"/>
      <c r="H162" s="340"/>
      <c r="I162" s="340"/>
      <c r="J162" s="340"/>
      <c r="K162" s="340"/>
      <c r="L162" s="340"/>
      <c r="M162" s="340"/>
      <c r="N162" s="340"/>
      <c r="O162" s="340"/>
      <c r="P162" s="340"/>
      <c r="Q162" s="340"/>
      <c r="R162" s="340"/>
      <c r="S162" s="340"/>
      <c r="T162" s="340"/>
      <c r="U162" s="340"/>
      <c r="V162" s="340"/>
      <c r="W162" s="340"/>
      <c r="X162" s="340"/>
      <c r="Y162" s="340"/>
      <c r="Z162" s="340"/>
    </row>
    <row r="163" ht="15.75" customHeight="1">
      <c r="A163" s="340"/>
      <c r="B163" s="340"/>
      <c r="C163" s="340"/>
      <c r="D163" s="340"/>
      <c r="E163" s="340"/>
      <c r="F163" s="340"/>
      <c r="G163" s="340"/>
      <c r="H163" s="340"/>
      <c r="I163" s="340"/>
      <c r="J163" s="340"/>
      <c r="K163" s="340"/>
      <c r="L163" s="340"/>
      <c r="M163" s="340"/>
      <c r="N163" s="340"/>
      <c r="O163" s="340"/>
      <c r="P163" s="340"/>
      <c r="Q163" s="340"/>
      <c r="R163" s="340"/>
      <c r="S163" s="340"/>
      <c r="T163" s="340"/>
      <c r="U163" s="340"/>
      <c r="V163" s="340"/>
      <c r="W163" s="340"/>
      <c r="X163" s="340"/>
      <c r="Y163" s="340"/>
      <c r="Z163" s="340"/>
    </row>
    <row r="164" ht="15.75" customHeight="1">
      <c r="A164" s="340"/>
      <c r="B164" s="340"/>
      <c r="C164" s="340"/>
      <c r="D164" s="340"/>
      <c r="E164" s="340"/>
      <c r="F164" s="340"/>
      <c r="G164" s="340"/>
      <c r="H164" s="340"/>
      <c r="I164" s="340"/>
      <c r="J164" s="340"/>
      <c r="K164" s="340"/>
      <c r="L164" s="340"/>
      <c r="M164" s="340"/>
      <c r="N164" s="340"/>
      <c r="O164" s="340"/>
      <c r="P164" s="340"/>
      <c r="Q164" s="340"/>
      <c r="R164" s="340"/>
      <c r="S164" s="340"/>
      <c r="T164" s="340"/>
      <c r="U164" s="340"/>
      <c r="V164" s="340"/>
      <c r="W164" s="340"/>
      <c r="X164" s="340"/>
      <c r="Y164" s="340"/>
      <c r="Z164" s="340"/>
    </row>
    <row r="165" ht="15.75" customHeight="1">
      <c r="A165" s="340"/>
      <c r="B165" s="340"/>
      <c r="C165" s="340"/>
      <c r="D165" s="340"/>
      <c r="E165" s="340"/>
      <c r="F165" s="340"/>
      <c r="G165" s="340"/>
      <c r="H165" s="340"/>
      <c r="I165" s="340"/>
      <c r="J165" s="340"/>
      <c r="K165" s="340"/>
      <c r="L165" s="340"/>
      <c r="M165" s="340"/>
      <c r="N165" s="340"/>
      <c r="O165" s="340"/>
      <c r="P165" s="340"/>
      <c r="Q165" s="340"/>
      <c r="R165" s="340"/>
      <c r="S165" s="340"/>
      <c r="T165" s="340"/>
      <c r="U165" s="340"/>
      <c r="V165" s="340"/>
      <c r="W165" s="340"/>
      <c r="X165" s="340"/>
      <c r="Y165" s="340"/>
      <c r="Z165" s="340"/>
    </row>
    <row r="166" ht="15.75" customHeight="1">
      <c r="A166" s="340"/>
      <c r="B166" s="340"/>
      <c r="C166" s="340"/>
      <c r="D166" s="340"/>
      <c r="E166" s="340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</row>
    <row r="167" ht="15.75" customHeight="1">
      <c r="A167" s="340"/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</row>
    <row r="168" ht="15.75" customHeight="1">
      <c r="A168" s="340"/>
      <c r="B168" s="340"/>
      <c r="C168" s="340"/>
      <c r="D168" s="340"/>
      <c r="E168" s="340"/>
      <c r="F168" s="340"/>
      <c r="G168" s="340"/>
      <c r="H168" s="340"/>
      <c r="I168" s="340"/>
      <c r="J168" s="340"/>
      <c r="K168" s="340"/>
      <c r="L168" s="340"/>
      <c r="M168" s="340"/>
      <c r="N168" s="340"/>
      <c r="O168" s="340"/>
      <c r="P168" s="340"/>
      <c r="Q168" s="340"/>
      <c r="R168" s="340"/>
      <c r="S168" s="340"/>
      <c r="T168" s="340"/>
      <c r="U168" s="340"/>
      <c r="V168" s="340"/>
      <c r="W168" s="340"/>
      <c r="X168" s="340"/>
      <c r="Y168" s="340"/>
      <c r="Z168" s="340"/>
    </row>
    <row r="169" ht="15.75" customHeight="1">
      <c r="A169" s="340"/>
      <c r="B169" s="340"/>
      <c r="C169" s="340"/>
      <c r="D169" s="340"/>
      <c r="E169" s="340"/>
      <c r="F169" s="340"/>
      <c r="G169" s="340"/>
      <c r="H169" s="340"/>
      <c r="I169" s="340"/>
      <c r="J169" s="340"/>
      <c r="K169" s="340"/>
      <c r="L169" s="340"/>
      <c r="M169" s="340"/>
      <c r="N169" s="340"/>
      <c r="O169" s="340"/>
      <c r="P169" s="340"/>
      <c r="Q169" s="340"/>
      <c r="R169" s="340"/>
      <c r="S169" s="340"/>
      <c r="T169" s="340"/>
      <c r="U169" s="340"/>
      <c r="V169" s="340"/>
      <c r="W169" s="340"/>
      <c r="X169" s="340"/>
      <c r="Y169" s="340"/>
      <c r="Z169" s="340"/>
    </row>
    <row r="170" ht="15.75" customHeight="1">
      <c r="A170" s="340"/>
      <c r="B170" s="340"/>
      <c r="C170" s="340"/>
      <c r="D170" s="340"/>
      <c r="E170" s="340"/>
      <c r="F170" s="340"/>
      <c r="G170" s="340"/>
      <c r="H170" s="340"/>
      <c r="I170" s="340"/>
      <c r="J170" s="340"/>
      <c r="K170" s="340"/>
      <c r="L170" s="340"/>
      <c r="M170" s="340"/>
      <c r="N170" s="340"/>
      <c r="O170" s="340"/>
      <c r="P170" s="340"/>
      <c r="Q170" s="340"/>
      <c r="R170" s="340"/>
      <c r="S170" s="340"/>
      <c r="T170" s="340"/>
      <c r="U170" s="340"/>
      <c r="V170" s="340"/>
      <c r="W170" s="340"/>
      <c r="X170" s="340"/>
      <c r="Y170" s="340"/>
      <c r="Z170" s="340"/>
    </row>
    <row r="171" ht="15.75" customHeight="1">
      <c r="A171" s="340"/>
      <c r="B171" s="340"/>
      <c r="C171" s="340"/>
      <c r="D171" s="340"/>
      <c r="E171" s="340"/>
      <c r="F171" s="340"/>
      <c r="G171" s="340"/>
      <c r="H171" s="340"/>
      <c r="I171" s="340"/>
      <c r="J171" s="340"/>
      <c r="K171" s="340"/>
      <c r="L171" s="340"/>
      <c r="M171" s="340"/>
      <c r="N171" s="340"/>
      <c r="O171" s="340"/>
      <c r="P171" s="340"/>
      <c r="Q171" s="340"/>
      <c r="R171" s="340"/>
      <c r="S171" s="340"/>
      <c r="T171" s="340"/>
      <c r="U171" s="340"/>
      <c r="V171" s="340"/>
      <c r="W171" s="340"/>
      <c r="X171" s="340"/>
      <c r="Y171" s="340"/>
      <c r="Z171" s="340"/>
    </row>
    <row r="172" ht="15.75" customHeight="1">
      <c r="A172" s="340"/>
      <c r="B172" s="340"/>
      <c r="C172" s="340"/>
      <c r="D172" s="340"/>
      <c r="E172" s="340"/>
      <c r="F172" s="340"/>
      <c r="G172" s="340"/>
      <c r="H172" s="340"/>
      <c r="I172" s="340"/>
      <c r="J172" s="340"/>
      <c r="K172" s="340"/>
      <c r="L172" s="340"/>
      <c r="M172" s="340"/>
      <c r="N172" s="340"/>
      <c r="O172" s="340"/>
      <c r="P172" s="340"/>
      <c r="Q172" s="340"/>
      <c r="R172" s="340"/>
      <c r="S172" s="340"/>
      <c r="T172" s="340"/>
      <c r="U172" s="340"/>
      <c r="V172" s="340"/>
      <c r="W172" s="340"/>
      <c r="X172" s="340"/>
      <c r="Y172" s="340"/>
      <c r="Z172" s="340"/>
    </row>
    <row r="173" ht="15.75" customHeight="1">
      <c r="A173" s="340"/>
      <c r="B173" s="340"/>
      <c r="C173" s="340"/>
      <c r="D173" s="340"/>
      <c r="E173" s="340"/>
      <c r="F173" s="340"/>
      <c r="G173" s="340"/>
      <c r="H173" s="340"/>
      <c r="I173" s="340"/>
      <c r="J173" s="340"/>
      <c r="K173" s="340"/>
      <c r="L173" s="340"/>
      <c r="M173" s="340"/>
      <c r="N173" s="340"/>
      <c r="O173" s="340"/>
      <c r="P173" s="340"/>
      <c r="Q173" s="340"/>
      <c r="R173" s="340"/>
      <c r="S173" s="340"/>
      <c r="T173" s="340"/>
      <c r="U173" s="340"/>
      <c r="V173" s="340"/>
      <c r="W173" s="340"/>
      <c r="X173" s="340"/>
      <c r="Y173" s="340"/>
      <c r="Z173" s="340"/>
    </row>
    <row r="174" ht="15.75" customHeight="1">
      <c r="A174" s="340"/>
      <c r="B174" s="340"/>
      <c r="C174" s="340"/>
      <c r="D174" s="340"/>
      <c r="E174" s="340"/>
      <c r="F174" s="340"/>
      <c r="G174" s="340"/>
      <c r="H174" s="340"/>
      <c r="I174" s="340"/>
      <c r="J174" s="340"/>
      <c r="K174" s="340"/>
      <c r="L174" s="340"/>
      <c r="M174" s="340"/>
      <c r="N174" s="340"/>
      <c r="O174" s="340"/>
      <c r="P174" s="340"/>
      <c r="Q174" s="340"/>
      <c r="R174" s="340"/>
      <c r="S174" s="340"/>
      <c r="T174" s="340"/>
      <c r="U174" s="340"/>
      <c r="V174" s="340"/>
      <c r="W174" s="340"/>
      <c r="X174" s="340"/>
      <c r="Y174" s="340"/>
      <c r="Z174" s="340"/>
    </row>
    <row r="175" ht="15.75" customHeight="1">
      <c r="A175" s="340"/>
      <c r="B175" s="340"/>
      <c r="C175" s="340"/>
      <c r="D175" s="340"/>
      <c r="E175" s="340"/>
      <c r="F175" s="340"/>
      <c r="G175" s="340"/>
      <c r="H175" s="340"/>
      <c r="I175" s="340"/>
      <c r="J175" s="340"/>
      <c r="K175" s="340"/>
      <c r="L175" s="340"/>
      <c r="M175" s="340"/>
      <c r="N175" s="340"/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</row>
    <row r="176" ht="15.75" customHeight="1">
      <c r="A176" s="340"/>
      <c r="B176" s="340"/>
      <c r="C176" s="340"/>
      <c r="D176" s="340"/>
      <c r="E176" s="340"/>
      <c r="F176" s="340"/>
      <c r="G176" s="340"/>
      <c r="H176" s="340"/>
      <c r="I176" s="340"/>
      <c r="J176" s="340"/>
      <c r="K176" s="340"/>
      <c r="L176" s="340"/>
      <c r="M176" s="340"/>
      <c r="N176" s="340"/>
      <c r="O176" s="340"/>
      <c r="P176" s="340"/>
      <c r="Q176" s="340"/>
      <c r="R176" s="340"/>
      <c r="S176" s="340"/>
      <c r="T176" s="340"/>
      <c r="U176" s="340"/>
      <c r="V176" s="340"/>
      <c r="W176" s="340"/>
      <c r="X176" s="340"/>
      <c r="Y176" s="340"/>
      <c r="Z176" s="340"/>
    </row>
    <row r="177" ht="15.75" customHeight="1">
      <c r="A177" s="340"/>
      <c r="B177" s="340"/>
      <c r="C177" s="340"/>
      <c r="D177" s="340"/>
      <c r="E177" s="340"/>
      <c r="F177" s="340"/>
      <c r="G177" s="340"/>
      <c r="H177" s="340"/>
      <c r="I177" s="340"/>
      <c r="J177" s="340"/>
      <c r="K177" s="340"/>
      <c r="L177" s="340"/>
      <c r="M177" s="340"/>
      <c r="N177" s="340"/>
      <c r="O177" s="340"/>
      <c r="P177" s="340"/>
      <c r="Q177" s="340"/>
      <c r="R177" s="340"/>
      <c r="S177" s="340"/>
      <c r="T177" s="340"/>
      <c r="U177" s="340"/>
      <c r="V177" s="340"/>
      <c r="W177" s="340"/>
      <c r="X177" s="340"/>
      <c r="Y177" s="340"/>
      <c r="Z177" s="340"/>
    </row>
    <row r="178" ht="15.75" customHeight="1">
      <c r="A178" s="340"/>
      <c r="B178" s="340"/>
      <c r="C178" s="340"/>
      <c r="D178" s="340"/>
      <c r="E178" s="340"/>
      <c r="F178" s="340"/>
      <c r="G178" s="340"/>
      <c r="H178" s="340"/>
      <c r="I178" s="340"/>
      <c r="J178" s="340"/>
      <c r="K178" s="340"/>
      <c r="L178" s="340"/>
      <c r="M178" s="340"/>
      <c r="N178" s="340"/>
      <c r="O178" s="340"/>
      <c r="P178" s="340"/>
      <c r="Q178" s="340"/>
      <c r="R178" s="340"/>
      <c r="S178" s="340"/>
      <c r="T178" s="340"/>
      <c r="U178" s="340"/>
      <c r="V178" s="340"/>
      <c r="W178" s="340"/>
      <c r="X178" s="340"/>
      <c r="Y178" s="340"/>
      <c r="Z178" s="340"/>
    </row>
    <row r="179" ht="15.75" customHeight="1">
      <c r="A179" s="340"/>
      <c r="B179" s="340"/>
      <c r="C179" s="340"/>
      <c r="D179" s="340"/>
      <c r="E179" s="340"/>
      <c r="F179" s="340"/>
      <c r="G179" s="340"/>
      <c r="H179" s="340"/>
      <c r="I179" s="340"/>
      <c r="J179" s="340"/>
      <c r="K179" s="340"/>
      <c r="L179" s="340"/>
      <c r="M179" s="340"/>
      <c r="N179" s="340"/>
      <c r="O179" s="340"/>
      <c r="P179" s="340"/>
      <c r="Q179" s="340"/>
      <c r="R179" s="340"/>
      <c r="S179" s="340"/>
      <c r="T179" s="340"/>
      <c r="U179" s="340"/>
      <c r="V179" s="340"/>
      <c r="W179" s="340"/>
      <c r="X179" s="340"/>
      <c r="Y179" s="340"/>
      <c r="Z179" s="340"/>
    </row>
    <row r="180" ht="15.75" customHeight="1">
      <c r="A180" s="340"/>
      <c r="B180" s="340"/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</row>
    <row r="181" ht="15.75" customHeight="1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N181" s="340"/>
      <c r="O181" s="340"/>
      <c r="P181" s="340"/>
      <c r="Q181" s="340"/>
      <c r="R181" s="340"/>
      <c r="S181" s="340"/>
      <c r="T181" s="340"/>
      <c r="U181" s="340"/>
      <c r="V181" s="340"/>
      <c r="W181" s="340"/>
      <c r="X181" s="340"/>
      <c r="Y181" s="340"/>
      <c r="Z181" s="340"/>
    </row>
    <row r="182" ht="15.75" customHeight="1">
      <c r="A182" s="340"/>
      <c r="B182" s="340"/>
      <c r="C182" s="340"/>
      <c r="D182" s="340"/>
      <c r="E182" s="340"/>
      <c r="F182" s="340"/>
      <c r="G182" s="340"/>
      <c r="H182" s="340"/>
      <c r="I182" s="340"/>
      <c r="J182" s="340"/>
      <c r="K182" s="340"/>
      <c r="L182" s="340"/>
      <c r="M182" s="340"/>
      <c r="N182" s="340"/>
      <c r="O182" s="340"/>
      <c r="P182" s="340"/>
      <c r="Q182" s="340"/>
      <c r="R182" s="340"/>
      <c r="S182" s="340"/>
      <c r="T182" s="340"/>
      <c r="U182" s="340"/>
      <c r="V182" s="340"/>
      <c r="W182" s="340"/>
      <c r="X182" s="340"/>
      <c r="Y182" s="340"/>
      <c r="Z182" s="340"/>
    </row>
    <row r="183" ht="15.75" customHeight="1">
      <c r="A183" s="340"/>
      <c r="B183" s="340"/>
      <c r="C183" s="340"/>
      <c r="D183" s="340"/>
      <c r="E183" s="340"/>
      <c r="F183" s="340"/>
      <c r="G183" s="340"/>
      <c r="H183" s="340"/>
      <c r="I183" s="340"/>
      <c r="J183" s="340"/>
      <c r="K183" s="340"/>
      <c r="L183" s="340"/>
      <c r="M183" s="340"/>
      <c r="N183" s="340"/>
      <c r="O183" s="340"/>
      <c r="P183" s="340"/>
      <c r="Q183" s="340"/>
      <c r="R183" s="340"/>
      <c r="S183" s="340"/>
      <c r="T183" s="340"/>
      <c r="U183" s="340"/>
      <c r="V183" s="340"/>
      <c r="W183" s="340"/>
      <c r="X183" s="340"/>
      <c r="Y183" s="340"/>
      <c r="Z183" s="340"/>
    </row>
    <row r="184" ht="15.75" customHeight="1">
      <c r="A184" s="340"/>
      <c r="B184" s="340"/>
      <c r="C184" s="340"/>
      <c r="D184" s="340"/>
      <c r="E184" s="340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40"/>
      <c r="R184" s="340"/>
      <c r="S184" s="340"/>
      <c r="T184" s="340"/>
      <c r="U184" s="340"/>
      <c r="V184" s="340"/>
      <c r="W184" s="340"/>
      <c r="X184" s="340"/>
      <c r="Y184" s="340"/>
      <c r="Z184" s="340"/>
    </row>
    <row r="185" ht="15.75" customHeight="1">
      <c r="A185" s="340"/>
      <c r="B185" s="340"/>
      <c r="C185" s="340"/>
      <c r="D185" s="340"/>
      <c r="E185" s="340"/>
      <c r="F185" s="340"/>
      <c r="G185" s="340"/>
      <c r="H185" s="340"/>
      <c r="I185" s="340"/>
      <c r="J185" s="340"/>
      <c r="K185" s="340"/>
      <c r="L185" s="340"/>
      <c r="M185" s="340"/>
      <c r="N185" s="340"/>
      <c r="O185" s="340"/>
      <c r="P185" s="340"/>
      <c r="Q185" s="340"/>
      <c r="R185" s="340"/>
      <c r="S185" s="340"/>
      <c r="T185" s="340"/>
      <c r="U185" s="340"/>
      <c r="V185" s="340"/>
      <c r="W185" s="340"/>
      <c r="X185" s="340"/>
      <c r="Y185" s="340"/>
      <c r="Z185" s="340"/>
    </row>
    <row r="186" ht="15.75" customHeight="1">
      <c r="A186" s="340"/>
      <c r="B186" s="340"/>
      <c r="C186" s="340"/>
      <c r="D186" s="340"/>
      <c r="E186" s="340"/>
      <c r="F186" s="340"/>
      <c r="G186" s="340"/>
      <c r="H186" s="340"/>
      <c r="I186" s="340"/>
      <c r="J186" s="340"/>
      <c r="K186" s="340"/>
      <c r="L186" s="340"/>
      <c r="M186" s="340"/>
      <c r="N186" s="340"/>
      <c r="O186" s="340"/>
      <c r="P186" s="340"/>
      <c r="Q186" s="340"/>
      <c r="R186" s="340"/>
      <c r="S186" s="340"/>
      <c r="T186" s="340"/>
      <c r="U186" s="340"/>
      <c r="V186" s="340"/>
      <c r="W186" s="340"/>
      <c r="X186" s="340"/>
      <c r="Y186" s="340"/>
      <c r="Z186" s="340"/>
    </row>
    <row r="187" ht="15.75" customHeight="1">
      <c r="A187" s="340"/>
      <c r="B187" s="340"/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</row>
    <row r="188" ht="15.75" customHeight="1">
      <c r="A188" s="340"/>
      <c r="B188" s="340"/>
      <c r="C188" s="340"/>
      <c r="D188" s="340"/>
      <c r="E188" s="340"/>
      <c r="F188" s="340"/>
      <c r="G188" s="340"/>
      <c r="H188" s="340"/>
      <c r="I188" s="340"/>
      <c r="J188" s="340"/>
      <c r="K188" s="340"/>
      <c r="L188" s="340"/>
      <c r="M188" s="340"/>
      <c r="N188" s="340"/>
      <c r="O188" s="340"/>
      <c r="P188" s="340"/>
      <c r="Q188" s="340"/>
      <c r="R188" s="340"/>
      <c r="S188" s="340"/>
      <c r="T188" s="340"/>
      <c r="U188" s="340"/>
      <c r="V188" s="340"/>
      <c r="W188" s="340"/>
      <c r="X188" s="340"/>
      <c r="Y188" s="340"/>
      <c r="Z188" s="340"/>
    </row>
    <row r="189" ht="15.75" customHeight="1">
      <c r="A189" s="340"/>
      <c r="B189" s="340"/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</row>
    <row r="190" ht="15.75" customHeight="1">
      <c r="A190" s="340"/>
      <c r="B190" s="340"/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</row>
    <row r="191" ht="15.75" customHeight="1">
      <c r="A191" s="340"/>
      <c r="B191" s="340"/>
      <c r="C191" s="340"/>
      <c r="D191" s="340"/>
      <c r="E191" s="340"/>
      <c r="F191" s="340"/>
      <c r="G191" s="340"/>
      <c r="H191" s="340"/>
      <c r="I191" s="340"/>
      <c r="J191" s="340"/>
      <c r="K191" s="340"/>
      <c r="L191" s="340"/>
      <c r="M191" s="340"/>
      <c r="N191" s="340"/>
      <c r="O191" s="340"/>
      <c r="P191" s="340"/>
      <c r="Q191" s="340"/>
      <c r="R191" s="340"/>
      <c r="S191" s="340"/>
      <c r="T191" s="340"/>
      <c r="U191" s="340"/>
      <c r="V191" s="340"/>
      <c r="W191" s="340"/>
      <c r="X191" s="340"/>
      <c r="Y191" s="340"/>
      <c r="Z191" s="340"/>
    </row>
    <row r="192" ht="15.75" customHeight="1">
      <c r="A192" s="340"/>
      <c r="B192" s="340"/>
      <c r="C192" s="340"/>
      <c r="D192" s="340"/>
      <c r="E192" s="340"/>
      <c r="F192" s="340"/>
      <c r="G192" s="340"/>
      <c r="H192" s="340"/>
      <c r="I192" s="340"/>
      <c r="J192" s="340"/>
      <c r="K192" s="340"/>
      <c r="L192" s="340"/>
      <c r="M192" s="340"/>
      <c r="N192" s="340"/>
      <c r="O192" s="340"/>
      <c r="P192" s="340"/>
      <c r="Q192" s="340"/>
      <c r="R192" s="340"/>
      <c r="S192" s="340"/>
      <c r="T192" s="340"/>
      <c r="U192" s="340"/>
      <c r="V192" s="340"/>
      <c r="W192" s="340"/>
      <c r="X192" s="340"/>
      <c r="Y192" s="340"/>
      <c r="Z192" s="340"/>
    </row>
    <row r="193" ht="15.75" customHeight="1">
      <c r="A193" s="340"/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40"/>
      <c r="M193" s="340"/>
      <c r="N193" s="340"/>
      <c r="O193" s="340"/>
      <c r="P193" s="340"/>
      <c r="Q193" s="340"/>
      <c r="R193" s="340"/>
      <c r="S193" s="340"/>
      <c r="T193" s="340"/>
      <c r="U193" s="340"/>
      <c r="V193" s="340"/>
      <c r="W193" s="340"/>
      <c r="X193" s="340"/>
      <c r="Y193" s="340"/>
      <c r="Z193" s="340"/>
    </row>
    <row r="194" ht="15.75" customHeight="1">
      <c r="A194" s="340"/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40"/>
      <c r="M194" s="340"/>
      <c r="N194" s="340"/>
      <c r="O194" s="340"/>
      <c r="P194" s="340"/>
      <c r="Q194" s="340"/>
      <c r="R194" s="340"/>
      <c r="S194" s="340"/>
      <c r="T194" s="340"/>
      <c r="U194" s="340"/>
      <c r="V194" s="340"/>
      <c r="W194" s="340"/>
      <c r="X194" s="340"/>
      <c r="Y194" s="340"/>
      <c r="Z194" s="340"/>
    </row>
    <row r="195" ht="15.75" customHeight="1">
      <c r="A195" s="340"/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40"/>
      <c r="M195" s="340"/>
      <c r="N195" s="340"/>
      <c r="O195" s="340"/>
      <c r="P195" s="340"/>
      <c r="Q195" s="340"/>
      <c r="R195" s="340"/>
      <c r="S195" s="340"/>
      <c r="T195" s="340"/>
      <c r="U195" s="340"/>
      <c r="V195" s="340"/>
      <c r="W195" s="340"/>
      <c r="X195" s="340"/>
      <c r="Y195" s="340"/>
      <c r="Z195" s="340"/>
    </row>
    <row r="196" ht="15.75" customHeight="1">
      <c r="A196" s="340"/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</row>
    <row r="197" ht="15.75" customHeight="1">
      <c r="A197" s="340"/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40"/>
      <c r="M197" s="340"/>
      <c r="N197" s="340"/>
      <c r="O197" s="340"/>
      <c r="P197" s="340"/>
      <c r="Q197" s="340"/>
      <c r="R197" s="340"/>
      <c r="S197" s="340"/>
      <c r="T197" s="340"/>
      <c r="U197" s="340"/>
      <c r="V197" s="340"/>
      <c r="W197" s="340"/>
      <c r="X197" s="340"/>
      <c r="Y197" s="340"/>
      <c r="Z197" s="340"/>
    </row>
    <row r="198" ht="15.75" customHeight="1">
      <c r="A198" s="340"/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40"/>
      <c r="M198" s="340"/>
      <c r="N198" s="340"/>
      <c r="O198" s="340"/>
      <c r="P198" s="340"/>
      <c r="Q198" s="340"/>
      <c r="R198" s="340"/>
      <c r="S198" s="340"/>
      <c r="T198" s="340"/>
      <c r="U198" s="340"/>
      <c r="V198" s="340"/>
      <c r="W198" s="340"/>
      <c r="X198" s="340"/>
      <c r="Y198" s="340"/>
      <c r="Z198" s="340"/>
    </row>
    <row r="199" ht="15.75" customHeight="1">
      <c r="A199" s="340"/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40"/>
      <c r="M199" s="340"/>
      <c r="N199" s="340"/>
      <c r="O199" s="340"/>
      <c r="P199" s="340"/>
      <c r="Q199" s="340"/>
      <c r="R199" s="340"/>
      <c r="S199" s="340"/>
      <c r="T199" s="340"/>
      <c r="U199" s="340"/>
      <c r="V199" s="340"/>
      <c r="W199" s="340"/>
      <c r="X199" s="340"/>
      <c r="Y199" s="340"/>
      <c r="Z199" s="340"/>
    </row>
    <row r="200" ht="15.75" customHeight="1">
      <c r="A200" s="340"/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40"/>
      <c r="M200" s="340"/>
      <c r="N200" s="340"/>
      <c r="O200" s="340"/>
      <c r="P200" s="340"/>
      <c r="Q200" s="340"/>
      <c r="R200" s="340"/>
      <c r="S200" s="340"/>
      <c r="T200" s="340"/>
      <c r="U200" s="340"/>
      <c r="V200" s="340"/>
      <c r="W200" s="340"/>
      <c r="X200" s="340"/>
      <c r="Y200" s="340"/>
      <c r="Z200" s="340"/>
    </row>
    <row r="201" ht="15.75" customHeight="1">
      <c r="A201" s="340"/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40"/>
      <c r="M201" s="340"/>
      <c r="N201" s="340"/>
      <c r="O201" s="340"/>
      <c r="P201" s="340"/>
      <c r="Q201" s="340"/>
      <c r="R201" s="340"/>
      <c r="S201" s="340"/>
      <c r="T201" s="340"/>
      <c r="U201" s="340"/>
      <c r="V201" s="340"/>
      <c r="W201" s="340"/>
      <c r="X201" s="340"/>
      <c r="Y201" s="340"/>
      <c r="Z201" s="340"/>
    </row>
    <row r="202" ht="15.75" customHeight="1">
      <c r="A202" s="340"/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40"/>
      <c r="M202" s="340"/>
      <c r="N202" s="340"/>
      <c r="O202" s="340"/>
      <c r="P202" s="340"/>
      <c r="Q202" s="340"/>
      <c r="R202" s="340"/>
      <c r="S202" s="340"/>
      <c r="T202" s="340"/>
      <c r="U202" s="340"/>
      <c r="V202" s="340"/>
      <c r="W202" s="340"/>
      <c r="X202" s="340"/>
      <c r="Y202" s="340"/>
      <c r="Z202" s="340"/>
    </row>
    <row r="203" ht="15.75" customHeight="1">
      <c r="A203" s="340"/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40"/>
      <c r="M203" s="340"/>
      <c r="N203" s="340"/>
      <c r="O203" s="340"/>
      <c r="P203" s="340"/>
      <c r="Q203" s="340"/>
      <c r="R203" s="340"/>
      <c r="S203" s="340"/>
      <c r="T203" s="340"/>
      <c r="U203" s="340"/>
      <c r="V203" s="340"/>
      <c r="W203" s="340"/>
      <c r="X203" s="340"/>
      <c r="Y203" s="340"/>
      <c r="Z203" s="340"/>
    </row>
    <row r="204" ht="15.75" customHeight="1">
      <c r="A204" s="340"/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40"/>
      <c r="M204" s="340"/>
      <c r="N204" s="340"/>
      <c r="O204" s="340"/>
      <c r="P204" s="340"/>
      <c r="Q204" s="340"/>
      <c r="R204" s="340"/>
      <c r="S204" s="340"/>
      <c r="T204" s="340"/>
      <c r="U204" s="340"/>
      <c r="V204" s="340"/>
      <c r="W204" s="340"/>
      <c r="X204" s="340"/>
      <c r="Y204" s="340"/>
      <c r="Z204" s="340"/>
    </row>
    <row r="205" ht="15.75" customHeight="1">
      <c r="A205" s="340"/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40"/>
      <c r="M205" s="340"/>
      <c r="N205" s="340"/>
      <c r="O205" s="340"/>
      <c r="P205" s="340"/>
      <c r="Q205" s="340"/>
      <c r="R205" s="340"/>
      <c r="S205" s="340"/>
      <c r="T205" s="340"/>
      <c r="U205" s="340"/>
      <c r="V205" s="340"/>
      <c r="W205" s="340"/>
      <c r="X205" s="340"/>
      <c r="Y205" s="340"/>
      <c r="Z205" s="340"/>
    </row>
    <row r="206" ht="15.75" customHeight="1">
      <c r="A206" s="340"/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40"/>
      <c r="M206" s="340"/>
      <c r="N206" s="340"/>
      <c r="O206" s="340"/>
      <c r="P206" s="340"/>
      <c r="Q206" s="340"/>
      <c r="R206" s="340"/>
      <c r="S206" s="340"/>
      <c r="T206" s="340"/>
      <c r="U206" s="340"/>
      <c r="V206" s="340"/>
      <c r="W206" s="340"/>
      <c r="X206" s="340"/>
      <c r="Y206" s="340"/>
      <c r="Z206" s="340"/>
    </row>
    <row r="207" ht="15.75" customHeight="1">
      <c r="A207" s="340"/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40"/>
      <c r="M207" s="340"/>
      <c r="N207" s="340"/>
      <c r="O207" s="340"/>
      <c r="P207" s="340"/>
      <c r="Q207" s="340"/>
      <c r="R207" s="340"/>
      <c r="S207" s="340"/>
      <c r="T207" s="340"/>
      <c r="U207" s="340"/>
      <c r="V207" s="340"/>
      <c r="W207" s="340"/>
      <c r="X207" s="340"/>
      <c r="Y207" s="340"/>
      <c r="Z207" s="340"/>
    </row>
    <row r="208" ht="15.75" customHeight="1">
      <c r="A208" s="340"/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40"/>
      <c r="M208" s="340"/>
      <c r="N208" s="340"/>
      <c r="O208" s="340"/>
      <c r="P208" s="340"/>
      <c r="Q208" s="340"/>
      <c r="R208" s="340"/>
      <c r="S208" s="340"/>
      <c r="T208" s="340"/>
      <c r="U208" s="340"/>
      <c r="V208" s="340"/>
      <c r="W208" s="340"/>
      <c r="X208" s="340"/>
      <c r="Y208" s="340"/>
      <c r="Z208" s="340"/>
    </row>
    <row r="209" ht="15.75" customHeight="1">
      <c r="A209" s="340"/>
      <c r="B209" s="340"/>
      <c r="C209" s="340"/>
      <c r="D209" s="340"/>
      <c r="E209" s="340"/>
      <c r="F209" s="340"/>
      <c r="G209" s="340"/>
      <c r="H209" s="340"/>
      <c r="I209" s="340"/>
      <c r="J209" s="340"/>
      <c r="K209" s="340"/>
      <c r="L209" s="340"/>
      <c r="M209" s="340"/>
      <c r="N209" s="340"/>
      <c r="O209" s="340"/>
      <c r="P209" s="340"/>
      <c r="Q209" s="340"/>
      <c r="R209" s="340"/>
      <c r="S209" s="340"/>
      <c r="T209" s="340"/>
      <c r="U209" s="340"/>
      <c r="V209" s="340"/>
      <c r="W209" s="340"/>
      <c r="X209" s="340"/>
      <c r="Y209" s="340"/>
      <c r="Z209" s="340"/>
    </row>
    <row r="210" ht="15.75" customHeight="1">
      <c r="A210" s="340"/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40"/>
      <c r="M210" s="340"/>
      <c r="N210" s="340"/>
      <c r="O210" s="340"/>
      <c r="P210" s="340"/>
      <c r="Q210" s="340"/>
      <c r="R210" s="340"/>
      <c r="S210" s="340"/>
      <c r="T210" s="340"/>
      <c r="U210" s="340"/>
      <c r="V210" s="340"/>
      <c r="W210" s="340"/>
      <c r="X210" s="340"/>
      <c r="Y210" s="340"/>
      <c r="Z210" s="340"/>
    </row>
    <row r="211" ht="15.75" customHeight="1">
      <c r="A211" s="340"/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40"/>
      <c r="M211" s="340"/>
      <c r="N211" s="340"/>
      <c r="O211" s="340"/>
      <c r="P211" s="340"/>
      <c r="Q211" s="340"/>
      <c r="R211" s="340"/>
      <c r="S211" s="340"/>
      <c r="T211" s="340"/>
      <c r="U211" s="340"/>
      <c r="V211" s="340"/>
      <c r="W211" s="340"/>
      <c r="X211" s="340"/>
      <c r="Y211" s="340"/>
      <c r="Z211" s="340"/>
    </row>
    <row r="212" ht="15.75" customHeight="1">
      <c r="A212" s="340"/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40"/>
      <c r="M212" s="340"/>
      <c r="N212" s="340"/>
      <c r="O212" s="340"/>
      <c r="P212" s="340"/>
      <c r="Q212" s="340"/>
      <c r="R212" s="340"/>
      <c r="S212" s="340"/>
      <c r="T212" s="340"/>
      <c r="U212" s="340"/>
      <c r="V212" s="340"/>
      <c r="W212" s="340"/>
      <c r="X212" s="340"/>
      <c r="Y212" s="340"/>
      <c r="Z212" s="340"/>
    </row>
    <row r="213" ht="15.75" customHeight="1">
      <c r="A213" s="340"/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40"/>
      <c r="M213" s="340"/>
      <c r="N213" s="340"/>
      <c r="O213" s="340"/>
      <c r="P213" s="340"/>
      <c r="Q213" s="340"/>
      <c r="R213" s="340"/>
      <c r="S213" s="340"/>
      <c r="T213" s="340"/>
      <c r="U213" s="340"/>
      <c r="V213" s="340"/>
      <c r="W213" s="340"/>
      <c r="X213" s="340"/>
      <c r="Y213" s="340"/>
      <c r="Z213" s="340"/>
    </row>
    <row r="214" ht="15.75" customHeight="1">
      <c r="A214" s="340"/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40"/>
      <c r="M214" s="340"/>
      <c r="N214" s="340"/>
      <c r="O214" s="340"/>
      <c r="P214" s="340"/>
      <c r="Q214" s="340"/>
      <c r="R214" s="340"/>
      <c r="S214" s="340"/>
      <c r="T214" s="340"/>
      <c r="U214" s="340"/>
      <c r="V214" s="340"/>
      <c r="W214" s="340"/>
      <c r="X214" s="340"/>
      <c r="Y214" s="340"/>
      <c r="Z214" s="340"/>
    </row>
    <row r="215" ht="15.75" customHeight="1">
      <c r="A215" s="340"/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40"/>
      <c r="M215" s="340"/>
      <c r="N215" s="340"/>
      <c r="O215" s="340"/>
      <c r="P215" s="340"/>
      <c r="Q215" s="340"/>
      <c r="R215" s="340"/>
      <c r="S215" s="340"/>
      <c r="T215" s="340"/>
      <c r="U215" s="340"/>
      <c r="V215" s="340"/>
      <c r="W215" s="340"/>
      <c r="X215" s="340"/>
      <c r="Y215" s="340"/>
      <c r="Z215" s="340"/>
    </row>
    <row r="216" ht="15.75" customHeight="1">
      <c r="A216" s="340"/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40"/>
      <c r="M216" s="340"/>
      <c r="N216" s="340"/>
      <c r="O216" s="340"/>
      <c r="P216" s="340"/>
      <c r="Q216" s="340"/>
      <c r="R216" s="340"/>
      <c r="S216" s="340"/>
      <c r="T216" s="340"/>
      <c r="U216" s="340"/>
      <c r="V216" s="340"/>
      <c r="W216" s="340"/>
      <c r="X216" s="340"/>
      <c r="Y216" s="340"/>
      <c r="Z216" s="340"/>
    </row>
    <row r="217" ht="15.75" customHeight="1">
      <c r="A217" s="340"/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40"/>
      <c r="M217" s="340"/>
      <c r="N217" s="340"/>
      <c r="O217" s="340"/>
      <c r="P217" s="340"/>
      <c r="Q217" s="340"/>
      <c r="R217" s="340"/>
      <c r="S217" s="340"/>
      <c r="T217" s="340"/>
      <c r="U217" s="340"/>
      <c r="V217" s="340"/>
      <c r="W217" s="340"/>
      <c r="X217" s="340"/>
      <c r="Y217" s="340"/>
      <c r="Z217" s="340"/>
    </row>
    <row r="218" ht="15.75" customHeight="1">
      <c r="A218" s="340"/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40"/>
      <c r="M218" s="340"/>
      <c r="N218" s="340"/>
      <c r="O218" s="340"/>
      <c r="P218" s="340"/>
      <c r="Q218" s="340"/>
      <c r="R218" s="340"/>
      <c r="S218" s="340"/>
      <c r="T218" s="340"/>
      <c r="U218" s="340"/>
      <c r="V218" s="340"/>
      <c r="W218" s="340"/>
      <c r="X218" s="340"/>
      <c r="Y218" s="340"/>
      <c r="Z218" s="340"/>
    </row>
    <row r="219" ht="15.75" customHeight="1">
      <c r="A219" s="340"/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40"/>
      <c r="M219" s="340"/>
      <c r="N219" s="340"/>
      <c r="O219" s="340"/>
      <c r="P219" s="340"/>
      <c r="Q219" s="340"/>
      <c r="R219" s="340"/>
      <c r="S219" s="340"/>
      <c r="T219" s="340"/>
      <c r="U219" s="340"/>
      <c r="V219" s="340"/>
      <c r="W219" s="340"/>
      <c r="X219" s="340"/>
      <c r="Y219" s="340"/>
      <c r="Z219" s="340"/>
    </row>
    <row r="220" ht="15.75" customHeight="1">
      <c r="A220" s="340"/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40"/>
      <c r="M220" s="340"/>
      <c r="N220" s="340"/>
      <c r="O220" s="340"/>
      <c r="P220" s="340"/>
      <c r="Q220" s="340"/>
      <c r="R220" s="340"/>
      <c r="S220" s="340"/>
      <c r="T220" s="340"/>
      <c r="U220" s="340"/>
      <c r="V220" s="340"/>
      <c r="W220" s="340"/>
      <c r="X220" s="340"/>
      <c r="Y220" s="340"/>
      <c r="Z220" s="340"/>
    </row>
    <row r="221" ht="15.75" customHeight="1">
      <c r="A221" s="340"/>
      <c r="B221" s="340"/>
      <c r="C221" s="340"/>
      <c r="D221" s="340"/>
      <c r="E221" s="340"/>
      <c r="F221" s="340"/>
      <c r="G221" s="340"/>
      <c r="H221" s="340"/>
      <c r="I221" s="340"/>
      <c r="J221" s="340"/>
      <c r="K221" s="340"/>
      <c r="L221" s="340"/>
      <c r="M221" s="340"/>
      <c r="N221" s="340"/>
      <c r="O221" s="340"/>
      <c r="P221" s="340"/>
      <c r="Q221" s="340"/>
      <c r="R221" s="340"/>
      <c r="S221" s="340"/>
      <c r="T221" s="340"/>
      <c r="U221" s="340"/>
      <c r="V221" s="340"/>
      <c r="W221" s="340"/>
      <c r="X221" s="340"/>
      <c r="Y221" s="340"/>
      <c r="Z221" s="340"/>
    </row>
    <row r="222" ht="15.75" customHeight="1">
      <c r="A222" s="340"/>
      <c r="B222" s="340"/>
      <c r="C222" s="340"/>
      <c r="D222" s="340"/>
      <c r="E222" s="340"/>
      <c r="F222" s="340"/>
      <c r="G222" s="340"/>
      <c r="H222" s="340"/>
      <c r="I222" s="340"/>
      <c r="J222" s="340"/>
      <c r="K222" s="340"/>
      <c r="L222" s="340"/>
      <c r="M222" s="340"/>
      <c r="N222" s="340"/>
      <c r="O222" s="340"/>
      <c r="P222" s="340"/>
      <c r="Q222" s="340"/>
      <c r="R222" s="340"/>
      <c r="S222" s="340"/>
      <c r="T222" s="340"/>
      <c r="U222" s="340"/>
      <c r="V222" s="340"/>
      <c r="W222" s="340"/>
      <c r="X222" s="340"/>
      <c r="Y222" s="340"/>
      <c r="Z222" s="340"/>
    </row>
    <row r="223" ht="15.75" customHeight="1">
      <c r="A223" s="340"/>
      <c r="B223" s="340"/>
      <c r="C223" s="340"/>
      <c r="D223" s="340"/>
      <c r="E223" s="340"/>
      <c r="F223" s="340"/>
      <c r="G223" s="340"/>
      <c r="H223" s="340"/>
      <c r="I223" s="340"/>
      <c r="J223" s="340"/>
      <c r="K223" s="340"/>
      <c r="L223" s="340"/>
      <c r="M223" s="340"/>
      <c r="N223" s="340"/>
      <c r="O223" s="340"/>
      <c r="P223" s="340"/>
      <c r="Q223" s="340"/>
      <c r="R223" s="340"/>
      <c r="S223" s="340"/>
      <c r="T223" s="340"/>
      <c r="U223" s="340"/>
      <c r="V223" s="340"/>
      <c r="W223" s="340"/>
      <c r="X223" s="340"/>
      <c r="Y223" s="340"/>
      <c r="Z223" s="340"/>
    </row>
    <row r="224" ht="15.75" customHeight="1">
      <c r="A224" s="340"/>
      <c r="B224" s="340"/>
      <c r="C224" s="340"/>
      <c r="D224" s="340"/>
      <c r="E224" s="340"/>
      <c r="F224" s="340"/>
      <c r="G224" s="340"/>
      <c r="H224" s="340"/>
      <c r="I224" s="340"/>
      <c r="J224" s="340"/>
      <c r="K224" s="340"/>
      <c r="L224" s="340"/>
      <c r="M224" s="340"/>
      <c r="N224" s="340"/>
      <c r="O224" s="340"/>
      <c r="P224" s="340"/>
      <c r="Q224" s="340"/>
      <c r="R224" s="340"/>
      <c r="S224" s="340"/>
      <c r="T224" s="340"/>
      <c r="U224" s="340"/>
      <c r="V224" s="340"/>
      <c r="W224" s="340"/>
      <c r="X224" s="340"/>
      <c r="Y224" s="340"/>
      <c r="Z224" s="340"/>
    </row>
    <row r="225" ht="15.75" customHeight="1">
      <c r="A225" s="340"/>
      <c r="B225" s="340"/>
      <c r="C225" s="340"/>
      <c r="D225" s="340"/>
      <c r="E225" s="340"/>
      <c r="F225" s="340"/>
      <c r="G225" s="340"/>
      <c r="H225" s="340"/>
      <c r="I225" s="340"/>
      <c r="J225" s="340"/>
      <c r="K225" s="340"/>
      <c r="L225" s="340"/>
      <c r="M225" s="340"/>
      <c r="N225" s="340"/>
      <c r="O225" s="340"/>
      <c r="P225" s="340"/>
      <c r="Q225" s="340"/>
      <c r="R225" s="340"/>
      <c r="S225" s="340"/>
      <c r="T225" s="340"/>
      <c r="U225" s="340"/>
      <c r="V225" s="340"/>
      <c r="W225" s="340"/>
      <c r="X225" s="340"/>
      <c r="Y225" s="340"/>
      <c r="Z225" s="340"/>
    </row>
    <row r="226" ht="15.75" customHeight="1">
      <c r="A226" s="340"/>
      <c r="B226" s="340"/>
      <c r="C226" s="340"/>
      <c r="D226" s="340"/>
      <c r="E226" s="340"/>
      <c r="F226" s="340"/>
      <c r="G226" s="340"/>
      <c r="H226" s="340"/>
      <c r="I226" s="340"/>
      <c r="J226" s="340"/>
      <c r="K226" s="340"/>
      <c r="L226" s="340"/>
      <c r="M226" s="340"/>
      <c r="N226" s="340"/>
      <c r="O226" s="340"/>
      <c r="P226" s="340"/>
      <c r="Q226" s="340"/>
      <c r="R226" s="340"/>
      <c r="S226" s="340"/>
      <c r="T226" s="340"/>
      <c r="U226" s="340"/>
      <c r="V226" s="340"/>
      <c r="W226" s="340"/>
      <c r="X226" s="340"/>
      <c r="Y226" s="340"/>
      <c r="Z226" s="340"/>
    </row>
    <row r="227" ht="15.75" customHeight="1">
      <c r="A227" s="340"/>
      <c r="B227" s="340"/>
      <c r="C227" s="340"/>
      <c r="D227" s="340"/>
      <c r="E227" s="340"/>
      <c r="F227" s="340"/>
      <c r="G227" s="340"/>
      <c r="H227" s="340"/>
      <c r="I227" s="340"/>
      <c r="J227" s="340"/>
      <c r="K227" s="340"/>
      <c r="L227" s="340"/>
      <c r="M227" s="340"/>
      <c r="N227" s="340"/>
      <c r="O227" s="340"/>
      <c r="P227" s="340"/>
      <c r="Q227" s="340"/>
      <c r="R227" s="340"/>
      <c r="S227" s="340"/>
      <c r="T227" s="340"/>
      <c r="U227" s="340"/>
      <c r="V227" s="340"/>
      <c r="W227" s="340"/>
      <c r="X227" s="340"/>
      <c r="Y227" s="340"/>
      <c r="Z227" s="340"/>
    </row>
    <row r="228" ht="15.75" customHeight="1">
      <c r="A228" s="340"/>
      <c r="B228" s="340"/>
      <c r="C228" s="340"/>
      <c r="D228" s="340"/>
      <c r="E228" s="340"/>
      <c r="F228" s="340"/>
      <c r="G228" s="340"/>
      <c r="H228" s="340"/>
      <c r="I228" s="340"/>
      <c r="J228" s="340"/>
      <c r="K228" s="340"/>
      <c r="L228" s="340"/>
      <c r="M228" s="340"/>
      <c r="N228" s="340"/>
      <c r="O228" s="340"/>
      <c r="P228" s="340"/>
      <c r="Q228" s="340"/>
      <c r="R228" s="340"/>
      <c r="S228" s="340"/>
      <c r="T228" s="340"/>
      <c r="U228" s="340"/>
      <c r="V228" s="340"/>
      <c r="W228" s="340"/>
      <c r="X228" s="340"/>
      <c r="Y228" s="340"/>
      <c r="Z228" s="340"/>
    </row>
    <row r="229" ht="15.75" customHeight="1">
      <c r="A229" s="340"/>
      <c r="B229" s="340"/>
      <c r="C229" s="340"/>
      <c r="D229" s="340"/>
      <c r="E229" s="340"/>
      <c r="F229" s="340"/>
      <c r="G229" s="340"/>
      <c r="H229" s="340"/>
      <c r="I229" s="340"/>
      <c r="J229" s="340"/>
      <c r="K229" s="340"/>
      <c r="L229" s="340"/>
      <c r="M229" s="340"/>
      <c r="N229" s="340"/>
      <c r="O229" s="340"/>
      <c r="P229" s="340"/>
      <c r="Q229" s="340"/>
      <c r="R229" s="340"/>
      <c r="S229" s="340"/>
      <c r="T229" s="340"/>
      <c r="U229" s="340"/>
      <c r="V229" s="340"/>
      <c r="W229" s="340"/>
      <c r="X229" s="340"/>
      <c r="Y229" s="340"/>
      <c r="Z229" s="340"/>
    </row>
    <row r="230" ht="15.75" customHeight="1">
      <c r="A230" s="340"/>
      <c r="B230" s="340"/>
      <c r="C230" s="340"/>
      <c r="D230" s="340"/>
      <c r="E230" s="340"/>
      <c r="F230" s="340"/>
      <c r="G230" s="340"/>
      <c r="H230" s="340"/>
      <c r="I230" s="340"/>
      <c r="J230" s="340"/>
      <c r="K230" s="340"/>
      <c r="L230" s="340"/>
      <c r="M230" s="340"/>
      <c r="N230" s="340"/>
      <c r="O230" s="340"/>
      <c r="P230" s="340"/>
      <c r="Q230" s="340"/>
      <c r="R230" s="340"/>
      <c r="S230" s="340"/>
      <c r="T230" s="340"/>
      <c r="U230" s="340"/>
      <c r="V230" s="340"/>
      <c r="W230" s="340"/>
      <c r="X230" s="340"/>
      <c r="Y230" s="340"/>
      <c r="Z230" s="340"/>
    </row>
    <row r="231" ht="15.75" customHeight="1">
      <c r="A231" s="340"/>
      <c r="B231" s="340"/>
      <c r="C231" s="340"/>
      <c r="D231" s="340"/>
      <c r="E231" s="340"/>
      <c r="F231" s="340"/>
      <c r="G231" s="340"/>
      <c r="H231" s="340"/>
      <c r="I231" s="340"/>
      <c r="J231" s="340"/>
      <c r="K231" s="340"/>
      <c r="L231" s="340"/>
      <c r="M231" s="340"/>
      <c r="N231" s="340"/>
      <c r="O231" s="340"/>
      <c r="P231" s="340"/>
      <c r="Q231" s="340"/>
      <c r="R231" s="340"/>
      <c r="S231" s="340"/>
      <c r="T231" s="340"/>
      <c r="U231" s="340"/>
      <c r="V231" s="340"/>
      <c r="W231" s="340"/>
      <c r="X231" s="340"/>
      <c r="Y231" s="340"/>
      <c r="Z231" s="340"/>
    </row>
    <row r="232" ht="15.75" customHeight="1">
      <c r="A232" s="340"/>
      <c r="B232" s="340"/>
      <c r="C232" s="340"/>
      <c r="D232" s="340"/>
      <c r="E232" s="340"/>
      <c r="F232" s="340"/>
      <c r="G232" s="340"/>
      <c r="H232" s="340"/>
      <c r="I232" s="340"/>
      <c r="J232" s="340"/>
      <c r="K232" s="340"/>
      <c r="L232" s="340"/>
      <c r="M232" s="340"/>
      <c r="N232" s="340"/>
      <c r="O232" s="340"/>
      <c r="P232" s="340"/>
      <c r="Q232" s="340"/>
      <c r="R232" s="340"/>
      <c r="S232" s="340"/>
      <c r="T232" s="340"/>
      <c r="U232" s="340"/>
      <c r="V232" s="340"/>
      <c r="W232" s="340"/>
      <c r="X232" s="340"/>
      <c r="Y232" s="340"/>
      <c r="Z232" s="340"/>
    </row>
    <row r="233" ht="15.75" customHeight="1">
      <c r="A233" s="340"/>
      <c r="B233" s="340"/>
      <c r="C233" s="340"/>
      <c r="D233" s="340"/>
      <c r="E233" s="340"/>
      <c r="F233" s="340"/>
      <c r="G233" s="340"/>
      <c r="H233" s="340"/>
      <c r="I233" s="340"/>
      <c r="J233" s="340"/>
      <c r="K233" s="340"/>
      <c r="L233" s="340"/>
      <c r="M233" s="340"/>
      <c r="N233" s="340"/>
      <c r="O233" s="340"/>
      <c r="P233" s="340"/>
      <c r="Q233" s="340"/>
      <c r="R233" s="340"/>
      <c r="S233" s="340"/>
      <c r="T233" s="340"/>
      <c r="U233" s="340"/>
      <c r="V233" s="340"/>
      <c r="W233" s="340"/>
      <c r="X233" s="340"/>
      <c r="Y233" s="340"/>
      <c r="Z233" s="340"/>
    </row>
    <row r="234" ht="15.75" customHeight="1">
      <c r="A234" s="340"/>
      <c r="B234" s="340"/>
      <c r="C234" s="340"/>
      <c r="D234" s="340"/>
      <c r="E234" s="340"/>
      <c r="F234" s="340"/>
      <c r="G234" s="340"/>
      <c r="H234" s="340"/>
      <c r="I234" s="340"/>
      <c r="J234" s="340"/>
      <c r="K234" s="340"/>
      <c r="L234" s="340"/>
      <c r="M234" s="340"/>
      <c r="N234" s="340"/>
      <c r="O234" s="340"/>
      <c r="P234" s="340"/>
      <c r="Q234" s="340"/>
      <c r="R234" s="340"/>
      <c r="S234" s="340"/>
      <c r="T234" s="340"/>
      <c r="U234" s="340"/>
      <c r="V234" s="340"/>
      <c r="W234" s="340"/>
      <c r="X234" s="340"/>
      <c r="Y234" s="340"/>
      <c r="Z234" s="340"/>
    </row>
    <row r="235" ht="15.75" customHeight="1">
      <c r="A235" s="340"/>
      <c r="B235" s="340"/>
      <c r="C235" s="340"/>
      <c r="D235" s="340"/>
      <c r="E235" s="340"/>
      <c r="F235" s="340"/>
      <c r="G235" s="340"/>
      <c r="H235" s="340"/>
      <c r="I235" s="340"/>
      <c r="J235" s="340"/>
      <c r="K235" s="340"/>
      <c r="L235" s="340"/>
      <c r="M235" s="340"/>
      <c r="N235" s="340"/>
      <c r="O235" s="340"/>
      <c r="P235" s="340"/>
      <c r="Q235" s="340"/>
      <c r="R235" s="340"/>
      <c r="S235" s="340"/>
      <c r="T235" s="340"/>
      <c r="U235" s="340"/>
      <c r="V235" s="340"/>
      <c r="W235" s="340"/>
      <c r="X235" s="340"/>
      <c r="Y235" s="340"/>
      <c r="Z235" s="340"/>
    </row>
    <row r="236" ht="15.75" customHeight="1">
      <c r="A236" s="340"/>
      <c r="B236" s="340"/>
      <c r="C236" s="340"/>
      <c r="D236" s="340"/>
      <c r="E236" s="340"/>
      <c r="F236" s="340"/>
      <c r="G236" s="340"/>
      <c r="H236" s="340"/>
      <c r="I236" s="340"/>
      <c r="J236" s="340"/>
      <c r="K236" s="340"/>
      <c r="L236" s="340"/>
      <c r="M236" s="340"/>
      <c r="N236" s="340"/>
      <c r="O236" s="340"/>
      <c r="P236" s="340"/>
      <c r="Q236" s="340"/>
      <c r="R236" s="340"/>
      <c r="S236" s="340"/>
      <c r="T236" s="340"/>
      <c r="U236" s="340"/>
      <c r="V236" s="340"/>
      <c r="W236" s="340"/>
      <c r="X236" s="340"/>
      <c r="Y236" s="340"/>
      <c r="Z236" s="340"/>
    </row>
    <row r="237" ht="15.75" customHeight="1">
      <c r="A237" s="340"/>
      <c r="B237" s="340"/>
      <c r="C237" s="340"/>
      <c r="D237" s="340"/>
      <c r="E237" s="340"/>
      <c r="F237" s="340"/>
      <c r="G237" s="340"/>
      <c r="H237" s="340"/>
      <c r="I237" s="340"/>
      <c r="J237" s="340"/>
      <c r="K237" s="340"/>
      <c r="L237" s="340"/>
      <c r="M237" s="340"/>
      <c r="N237" s="340"/>
      <c r="O237" s="340"/>
      <c r="P237" s="340"/>
      <c r="Q237" s="340"/>
      <c r="R237" s="340"/>
      <c r="S237" s="340"/>
      <c r="T237" s="340"/>
      <c r="U237" s="340"/>
      <c r="V237" s="340"/>
      <c r="W237" s="340"/>
      <c r="X237" s="340"/>
      <c r="Y237" s="340"/>
      <c r="Z237" s="340"/>
    </row>
    <row r="238" ht="15.75" customHeight="1">
      <c r="A238" s="340"/>
      <c r="B238" s="340"/>
      <c r="C238" s="340"/>
      <c r="D238" s="340"/>
      <c r="E238" s="340"/>
      <c r="F238" s="340"/>
      <c r="G238" s="340"/>
      <c r="H238" s="340"/>
      <c r="I238" s="340"/>
      <c r="J238" s="340"/>
      <c r="K238" s="340"/>
      <c r="L238" s="340"/>
      <c r="M238" s="340"/>
      <c r="N238" s="340"/>
      <c r="O238" s="340"/>
      <c r="P238" s="340"/>
      <c r="Q238" s="340"/>
      <c r="R238" s="340"/>
      <c r="S238" s="340"/>
      <c r="T238" s="340"/>
      <c r="U238" s="340"/>
      <c r="V238" s="340"/>
      <c r="W238" s="340"/>
      <c r="X238" s="340"/>
      <c r="Y238" s="340"/>
      <c r="Z238" s="340"/>
    </row>
    <row r="239" ht="15.75" customHeight="1">
      <c r="A239" s="340"/>
      <c r="B239" s="340"/>
      <c r="C239" s="340"/>
      <c r="D239" s="340"/>
      <c r="E239" s="340"/>
      <c r="F239" s="340"/>
      <c r="G239" s="340"/>
      <c r="H239" s="340"/>
      <c r="I239" s="340"/>
      <c r="J239" s="340"/>
      <c r="K239" s="340"/>
      <c r="L239" s="340"/>
      <c r="M239" s="340"/>
      <c r="N239" s="340"/>
      <c r="O239" s="340"/>
      <c r="P239" s="340"/>
      <c r="Q239" s="340"/>
      <c r="R239" s="340"/>
      <c r="S239" s="340"/>
      <c r="T239" s="340"/>
      <c r="U239" s="340"/>
      <c r="V239" s="340"/>
      <c r="W239" s="340"/>
      <c r="X239" s="340"/>
      <c r="Y239" s="340"/>
      <c r="Z239" s="340"/>
    </row>
    <row r="240" ht="15.75" customHeight="1">
      <c r="A240" s="340"/>
      <c r="B240" s="340"/>
      <c r="C240" s="340"/>
      <c r="D240" s="340"/>
      <c r="E240" s="340"/>
      <c r="F240" s="340"/>
      <c r="G240" s="340"/>
      <c r="H240" s="340"/>
      <c r="I240" s="340"/>
      <c r="J240" s="340"/>
      <c r="K240" s="340"/>
      <c r="L240" s="340"/>
      <c r="M240" s="340"/>
      <c r="N240" s="340"/>
      <c r="O240" s="340"/>
      <c r="P240" s="340"/>
      <c r="Q240" s="340"/>
      <c r="R240" s="340"/>
      <c r="S240" s="340"/>
      <c r="T240" s="340"/>
      <c r="U240" s="340"/>
      <c r="V240" s="340"/>
      <c r="W240" s="340"/>
      <c r="X240" s="340"/>
      <c r="Y240" s="340"/>
      <c r="Z240" s="340"/>
    </row>
    <row r="241" ht="15.75" customHeight="1">
      <c r="A241" s="340"/>
      <c r="B241" s="340"/>
      <c r="C241" s="340"/>
      <c r="D241" s="340"/>
      <c r="E241" s="340"/>
      <c r="F241" s="340"/>
      <c r="G241" s="340"/>
      <c r="H241" s="340"/>
      <c r="I241" s="340"/>
      <c r="J241" s="340"/>
      <c r="K241" s="340"/>
      <c r="L241" s="340"/>
      <c r="M241" s="340"/>
      <c r="N241" s="340"/>
      <c r="O241" s="340"/>
      <c r="P241" s="340"/>
      <c r="Q241" s="340"/>
      <c r="R241" s="340"/>
      <c r="S241" s="340"/>
      <c r="T241" s="340"/>
      <c r="U241" s="340"/>
      <c r="V241" s="340"/>
      <c r="W241" s="340"/>
      <c r="X241" s="340"/>
      <c r="Y241" s="340"/>
      <c r="Z241" s="340"/>
    </row>
    <row r="242" ht="15.75" customHeight="1">
      <c r="A242" s="340"/>
      <c r="B242" s="340"/>
      <c r="C242" s="340"/>
      <c r="D242" s="340"/>
      <c r="E242" s="340"/>
      <c r="F242" s="340"/>
      <c r="G242" s="340"/>
      <c r="H242" s="340"/>
      <c r="I242" s="340"/>
      <c r="J242" s="340"/>
      <c r="K242" s="340"/>
      <c r="L242" s="340"/>
      <c r="M242" s="340"/>
      <c r="N242" s="340"/>
      <c r="O242" s="340"/>
      <c r="P242" s="340"/>
      <c r="Q242" s="340"/>
      <c r="R242" s="340"/>
      <c r="S242" s="340"/>
      <c r="T242" s="340"/>
      <c r="U242" s="340"/>
      <c r="V242" s="340"/>
      <c r="W242" s="340"/>
      <c r="X242" s="340"/>
      <c r="Y242" s="340"/>
      <c r="Z242" s="340"/>
    </row>
    <row r="243" ht="15.75" customHeight="1">
      <c r="A243" s="340"/>
      <c r="B243" s="340"/>
      <c r="C243" s="340"/>
      <c r="D243" s="340"/>
      <c r="E243" s="340"/>
      <c r="F243" s="340"/>
      <c r="G243" s="340"/>
      <c r="H243" s="340"/>
      <c r="I243" s="340"/>
      <c r="J243" s="340"/>
      <c r="K243" s="340"/>
      <c r="L243" s="340"/>
      <c r="M243" s="340"/>
      <c r="N243" s="340"/>
      <c r="O243" s="340"/>
      <c r="P243" s="340"/>
      <c r="Q243" s="340"/>
      <c r="R243" s="340"/>
      <c r="S243" s="340"/>
      <c r="T243" s="340"/>
      <c r="U243" s="340"/>
      <c r="V243" s="340"/>
      <c r="W243" s="340"/>
      <c r="X243" s="340"/>
      <c r="Y243" s="340"/>
      <c r="Z243" s="340"/>
    </row>
    <row r="244" ht="15.75" customHeight="1">
      <c r="A244" s="340"/>
      <c r="B244" s="340"/>
      <c r="C244" s="340"/>
      <c r="D244" s="340"/>
      <c r="E244" s="340"/>
      <c r="F244" s="340"/>
      <c r="G244" s="340"/>
      <c r="H244" s="340"/>
      <c r="I244" s="340"/>
      <c r="J244" s="340"/>
      <c r="K244" s="340"/>
      <c r="L244" s="340"/>
      <c r="M244" s="340"/>
      <c r="N244" s="340"/>
      <c r="O244" s="340"/>
      <c r="P244" s="340"/>
      <c r="Q244" s="340"/>
      <c r="R244" s="340"/>
      <c r="S244" s="340"/>
      <c r="T244" s="340"/>
      <c r="U244" s="340"/>
      <c r="V244" s="340"/>
      <c r="W244" s="340"/>
      <c r="X244" s="340"/>
      <c r="Y244" s="340"/>
      <c r="Z244" s="340"/>
    </row>
    <row r="245" ht="15.75" customHeight="1">
      <c r="A245" s="340"/>
      <c r="B245" s="340"/>
      <c r="C245" s="340"/>
      <c r="D245" s="340"/>
      <c r="E245" s="340"/>
      <c r="F245" s="340"/>
      <c r="G245" s="340"/>
      <c r="H245" s="340"/>
      <c r="I245" s="340"/>
      <c r="J245" s="340"/>
      <c r="K245" s="340"/>
      <c r="L245" s="340"/>
      <c r="M245" s="340"/>
      <c r="N245" s="340"/>
      <c r="O245" s="340"/>
      <c r="P245" s="340"/>
      <c r="Q245" s="340"/>
      <c r="R245" s="340"/>
      <c r="S245" s="340"/>
      <c r="T245" s="340"/>
      <c r="U245" s="340"/>
      <c r="V245" s="340"/>
      <c r="W245" s="340"/>
      <c r="X245" s="340"/>
      <c r="Y245" s="340"/>
      <c r="Z245" s="340"/>
    </row>
    <row r="246" ht="15.75" customHeight="1">
      <c r="A246" s="340"/>
      <c r="B246" s="340"/>
      <c r="C246" s="340"/>
      <c r="D246" s="340"/>
      <c r="E246" s="340"/>
      <c r="F246" s="340"/>
      <c r="G246" s="340"/>
      <c r="H246" s="340"/>
      <c r="I246" s="340"/>
      <c r="J246" s="340"/>
      <c r="K246" s="340"/>
      <c r="L246" s="340"/>
      <c r="M246" s="340"/>
      <c r="N246" s="340"/>
      <c r="O246" s="340"/>
      <c r="P246" s="340"/>
      <c r="Q246" s="340"/>
      <c r="R246" s="340"/>
      <c r="S246" s="340"/>
      <c r="T246" s="340"/>
      <c r="U246" s="340"/>
      <c r="V246" s="340"/>
      <c r="W246" s="340"/>
      <c r="X246" s="340"/>
      <c r="Y246" s="340"/>
      <c r="Z246" s="340"/>
    </row>
    <row r="247" ht="15.75" customHeight="1">
      <c r="A247" s="340"/>
      <c r="B247" s="340"/>
      <c r="C247" s="340"/>
      <c r="D247" s="340"/>
      <c r="E247" s="340"/>
      <c r="F247" s="340"/>
      <c r="G247" s="340"/>
      <c r="H247" s="340"/>
      <c r="I247" s="340"/>
      <c r="J247" s="340"/>
      <c r="K247" s="340"/>
      <c r="L247" s="340"/>
      <c r="M247" s="340"/>
      <c r="N247" s="340"/>
      <c r="O247" s="340"/>
      <c r="P247" s="340"/>
      <c r="Q247" s="340"/>
      <c r="R247" s="340"/>
      <c r="S247" s="340"/>
      <c r="T247" s="340"/>
      <c r="U247" s="340"/>
      <c r="V247" s="340"/>
      <c r="W247" s="340"/>
      <c r="X247" s="340"/>
      <c r="Y247" s="340"/>
      <c r="Z247" s="340"/>
    </row>
    <row r="248" ht="15.75" customHeight="1">
      <c r="A248" s="340"/>
      <c r="B248" s="340"/>
      <c r="C248" s="340"/>
      <c r="D248" s="340"/>
      <c r="E248" s="340"/>
      <c r="F248" s="340"/>
      <c r="G248" s="340"/>
      <c r="H248" s="340"/>
      <c r="I248" s="340"/>
      <c r="J248" s="340"/>
      <c r="K248" s="340"/>
      <c r="L248" s="340"/>
      <c r="M248" s="340"/>
      <c r="N248" s="340"/>
      <c r="O248" s="340"/>
      <c r="P248" s="340"/>
      <c r="Q248" s="340"/>
      <c r="R248" s="340"/>
      <c r="S248" s="340"/>
      <c r="T248" s="340"/>
      <c r="U248" s="340"/>
      <c r="V248" s="340"/>
      <c r="W248" s="340"/>
      <c r="X248" s="340"/>
      <c r="Y248" s="340"/>
      <c r="Z248" s="340"/>
    </row>
    <row r="249" ht="15.75" customHeight="1">
      <c r="A249" s="340"/>
      <c r="B249" s="340"/>
      <c r="C249" s="340"/>
      <c r="D249" s="340"/>
      <c r="E249" s="340"/>
      <c r="F249" s="340"/>
      <c r="G249" s="340"/>
      <c r="H249" s="340"/>
      <c r="I249" s="340"/>
      <c r="J249" s="340"/>
      <c r="K249" s="340"/>
      <c r="L249" s="340"/>
      <c r="M249" s="340"/>
      <c r="N249" s="340"/>
      <c r="O249" s="340"/>
      <c r="P249" s="340"/>
      <c r="Q249" s="340"/>
      <c r="R249" s="340"/>
      <c r="S249" s="340"/>
      <c r="T249" s="340"/>
      <c r="U249" s="340"/>
      <c r="V249" s="340"/>
      <c r="W249" s="340"/>
      <c r="X249" s="340"/>
      <c r="Y249" s="340"/>
      <c r="Z249" s="340"/>
    </row>
    <row r="250" ht="15.75" customHeight="1">
      <c r="A250" s="340"/>
      <c r="B250" s="340"/>
      <c r="C250" s="340"/>
      <c r="D250" s="340"/>
      <c r="E250" s="340"/>
      <c r="F250" s="340"/>
      <c r="G250" s="340"/>
      <c r="H250" s="340"/>
      <c r="I250" s="340"/>
      <c r="J250" s="340"/>
      <c r="K250" s="340"/>
      <c r="L250" s="340"/>
      <c r="M250" s="340"/>
      <c r="N250" s="340"/>
      <c r="O250" s="340"/>
      <c r="P250" s="340"/>
      <c r="Q250" s="340"/>
      <c r="R250" s="340"/>
      <c r="S250" s="340"/>
      <c r="T250" s="340"/>
      <c r="U250" s="340"/>
      <c r="V250" s="340"/>
      <c r="W250" s="340"/>
      <c r="X250" s="340"/>
      <c r="Y250" s="340"/>
      <c r="Z250" s="340"/>
    </row>
    <row r="251" ht="15.75" customHeight="1">
      <c r="A251" s="340"/>
      <c r="B251" s="340"/>
      <c r="C251" s="340"/>
      <c r="D251" s="340"/>
      <c r="E251" s="340"/>
      <c r="F251" s="340"/>
      <c r="G251" s="340"/>
      <c r="H251" s="340"/>
      <c r="I251" s="340"/>
      <c r="J251" s="340"/>
      <c r="K251" s="340"/>
      <c r="L251" s="340"/>
      <c r="M251" s="340"/>
      <c r="N251" s="340"/>
      <c r="O251" s="340"/>
      <c r="P251" s="340"/>
      <c r="Q251" s="340"/>
      <c r="R251" s="340"/>
      <c r="S251" s="340"/>
      <c r="T251" s="340"/>
      <c r="U251" s="340"/>
      <c r="V251" s="340"/>
      <c r="W251" s="340"/>
      <c r="X251" s="340"/>
      <c r="Y251" s="340"/>
      <c r="Z251" s="340"/>
    </row>
    <row r="252" ht="15.75" customHeight="1">
      <c r="A252" s="340"/>
      <c r="B252" s="340"/>
      <c r="C252" s="340"/>
      <c r="D252" s="340"/>
      <c r="E252" s="340"/>
      <c r="F252" s="340"/>
      <c r="G252" s="340"/>
      <c r="H252" s="340"/>
      <c r="I252" s="340"/>
      <c r="J252" s="340"/>
      <c r="K252" s="340"/>
      <c r="L252" s="340"/>
      <c r="M252" s="340"/>
      <c r="N252" s="340"/>
      <c r="O252" s="340"/>
      <c r="P252" s="340"/>
      <c r="Q252" s="340"/>
      <c r="R252" s="340"/>
      <c r="S252" s="340"/>
      <c r="T252" s="340"/>
      <c r="U252" s="340"/>
      <c r="V252" s="340"/>
      <c r="W252" s="340"/>
      <c r="X252" s="340"/>
      <c r="Y252" s="340"/>
      <c r="Z252" s="340"/>
    </row>
    <row r="253" ht="15.75" customHeight="1">
      <c r="A253" s="340"/>
      <c r="B253" s="340"/>
      <c r="C253" s="340"/>
      <c r="D253" s="340"/>
      <c r="E253" s="340"/>
      <c r="F253" s="340"/>
      <c r="G253" s="340"/>
      <c r="H253" s="340"/>
      <c r="I253" s="340"/>
      <c r="J253" s="340"/>
      <c r="K253" s="340"/>
      <c r="L253" s="340"/>
      <c r="M253" s="340"/>
      <c r="N253" s="340"/>
      <c r="O253" s="340"/>
      <c r="P253" s="340"/>
      <c r="Q253" s="340"/>
      <c r="R253" s="340"/>
      <c r="S253" s="340"/>
      <c r="T253" s="340"/>
      <c r="U253" s="340"/>
      <c r="V253" s="340"/>
      <c r="W253" s="340"/>
      <c r="X253" s="340"/>
      <c r="Y253" s="340"/>
      <c r="Z253" s="340"/>
    </row>
    <row r="254" ht="15.75" customHeight="1">
      <c r="A254" s="340"/>
      <c r="B254" s="340"/>
      <c r="C254" s="340"/>
      <c r="D254" s="340"/>
      <c r="E254" s="340"/>
      <c r="F254" s="340"/>
      <c r="G254" s="340"/>
      <c r="H254" s="340"/>
      <c r="I254" s="340"/>
      <c r="J254" s="340"/>
      <c r="K254" s="340"/>
      <c r="L254" s="340"/>
      <c r="M254" s="340"/>
      <c r="N254" s="340"/>
      <c r="O254" s="340"/>
      <c r="P254" s="340"/>
      <c r="Q254" s="340"/>
      <c r="R254" s="340"/>
      <c r="S254" s="340"/>
      <c r="T254" s="340"/>
      <c r="U254" s="340"/>
      <c r="V254" s="340"/>
      <c r="W254" s="340"/>
      <c r="X254" s="340"/>
      <c r="Y254" s="340"/>
      <c r="Z254" s="340"/>
    </row>
    <row r="255" ht="15.75" customHeight="1">
      <c r="A255" s="340"/>
      <c r="B255" s="340"/>
      <c r="C255" s="340"/>
      <c r="D255" s="340"/>
      <c r="E255" s="340"/>
      <c r="F255" s="340"/>
      <c r="G255" s="340"/>
      <c r="H255" s="340"/>
      <c r="I255" s="340"/>
      <c r="J255" s="340"/>
      <c r="K255" s="340"/>
      <c r="L255" s="340"/>
      <c r="M255" s="340"/>
      <c r="N255" s="340"/>
      <c r="O255" s="340"/>
      <c r="P255" s="340"/>
      <c r="Q255" s="340"/>
      <c r="R255" s="340"/>
      <c r="S255" s="340"/>
      <c r="T255" s="340"/>
      <c r="U255" s="340"/>
      <c r="V255" s="340"/>
      <c r="W255" s="340"/>
      <c r="X255" s="340"/>
      <c r="Y255" s="340"/>
      <c r="Z255" s="340"/>
    </row>
    <row r="256" ht="15.75" customHeight="1">
      <c r="A256" s="340"/>
      <c r="B256" s="340"/>
      <c r="C256" s="340"/>
      <c r="D256" s="340"/>
      <c r="E256" s="340"/>
      <c r="F256" s="340"/>
      <c r="G256" s="340"/>
      <c r="H256" s="340"/>
      <c r="I256" s="340"/>
      <c r="J256" s="340"/>
      <c r="K256" s="340"/>
      <c r="L256" s="340"/>
      <c r="M256" s="340"/>
      <c r="N256" s="340"/>
      <c r="O256" s="340"/>
      <c r="P256" s="340"/>
      <c r="Q256" s="340"/>
      <c r="R256" s="340"/>
      <c r="S256" s="340"/>
      <c r="T256" s="340"/>
      <c r="U256" s="340"/>
      <c r="V256" s="340"/>
      <c r="W256" s="340"/>
      <c r="X256" s="340"/>
      <c r="Y256" s="340"/>
      <c r="Z256" s="340"/>
    </row>
    <row r="257" ht="15.75" customHeight="1">
      <c r="A257" s="340"/>
      <c r="B257" s="340"/>
      <c r="C257" s="340"/>
      <c r="D257" s="340"/>
      <c r="E257" s="340"/>
      <c r="F257" s="340"/>
      <c r="G257" s="340"/>
      <c r="H257" s="340"/>
      <c r="I257" s="340"/>
      <c r="J257" s="340"/>
      <c r="K257" s="340"/>
      <c r="L257" s="340"/>
      <c r="M257" s="340"/>
      <c r="N257" s="340"/>
      <c r="O257" s="340"/>
      <c r="P257" s="340"/>
      <c r="Q257" s="340"/>
      <c r="R257" s="340"/>
      <c r="S257" s="340"/>
      <c r="T257" s="340"/>
      <c r="U257" s="340"/>
      <c r="V257" s="340"/>
      <c r="W257" s="340"/>
      <c r="X257" s="340"/>
      <c r="Y257" s="340"/>
      <c r="Z257" s="340"/>
    </row>
    <row r="258" ht="15.75" customHeight="1">
      <c r="A258" s="340"/>
      <c r="B258" s="340"/>
      <c r="C258" s="340"/>
      <c r="D258" s="340"/>
      <c r="E258" s="340"/>
      <c r="F258" s="340"/>
      <c r="G258" s="340"/>
      <c r="H258" s="340"/>
      <c r="I258" s="340"/>
      <c r="J258" s="340"/>
      <c r="K258" s="340"/>
      <c r="L258" s="340"/>
      <c r="M258" s="340"/>
      <c r="N258" s="340"/>
      <c r="O258" s="340"/>
      <c r="P258" s="340"/>
      <c r="Q258" s="340"/>
      <c r="R258" s="340"/>
      <c r="S258" s="340"/>
      <c r="T258" s="340"/>
      <c r="U258" s="340"/>
      <c r="V258" s="340"/>
      <c r="W258" s="340"/>
      <c r="X258" s="340"/>
      <c r="Y258" s="340"/>
      <c r="Z258" s="340"/>
    </row>
    <row r="259" ht="15.75" customHeight="1">
      <c r="A259" s="340"/>
      <c r="B259" s="340"/>
      <c r="C259" s="340"/>
      <c r="D259" s="340"/>
      <c r="E259" s="340"/>
      <c r="F259" s="340"/>
      <c r="G259" s="340"/>
      <c r="H259" s="340"/>
      <c r="I259" s="340"/>
      <c r="J259" s="340"/>
      <c r="K259" s="340"/>
      <c r="L259" s="340"/>
      <c r="M259" s="340"/>
      <c r="N259" s="340"/>
      <c r="O259" s="340"/>
      <c r="P259" s="340"/>
      <c r="Q259" s="340"/>
      <c r="R259" s="340"/>
      <c r="S259" s="340"/>
      <c r="T259" s="340"/>
      <c r="U259" s="340"/>
      <c r="V259" s="340"/>
      <c r="W259" s="340"/>
      <c r="X259" s="340"/>
      <c r="Y259" s="340"/>
      <c r="Z259" s="340"/>
    </row>
    <row r="260" ht="15.75" customHeight="1">
      <c r="A260" s="340"/>
      <c r="B260" s="340"/>
      <c r="C260" s="340"/>
      <c r="D260" s="340"/>
      <c r="E260" s="340"/>
      <c r="F260" s="340"/>
      <c r="G260" s="340"/>
      <c r="H260" s="340"/>
      <c r="I260" s="340"/>
      <c r="J260" s="340"/>
      <c r="K260" s="340"/>
      <c r="L260" s="340"/>
      <c r="M260" s="340"/>
      <c r="N260" s="340"/>
      <c r="O260" s="340"/>
      <c r="P260" s="340"/>
      <c r="Q260" s="340"/>
      <c r="R260" s="340"/>
      <c r="S260" s="340"/>
      <c r="T260" s="340"/>
      <c r="U260" s="340"/>
      <c r="V260" s="340"/>
      <c r="W260" s="340"/>
      <c r="X260" s="340"/>
      <c r="Y260" s="340"/>
      <c r="Z260" s="340"/>
    </row>
    <row r="261" ht="15.75" customHeight="1">
      <c r="A261" s="340"/>
      <c r="B261" s="340"/>
      <c r="C261" s="340"/>
      <c r="D261" s="340"/>
      <c r="E261" s="340"/>
      <c r="F261" s="340"/>
      <c r="G261" s="340"/>
      <c r="H261" s="340"/>
      <c r="I261" s="340"/>
      <c r="J261" s="340"/>
      <c r="K261" s="340"/>
      <c r="L261" s="340"/>
      <c r="M261" s="340"/>
      <c r="N261" s="340"/>
      <c r="O261" s="340"/>
      <c r="P261" s="340"/>
      <c r="Q261" s="340"/>
      <c r="R261" s="340"/>
      <c r="S261" s="340"/>
      <c r="T261" s="340"/>
      <c r="U261" s="340"/>
      <c r="V261" s="340"/>
      <c r="W261" s="340"/>
      <c r="X261" s="340"/>
      <c r="Y261" s="340"/>
      <c r="Z261" s="340"/>
    </row>
    <row r="262" ht="15.75" customHeight="1">
      <c r="A262" s="340"/>
      <c r="B262" s="340"/>
      <c r="C262" s="340"/>
      <c r="D262" s="340"/>
      <c r="E262" s="340"/>
      <c r="F262" s="340"/>
      <c r="G262" s="340"/>
      <c r="H262" s="340"/>
      <c r="I262" s="340"/>
      <c r="J262" s="340"/>
      <c r="K262" s="340"/>
      <c r="L262" s="340"/>
      <c r="M262" s="340"/>
      <c r="N262" s="340"/>
      <c r="O262" s="340"/>
      <c r="P262" s="340"/>
      <c r="Q262" s="340"/>
      <c r="R262" s="340"/>
      <c r="S262" s="340"/>
      <c r="T262" s="340"/>
      <c r="U262" s="340"/>
      <c r="V262" s="340"/>
      <c r="W262" s="340"/>
      <c r="X262" s="340"/>
      <c r="Y262" s="340"/>
      <c r="Z262" s="340"/>
    </row>
    <row r="263" ht="15.75" customHeight="1">
      <c r="A263" s="340"/>
      <c r="B263" s="340"/>
      <c r="C263" s="340"/>
      <c r="D263" s="340"/>
      <c r="E263" s="340"/>
      <c r="F263" s="340"/>
      <c r="G263" s="340"/>
      <c r="H263" s="340"/>
      <c r="I263" s="340"/>
      <c r="J263" s="340"/>
      <c r="K263" s="340"/>
      <c r="L263" s="340"/>
      <c r="M263" s="340"/>
      <c r="N263" s="340"/>
      <c r="O263" s="340"/>
      <c r="P263" s="340"/>
      <c r="Q263" s="340"/>
      <c r="R263" s="340"/>
      <c r="S263" s="340"/>
      <c r="T263" s="340"/>
      <c r="U263" s="340"/>
      <c r="V263" s="340"/>
      <c r="W263" s="340"/>
      <c r="X263" s="340"/>
      <c r="Y263" s="340"/>
      <c r="Z263" s="340"/>
    </row>
    <row r="264" ht="15.75" customHeight="1">
      <c r="A264" s="340"/>
      <c r="B264" s="340"/>
      <c r="C264" s="340"/>
      <c r="D264" s="340"/>
      <c r="E264" s="340"/>
      <c r="F264" s="340"/>
      <c r="G264" s="340"/>
      <c r="H264" s="340"/>
      <c r="I264" s="340"/>
      <c r="J264" s="340"/>
      <c r="K264" s="340"/>
      <c r="L264" s="340"/>
      <c r="M264" s="340"/>
      <c r="N264" s="340"/>
      <c r="O264" s="340"/>
      <c r="P264" s="340"/>
      <c r="Q264" s="340"/>
      <c r="R264" s="340"/>
      <c r="S264" s="340"/>
      <c r="T264" s="340"/>
      <c r="U264" s="340"/>
      <c r="V264" s="340"/>
      <c r="W264" s="340"/>
      <c r="X264" s="340"/>
      <c r="Y264" s="340"/>
      <c r="Z264" s="340"/>
    </row>
    <row r="265" ht="15.75" customHeight="1">
      <c r="A265" s="340"/>
      <c r="B265" s="340"/>
      <c r="C265" s="340"/>
      <c r="D265" s="340"/>
      <c r="E265" s="340"/>
      <c r="F265" s="340"/>
      <c r="G265" s="340"/>
      <c r="H265" s="340"/>
      <c r="I265" s="340"/>
      <c r="J265" s="340"/>
      <c r="K265" s="340"/>
      <c r="L265" s="340"/>
      <c r="M265" s="340"/>
      <c r="N265" s="340"/>
      <c r="O265" s="340"/>
      <c r="P265" s="340"/>
      <c r="Q265" s="340"/>
      <c r="R265" s="340"/>
      <c r="S265" s="340"/>
      <c r="T265" s="340"/>
      <c r="U265" s="340"/>
      <c r="V265" s="340"/>
      <c r="W265" s="340"/>
      <c r="X265" s="340"/>
      <c r="Y265" s="340"/>
      <c r="Z265" s="340"/>
    </row>
    <row r="266" ht="15.75" customHeight="1">
      <c r="A266" s="340"/>
      <c r="B266" s="340"/>
      <c r="C266" s="340"/>
      <c r="D266" s="340"/>
      <c r="E266" s="340"/>
      <c r="F266" s="340"/>
      <c r="G266" s="340"/>
      <c r="H266" s="340"/>
      <c r="I266" s="340"/>
      <c r="J266" s="340"/>
      <c r="K266" s="340"/>
      <c r="L266" s="340"/>
      <c r="M266" s="340"/>
      <c r="N266" s="340"/>
      <c r="O266" s="340"/>
      <c r="P266" s="340"/>
      <c r="Q266" s="340"/>
      <c r="R266" s="340"/>
      <c r="S266" s="340"/>
      <c r="T266" s="340"/>
      <c r="U266" s="340"/>
      <c r="V266" s="340"/>
      <c r="W266" s="340"/>
      <c r="X266" s="340"/>
      <c r="Y266" s="340"/>
      <c r="Z266" s="340"/>
    </row>
    <row r="267" ht="15.75" customHeight="1">
      <c r="A267" s="340"/>
      <c r="B267" s="340"/>
      <c r="C267" s="340"/>
      <c r="D267" s="340"/>
      <c r="E267" s="340"/>
      <c r="F267" s="340"/>
      <c r="G267" s="340"/>
      <c r="H267" s="340"/>
      <c r="I267" s="340"/>
      <c r="J267" s="340"/>
      <c r="K267" s="340"/>
      <c r="L267" s="340"/>
      <c r="M267" s="340"/>
      <c r="N267" s="340"/>
      <c r="O267" s="340"/>
      <c r="P267" s="340"/>
      <c r="Q267" s="340"/>
      <c r="R267" s="340"/>
      <c r="S267" s="340"/>
      <c r="T267" s="340"/>
      <c r="U267" s="340"/>
      <c r="V267" s="340"/>
      <c r="W267" s="340"/>
      <c r="X267" s="340"/>
      <c r="Y267" s="340"/>
      <c r="Z267" s="340"/>
    </row>
    <row r="268" ht="15.75" customHeight="1">
      <c r="A268" s="340"/>
      <c r="B268" s="340"/>
      <c r="C268" s="340"/>
      <c r="D268" s="340"/>
      <c r="E268" s="340"/>
      <c r="F268" s="340"/>
      <c r="G268" s="340"/>
      <c r="H268" s="340"/>
      <c r="I268" s="340"/>
      <c r="J268" s="340"/>
      <c r="K268" s="340"/>
      <c r="L268" s="340"/>
      <c r="M268" s="340"/>
      <c r="N268" s="340"/>
      <c r="O268" s="340"/>
      <c r="P268" s="340"/>
      <c r="Q268" s="340"/>
      <c r="R268" s="340"/>
      <c r="S268" s="340"/>
      <c r="T268" s="340"/>
      <c r="U268" s="340"/>
      <c r="V268" s="340"/>
      <c r="W268" s="340"/>
      <c r="X268" s="340"/>
      <c r="Y268" s="340"/>
      <c r="Z268" s="340"/>
    </row>
    <row r="269" ht="15.75" customHeight="1">
      <c r="A269" s="340"/>
      <c r="B269" s="340"/>
      <c r="C269" s="340"/>
      <c r="D269" s="340"/>
      <c r="E269" s="340"/>
      <c r="F269" s="340"/>
      <c r="G269" s="340"/>
      <c r="H269" s="340"/>
      <c r="I269" s="340"/>
      <c r="J269" s="340"/>
      <c r="K269" s="340"/>
      <c r="L269" s="340"/>
      <c r="M269" s="340"/>
      <c r="N269" s="340"/>
      <c r="O269" s="340"/>
      <c r="P269" s="340"/>
      <c r="Q269" s="340"/>
      <c r="R269" s="340"/>
      <c r="S269" s="340"/>
      <c r="T269" s="340"/>
      <c r="U269" s="340"/>
      <c r="V269" s="340"/>
      <c r="W269" s="340"/>
      <c r="X269" s="340"/>
      <c r="Y269" s="340"/>
      <c r="Z269" s="340"/>
    </row>
    <row r="270" ht="15.75" customHeight="1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0"/>
      <c r="P270" s="340"/>
      <c r="Q270" s="340"/>
      <c r="R270" s="340"/>
      <c r="S270" s="340"/>
      <c r="T270" s="340"/>
      <c r="U270" s="340"/>
      <c r="V270" s="340"/>
      <c r="W270" s="340"/>
      <c r="X270" s="340"/>
      <c r="Y270" s="340"/>
      <c r="Z270" s="340"/>
    </row>
    <row r="271" ht="15.75" customHeight="1">
      <c r="A271" s="340"/>
      <c r="B271" s="340"/>
      <c r="C271" s="340"/>
      <c r="D271" s="340"/>
      <c r="E271" s="340"/>
      <c r="F271" s="340"/>
      <c r="G271" s="340"/>
      <c r="H271" s="340"/>
      <c r="I271" s="340"/>
      <c r="J271" s="340"/>
      <c r="K271" s="340"/>
      <c r="L271" s="340"/>
      <c r="M271" s="340"/>
      <c r="N271" s="340"/>
      <c r="O271" s="340"/>
      <c r="P271" s="340"/>
      <c r="Q271" s="340"/>
      <c r="R271" s="340"/>
      <c r="S271" s="340"/>
      <c r="T271" s="340"/>
      <c r="U271" s="340"/>
      <c r="V271" s="340"/>
      <c r="W271" s="340"/>
      <c r="X271" s="340"/>
      <c r="Y271" s="340"/>
      <c r="Z271" s="340"/>
    </row>
    <row r="272" ht="15.75" customHeight="1">
      <c r="A272" s="340"/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40"/>
      <c r="M272" s="340"/>
      <c r="N272" s="340"/>
      <c r="O272" s="340"/>
      <c r="P272" s="340"/>
      <c r="Q272" s="340"/>
      <c r="R272" s="340"/>
      <c r="S272" s="340"/>
      <c r="T272" s="340"/>
      <c r="U272" s="340"/>
      <c r="V272" s="340"/>
      <c r="W272" s="340"/>
      <c r="X272" s="340"/>
      <c r="Y272" s="340"/>
      <c r="Z272" s="340"/>
    </row>
    <row r="273" ht="15.75" customHeight="1">
      <c r="A273" s="340"/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40"/>
      <c r="M273" s="340"/>
      <c r="N273" s="340"/>
      <c r="O273" s="340"/>
      <c r="P273" s="340"/>
      <c r="Q273" s="340"/>
      <c r="R273" s="340"/>
      <c r="S273" s="340"/>
      <c r="T273" s="340"/>
      <c r="U273" s="340"/>
      <c r="V273" s="340"/>
      <c r="W273" s="340"/>
      <c r="X273" s="340"/>
      <c r="Y273" s="340"/>
      <c r="Z273" s="340"/>
    </row>
    <row r="274" ht="15.75" customHeight="1">
      <c r="A274" s="340"/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40"/>
      <c r="M274" s="340"/>
      <c r="N274" s="340"/>
      <c r="O274" s="340"/>
      <c r="P274" s="340"/>
      <c r="Q274" s="340"/>
      <c r="R274" s="340"/>
      <c r="S274" s="340"/>
      <c r="T274" s="340"/>
      <c r="U274" s="340"/>
      <c r="V274" s="340"/>
      <c r="W274" s="340"/>
      <c r="X274" s="340"/>
      <c r="Y274" s="340"/>
      <c r="Z274" s="340"/>
    </row>
    <row r="275" ht="15.75" customHeight="1">
      <c r="A275" s="340"/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40"/>
      <c r="M275" s="340"/>
      <c r="N275" s="340"/>
      <c r="O275" s="340"/>
      <c r="P275" s="340"/>
      <c r="Q275" s="340"/>
      <c r="R275" s="340"/>
      <c r="S275" s="340"/>
      <c r="T275" s="340"/>
      <c r="U275" s="340"/>
      <c r="V275" s="340"/>
      <c r="W275" s="340"/>
      <c r="X275" s="340"/>
      <c r="Y275" s="340"/>
      <c r="Z275" s="340"/>
    </row>
    <row r="276" ht="15.75" customHeight="1">
      <c r="A276" s="340"/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40"/>
      <c r="M276" s="340"/>
      <c r="N276" s="340"/>
      <c r="O276" s="340"/>
      <c r="P276" s="340"/>
      <c r="Q276" s="340"/>
      <c r="R276" s="340"/>
      <c r="S276" s="340"/>
      <c r="T276" s="340"/>
      <c r="U276" s="340"/>
      <c r="V276" s="340"/>
      <c r="W276" s="340"/>
      <c r="X276" s="340"/>
      <c r="Y276" s="340"/>
      <c r="Z276" s="340"/>
    </row>
    <row r="277" ht="15.75" customHeight="1">
      <c r="A277" s="340"/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40"/>
      <c r="M277" s="340"/>
      <c r="N277" s="340"/>
      <c r="O277" s="340"/>
      <c r="P277" s="340"/>
      <c r="Q277" s="340"/>
      <c r="R277" s="340"/>
      <c r="S277" s="340"/>
      <c r="T277" s="340"/>
      <c r="U277" s="340"/>
      <c r="V277" s="340"/>
      <c r="W277" s="340"/>
      <c r="X277" s="340"/>
      <c r="Y277" s="340"/>
      <c r="Z277" s="340"/>
    </row>
    <row r="278" ht="15.75" customHeight="1">
      <c r="A278" s="340"/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40"/>
      <c r="M278" s="340"/>
      <c r="N278" s="340"/>
      <c r="O278" s="340"/>
      <c r="P278" s="340"/>
      <c r="Q278" s="340"/>
      <c r="R278" s="340"/>
      <c r="S278" s="340"/>
      <c r="T278" s="340"/>
      <c r="U278" s="340"/>
      <c r="V278" s="340"/>
      <c r="W278" s="340"/>
      <c r="X278" s="340"/>
      <c r="Y278" s="340"/>
      <c r="Z278" s="340"/>
    </row>
    <row r="279" ht="15.75" customHeight="1">
      <c r="A279" s="340"/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40"/>
      <c r="M279" s="340"/>
      <c r="N279" s="340"/>
      <c r="O279" s="340"/>
      <c r="P279" s="340"/>
      <c r="Q279" s="340"/>
      <c r="R279" s="340"/>
      <c r="S279" s="340"/>
      <c r="T279" s="340"/>
      <c r="U279" s="340"/>
      <c r="V279" s="340"/>
      <c r="W279" s="340"/>
      <c r="X279" s="340"/>
      <c r="Y279" s="340"/>
      <c r="Z279" s="340"/>
    </row>
    <row r="280" ht="15.75" customHeight="1">
      <c r="A280" s="340"/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40"/>
      <c r="M280" s="340"/>
      <c r="N280" s="340"/>
      <c r="O280" s="340"/>
      <c r="P280" s="340"/>
      <c r="Q280" s="340"/>
      <c r="R280" s="340"/>
      <c r="S280" s="340"/>
      <c r="T280" s="340"/>
      <c r="U280" s="340"/>
      <c r="V280" s="340"/>
      <c r="W280" s="340"/>
      <c r="X280" s="340"/>
      <c r="Y280" s="340"/>
      <c r="Z280" s="340"/>
    </row>
    <row r="281" ht="15.75" customHeight="1">
      <c r="A281" s="340"/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40"/>
      <c r="M281" s="340"/>
      <c r="N281" s="340"/>
      <c r="O281" s="340"/>
      <c r="P281" s="340"/>
      <c r="Q281" s="340"/>
      <c r="R281" s="340"/>
      <c r="S281" s="340"/>
      <c r="T281" s="340"/>
      <c r="U281" s="340"/>
      <c r="V281" s="340"/>
      <c r="W281" s="340"/>
      <c r="X281" s="340"/>
      <c r="Y281" s="340"/>
      <c r="Z281" s="340"/>
    </row>
    <row r="282" ht="15.75" customHeight="1">
      <c r="A282" s="340"/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40"/>
      <c r="M282" s="340"/>
      <c r="N282" s="340"/>
      <c r="O282" s="340"/>
      <c r="P282" s="340"/>
      <c r="Q282" s="340"/>
      <c r="R282" s="340"/>
      <c r="S282" s="340"/>
      <c r="T282" s="340"/>
      <c r="U282" s="340"/>
      <c r="V282" s="340"/>
      <c r="W282" s="340"/>
      <c r="X282" s="340"/>
      <c r="Y282" s="340"/>
      <c r="Z282" s="340"/>
    </row>
    <row r="283" ht="15.75" customHeight="1">
      <c r="A283" s="340"/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40"/>
      <c r="M283" s="340"/>
      <c r="N283" s="340"/>
      <c r="O283" s="340"/>
      <c r="P283" s="340"/>
      <c r="Q283" s="340"/>
      <c r="R283" s="340"/>
      <c r="S283" s="340"/>
      <c r="T283" s="340"/>
      <c r="U283" s="340"/>
      <c r="V283" s="340"/>
      <c r="W283" s="340"/>
      <c r="X283" s="340"/>
      <c r="Y283" s="340"/>
      <c r="Z283" s="340"/>
    </row>
    <row r="284" ht="15.75" customHeight="1">
      <c r="A284" s="340"/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40"/>
      <c r="M284" s="340"/>
      <c r="N284" s="340"/>
      <c r="O284" s="340"/>
      <c r="P284" s="340"/>
      <c r="Q284" s="340"/>
      <c r="R284" s="340"/>
      <c r="S284" s="340"/>
      <c r="T284" s="340"/>
      <c r="U284" s="340"/>
      <c r="V284" s="340"/>
      <c r="W284" s="340"/>
      <c r="X284" s="340"/>
      <c r="Y284" s="340"/>
      <c r="Z284" s="340"/>
    </row>
    <row r="285" ht="15.75" customHeight="1">
      <c r="A285" s="340"/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40"/>
      <c r="M285" s="340"/>
      <c r="N285" s="340"/>
      <c r="O285" s="340"/>
      <c r="P285" s="340"/>
      <c r="Q285" s="340"/>
      <c r="R285" s="340"/>
      <c r="S285" s="340"/>
      <c r="T285" s="340"/>
      <c r="U285" s="340"/>
      <c r="V285" s="340"/>
      <c r="W285" s="340"/>
      <c r="X285" s="340"/>
      <c r="Y285" s="340"/>
      <c r="Z285" s="340"/>
    </row>
    <row r="286" ht="15.75" customHeight="1">
      <c r="A286" s="340"/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40"/>
      <c r="M286" s="340"/>
      <c r="N286" s="340"/>
      <c r="O286" s="340"/>
      <c r="P286" s="340"/>
      <c r="Q286" s="340"/>
      <c r="R286" s="340"/>
      <c r="S286" s="340"/>
      <c r="T286" s="340"/>
      <c r="U286" s="340"/>
      <c r="V286" s="340"/>
      <c r="W286" s="340"/>
      <c r="X286" s="340"/>
      <c r="Y286" s="340"/>
      <c r="Z286" s="340"/>
    </row>
    <row r="287" ht="15.75" customHeight="1">
      <c r="A287" s="340"/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40"/>
      <c r="M287" s="340"/>
      <c r="N287" s="340"/>
      <c r="O287" s="340"/>
      <c r="P287" s="340"/>
      <c r="Q287" s="340"/>
      <c r="R287" s="340"/>
      <c r="S287" s="340"/>
      <c r="T287" s="340"/>
      <c r="U287" s="340"/>
      <c r="V287" s="340"/>
      <c r="W287" s="340"/>
      <c r="X287" s="340"/>
      <c r="Y287" s="340"/>
      <c r="Z287" s="340"/>
    </row>
    <row r="288" ht="15.75" customHeight="1">
      <c r="A288" s="340"/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40"/>
      <c r="M288" s="340"/>
      <c r="N288" s="340"/>
      <c r="O288" s="340"/>
      <c r="P288" s="340"/>
      <c r="Q288" s="340"/>
      <c r="R288" s="340"/>
      <c r="S288" s="340"/>
      <c r="T288" s="340"/>
      <c r="U288" s="340"/>
      <c r="V288" s="340"/>
      <c r="W288" s="340"/>
      <c r="X288" s="340"/>
      <c r="Y288" s="340"/>
      <c r="Z288" s="340"/>
    </row>
    <row r="289" ht="15.75" customHeight="1">
      <c r="A289" s="340"/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40"/>
      <c r="M289" s="340"/>
      <c r="N289" s="340"/>
      <c r="O289" s="340"/>
      <c r="P289" s="340"/>
      <c r="Q289" s="340"/>
      <c r="R289" s="340"/>
      <c r="S289" s="340"/>
      <c r="T289" s="340"/>
      <c r="U289" s="340"/>
      <c r="V289" s="340"/>
      <c r="W289" s="340"/>
      <c r="X289" s="340"/>
      <c r="Y289" s="340"/>
      <c r="Z289" s="340"/>
    </row>
    <row r="290" ht="15.75" customHeight="1">
      <c r="A290" s="340"/>
      <c r="B290" s="340"/>
      <c r="C290" s="340"/>
      <c r="D290" s="340"/>
      <c r="E290" s="340"/>
      <c r="F290" s="340"/>
      <c r="G290" s="340"/>
      <c r="H290" s="340"/>
      <c r="I290" s="340"/>
      <c r="J290" s="340"/>
      <c r="K290" s="340"/>
      <c r="L290" s="340"/>
      <c r="M290" s="340"/>
      <c r="N290" s="340"/>
      <c r="O290" s="340"/>
      <c r="P290" s="340"/>
      <c r="Q290" s="340"/>
      <c r="R290" s="340"/>
      <c r="S290" s="340"/>
      <c r="T290" s="340"/>
      <c r="U290" s="340"/>
      <c r="V290" s="340"/>
      <c r="W290" s="340"/>
      <c r="X290" s="340"/>
      <c r="Y290" s="340"/>
      <c r="Z290" s="340"/>
    </row>
    <row r="291" ht="15.75" customHeight="1">
      <c r="A291" s="340"/>
      <c r="B291" s="340"/>
      <c r="C291" s="340"/>
      <c r="D291" s="340"/>
      <c r="E291" s="340"/>
      <c r="F291" s="340"/>
      <c r="G291" s="340"/>
      <c r="H291" s="340"/>
      <c r="I291" s="340"/>
      <c r="J291" s="340"/>
      <c r="K291" s="340"/>
      <c r="L291" s="340"/>
      <c r="M291" s="340"/>
      <c r="N291" s="340"/>
      <c r="O291" s="340"/>
      <c r="P291" s="340"/>
      <c r="Q291" s="340"/>
      <c r="R291" s="340"/>
      <c r="S291" s="340"/>
      <c r="T291" s="340"/>
      <c r="U291" s="340"/>
      <c r="V291" s="340"/>
      <c r="W291" s="340"/>
      <c r="X291" s="340"/>
      <c r="Y291" s="340"/>
      <c r="Z291" s="340"/>
    </row>
    <row r="292" ht="15.75" customHeight="1">
      <c r="A292" s="340"/>
      <c r="B292" s="340"/>
      <c r="C292" s="340"/>
      <c r="D292" s="340"/>
      <c r="E292" s="340"/>
      <c r="F292" s="340"/>
      <c r="G292" s="340"/>
      <c r="H292" s="340"/>
      <c r="I292" s="340"/>
      <c r="J292" s="340"/>
      <c r="K292" s="340"/>
      <c r="L292" s="340"/>
      <c r="M292" s="340"/>
      <c r="N292" s="340"/>
      <c r="O292" s="340"/>
      <c r="P292" s="340"/>
      <c r="Q292" s="340"/>
      <c r="R292" s="340"/>
      <c r="S292" s="340"/>
      <c r="T292" s="340"/>
      <c r="U292" s="340"/>
      <c r="V292" s="340"/>
      <c r="W292" s="340"/>
      <c r="X292" s="340"/>
      <c r="Y292" s="340"/>
      <c r="Z292" s="340"/>
    </row>
    <row r="293" ht="15.75" customHeight="1">
      <c r="A293" s="340"/>
      <c r="B293" s="340"/>
      <c r="C293" s="340"/>
      <c r="D293" s="340"/>
      <c r="E293" s="340"/>
      <c r="F293" s="340"/>
      <c r="G293" s="340"/>
      <c r="H293" s="340"/>
      <c r="I293" s="340"/>
      <c r="J293" s="340"/>
      <c r="K293" s="340"/>
      <c r="L293" s="340"/>
      <c r="M293" s="340"/>
      <c r="N293" s="340"/>
      <c r="O293" s="340"/>
      <c r="P293" s="340"/>
      <c r="Q293" s="340"/>
      <c r="R293" s="340"/>
      <c r="S293" s="340"/>
      <c r="T293" s="340"/>
      <c r="U293" s="340"/>
      <c r="V293" s="340"/>
      <c r="W293" s="340"/>
      <c r="X293" s="340"/>
      <c r="Y293" s="340"/>
      <c r="Z293" s="340"/>
    </row>
    <row r="294" ht="15.75" customHeight="1">
      <c r="A294" s="340"/>
      <c r="B294" s="340"/>
      <c r="C294" s="340"/>
      <c r="D294" s="340"/>
      <c r="E294" s="340"/>
      <c r="F294" s="340"/>
      <c r="G294" s="340"/>
      <c r="H294" s="340"/>
      <c r="I294" s="340"/>
      <c r="J294" s="340"/>
      <c r="K294" s="340"/>
      <c r="L294" s="340"/>
      <c r="M294" s="340"/>
      <c r="N294" s="340"/>
      <c r="O294" s="340"/>
      <c r="P294" s="340"/>
      <c r="Q294" s="340"/>
      <c r="R294" s="340"/>
      <c r="S294" s="340"/>
      <c r="T294" s="340"/>
      <c r="U294" s="340"/>
      <c r="V294" s="340"/>
      <c r="W294" s="340"/>
      <c r="X294" s="340"/>
      <c r="Y294" s="340"/>
      <c r="Z294" s="340"/>
    </row>
    <row r="295" ht="15.75" customHeight="1">
      <c r="A295" s="340"/>
      <c r="B295" s="340"/>
      <c r="C295" s="340"/>
      <c r="D295" s="340"/>
      <c r="E295" s="340"/>
      <c r="F295" s="340"/>
      <c r="G295" s="340"/>
      <c r="H295" s="340"/>
      <c r="I295" s="340"/>
      <c r="J295" s="340"/>
      <c r="K295" s="340"/>
      <c r="L295" s="340"/>
      <c r="M295" s="340"/>
      <c r="N295" s="340"/>
      <c r="O295" s="340"/>
      <c r="P295" s="340"/>
      <c r="Q295" s="340"/>
      <c r="R295" s="340"/>
      <c r="S295" s="340"/>
      <c r="T295" s="340"/>
      <c r="U295" s="340"/>
      <c r="V295" s="340"/>
      <c r="W295" s="340"/>
      <c r="X295" s="340"/>
      <c r="Y295" s="340"/>
      <c r="Z295" s="340"/>
    </row>
    <row r="296" ht="15.75" customHeight="1">
      <c r="A296" s="340"/>
      <c r="B296" s="340"/>
      <c r="C296" s="340"/>
      <c r="D296" s="340"/>
      <c r="E296" s="340"/>
      <c r="F296" s="340"/>
      <c r="G296" s="340"/>
      <c r="H296" s="340"/>
      <c r="I296" s="340"/>
      <c r="J296" s="340"/>
      <c r="K296" s="340"/>
      <c r="L296" s="340"/>
      <c r="M296" s="340"/>
      <c r="N296" s="340"/>
      <c r="O296" s="340"/>
      <c r="P296" s="340"/>
      <c r="Q296" s="340"/>
      <c r="R296" s="340"/>
      <c r="S296" s="340"/>
      <c r="T296" s="340"/>
      <c r="U296" s="340"/>
      <c r="V296" s="340"/>
      <c r="W296" s="340"/>
      <c r="X296" s="340"/>
      <c r="Y296" s="340"/>
      <c r="Z296" s="340"/>
    </row>
    <row r="297" ht="15.75" customHeight="1">
      <c r="A297" s="340"/>
      <c r="B297" s="340"/>
      <c r="C297" s="340"/>
      <c r="D297" s="340"/>
      <c r="E297" s="340"/>
      <c r="F297" s="340"/>
      <c r="G297" s="340"/>
      <c r="H297" s="340"/>
      <c r="I297" s="340"/>
      <c r="J297" s="340"/>
      <c r="K297" s="340"/>
      <c r="L297" s="340"/>
      <c r="M297" s="340"/>
      <c r="N297" s="340"/>
      <c r="O297" s="340"/>
      <c r="P297" s="340"/>
      <c r="Q297" s="340"/>
      <c r="R297" s="340"/>
      <c r="S297" s="340"/>
      <c r="T297" s="340"/>
      <c r="U297" s="340"/>
      <c r="V297" s="340"/>
      <c r="W297" s="340"/>
      <c r="X297" s="340"/>
      <c r="Y297" s="340"/>
      <c r="Z297" s="340"/>
    </row>
    <row r="298" ht="15.75" customHeight="1">
      <c r="A298" s="340"/>
      <c r="B298" s="340"/>
      <c r="C298" s="340"/>
      <c r="D298" s="340"/>
      <c r="E298" s="340"/>
      <c r="F298" s="340"/>
      <c r="G298" s="340"/>
      <c r="H298" s="340"/>
      <c r="I298" s="340"/>
      <c r="J298" s="340"/>
      <c r="K298" s="340"/>
      <c r="L298" s="340"/>
      <c r="M298" s="340"/>
      <c r="N298" s="340"/>
      <c r="O298" s="340"/>
      <c r="P298" s="340"/>
      <c r="Q298" s="340"/>
      <c r="R298" s="340"/>
      <c r="S298" s="340"/>
      <c r="T298" s="340"/>
      <c r="U298" s="340"/>
      <c r="V298" s="340"/>
      <c r="W298" s="340"/>
      <c r="X298" s="340"/>
      <c r="Y298" s="340"/>
      <c r="Z298" s="340"/>
    </row>
    <row r="299" ht="15.75" customHeight="1">
      <c r="A299" s="340"/>
      <c r="B299" s="340"/>
      <c r="C299" s="340"/>
      <c r="D299" s="340"/>
      <c r="E299" s="340"/>
      <c r="F299" s="340"/>
      <c r="G299" s="340"/>
      <c r="H299" s="340"/>
      <c r="I299" s="340"/>
      <c r="J299" s="340"/>
      <c r="K299" s="340"/>
      <c r="L299" s="340"/>
      <c r="M299" s="340"/>
      <c r="N299" s="340"/>
      <c r="O299" s="340"/>
      <c r="P299" s="340"/>
      <c r="Q299" s="340"/>
      <c r="R299" s="340"/>
      <c r="S299" s="340"/>
      <c r="T299" s="340"/>
      <c r="U299" s="340"/>
      <c r="V299" s="340"/>
      <c r="W299" s="340"/>
      <c r="X299" s="340"/>
      <c r="Y299" s="340"/>
      <c r="Z299" s="340"/>
    </row>
    <row r="300" ht="15.75" customHeight="1">
      <c r="A300" s="340"/>
      <c r="B300" s="340"/>
      <c r="C300" s="340"/>
      <c r="D300" s="340"/>
      <c r="E300" s="340"/>
      <c r="F300" s="340"/>
      <c r="G300" s="340"/>
      <c r="H300" s="340"/>
      <c r="I300" s="340"/>
      <c r="J300" s="340"/>
      <c r="K300" s="340"/>
      <c r="L300" s="340"/>
      <c r="M300" s="340"/>
      <c r="N300" s="340"/>
      <c r="O300" s="340"/>
      <c r="P300" s="340"/>
      <c r="Q300" s="340"/>
      <c r="R300" s="340"/>
      <c r="S300" s="340"/>
      <c r="T300" s="340"/>
      <c r="U300" s="340"/>
      <c r="V300" s="340"/>
      <c r="W300" s="340"/>
      <c r="X300" s="340"/>
      <c r="Y300" s="340"/>
      <c r="Z300" s="340"/>
    </row>
    <row r="301" ht="15.75" customHeight="1">
      <c r="A301" s="340"/>
      <c r="B301" s="340"/>
      <c r="C301" s="340"/>
      <c r="D301" s="340"/>
      <c r="E301" s="340"/>
      <c r="F301" s="340"/>
      <c r="G301" s="340"/>
      <c r="H301" s="340"/>
      <c r="I301" s="340"/>
      <c r="J301" s="340"/>
      <c r="K301" s="340"/>
      <c r="L301" s="340"/>
      <c r="M301" s="340"/>
      <c r="N301" s="340"/>
      <c r="O301" s="340"/>
      <c r="P301" s="340"/>
      <c r="Q301" s="340"/>
      <c r="R301" s="340"/>
      <c r="S301" s="340"/>
      <c r="T301" s="340"/>
      <c r="U301" s="340"/>
      <c r="V301" s="340"/>
      <c r="W301" s="340"/>
      <c r="X301" s="340"/>
      <c r="Y301" s="340"/>
      <c r="Z301" s="340"/>
    </row>
    <row r="302" ht="15.75" customHeight="1">
      <c r="A302" s="340"/>
      <c r="B302" s="340"/>
      <c r="C302" s="340"/>
      <c r="D302" s="340"/>
      <c r="E302" s="340"/>
      <c r="F302" s="340"/>
      <c r="G302" s="340"/>
      <c r="H302" s="340"/>
      <c r="I302" s="340"/>
      <c r="J302" s="340"/>
      <c r="K302" s="340"/>
      <c r="L302" s="340"/>
      <c r="M302" s="340"/>
      <c r="N302" s="340"/>
      <c r="O302" s="340"/>
      <c r="P302" s="340"/>
      <c r="Q302" s="340"/>
      <c r="R302" s="340"/>
      <c r="S302" s="340"/>
      <c r="T302" s="340"/>
      <c r="U302" s="340"/>
      <c r="V302" s="340"/>
      <c r="W302" s="340"/>
      <c r="X302" s="340"/>
      <c r="Y302" s="340"/>
      <c r="Z302" s="340"/>
    </row>
    <row r="303" ht="15.75" customHeight="1">
      <c r="A303" s="340"/>
      <c r="B303" s="340"/>
      <c r="C303" s="340"/>
      <c r="D303" s="340"/>
      <c r="E303" s="340"/>
      <c r="F303" s="340"/>
      <c r="G303" s="340"/>
      <c r="H303" s="340"/>
      <c r="I303" s="340"/>
      <c r="J303" s="340"/>
      <c r="K303" s="340"/>
      <c r="L303" s="340"/>
      <c r="M303" s="340"/>
      <c r="N303" s="340"/>
      <c r="O303" s="340"/>
      <c r="P303" s="340"/>
      <c r="Q303" s="340"/>
      <c r="R303" s="340"/>
      <c r="S303" s="340"/>
      <c r="T303" s="340"/>
      <c r="U303" s="340"/>
      <c r="V303" s="340"/>
      <c r="W303" s="340"/>
      <c r="X303" s="340"/>
      <c r="Y303" s="340"/>
      <c r="Z303" s="340"/>
    </row>
    <row r="304" ht="15.75" customHeight="1">
      <c r="A304" s="340"/>
      <c r="B304" s="340"/>
      <c r="C304" s="340"/>
      <c r="D304" s="340"/>
      <c r="E304" s="340"/>
      <c r="F304" s="340"/>
      <c r="G304" s="340"/>
      <c r="H304" s="340"/>
      <c r="I304" s="340"/>
      <c r="J304" s="340"/>
      <c r="K304" s="340"/>
      <c r="L304" s="340"/>
      <c r="M304" s="340"/>
      <c r="N304" s="340"/>
      <c r="O304" s="340"/>
      <c r="P304" s="340"/>
      <c r="Q304" s="340"/>
      <c r="R304" s="340"/>
      <c r="S304" s="340"/>
      <c r="T304" s="340"/>
      <c r="U304" s="340"/>
      <c r="V304" s="340"/>
      <c r="W304" s="340"/>
      <c r="X304" s="340"/>
      <c r="Y304" s="340"/>
      <c r="Z304" s="340"/>
    </row>
    <row r="305" ht="15.75" customHeight="1">
      <c r="A305" s="340"/>
      <c r="B305" s="340"/>
      <c r="C305" s="340"/>
      <c r="D305" s="340"/>
      <c r="E305" s="340"/>
      <c r="F305" s="340"/>
      <c r="G305" s="340"/>
      <c r="H305" s="340"/>
      <c r="I305" s="340"/>
      <c r="J305" s="340"/>
      <c r="K305" s="340"/>
      <c r="L305" s="340"/>
      <c r="M305" s="340"/>
      <c r="N305" s="340"/>
      <c r="O305" s="340"/>
      <c r="P305" s="340"/>
      <c r="Q305" s="340"/>
      <c r="R305" s="340"/>
      <c r="S305" s="340"/>
      <c r="T305" s="340"/>
      <c r="U305" s="340"/>
      <c r="V305" s="340"/>
      <c r="W305" s="340"/>
      <c r="X305" s="340"/>
      <c r="Y305" s="340"/>
      <c r="Z305" s="340"/>
    </row>
    <row r="306" ht="15.75" customHeight="1">
      <c r="A306" s="340"/>
      <c r="B306" s="340"/>
      <c r="C306" s="340"/>
      <c r="D306" s="340"/>
      <c r="E306" s="340"/>
      <c r="F306" s="340"/>
      <c r="G306" s="340"/>
      <c r="H306" s="340"/>
      <c r="I306" s="340"/>
      <c r="J306" s="340"/>
      <c r="K306" s="340"/>
      <c r="L306" s="340"/>
      <c r="M306" s="340"/>
      <c r="N306" s="340"/>
      <c r="O306" s="340"/>
      <c r="P306" s="340"/>
      <c r="Q306" s="340"/>
      <c r="R306" s="340"/>
      <c r="S306" s="340"/>
      <c r="T306" s="340"/>
      <c r="U306" s="340"/>
      <c r="V306" s="340"/>
      <c r="W306" s="340"/>
      <c r="X306" s="340"/>
      <c r="Y306" s="340"/>
      <c r="Z306" s="340"/>
    </row>
    <row r="307" ht="15.75" customHeight="1">
      <c r="A307" s="340"/>
      <c r="B307" s="340"/>
      <c r="C307" s="340"/>
      <c r="D307" s="340"/>
      <c r="E307" s="340"/>
      <c r="F307" s="340"/>
      <c r="G307" s="340"/>
      <c r="H307" s="340"/>
      <c r="I307" s="340"/>
      <c r="J307" s="340"/>
      <c r="K307" s="340"/>
      <c r="L307" s="340"/>
      <c r="M307" s="340"/>
      <c r="N307" s="340"/>
      <c r="O307" s="340"/>
      <c r="P307" s="340"/>
      <c r="Q307" s="340"/>
      <c r="R307" s="340"/>
      <c r="S307" s="340"/>
      <c r="T307" s="340"/>
      <c r="U307" s="340"/>
      <c r="V307" s="340"/>
      <c r="W307" s="340"/>
      <c r="X307" s="340"/>
      <c r="Y307" s="340"/>
      <c r="Z307" s="340"/>
    </row>
    <row r="308" ht="15.75" customHeight="1">
      <c r="A308" s="340"/>
      <c r="B308" s="340"/>
      <c r="C308" s="340"/>
      <c r="D308" s="340"/>
      <c r="E308" s="340"/>
      <c r="F308" s="340"/>
      <c r="G308" s="340"/>
      <c r="H308" s="340"/>
      <c r="I308" s="340"/>
      <c r="J308" s="340"/>
      <c r="K308" s="340"/>
      <c r="L308" s="340"/>
      <c r="M308" s="340"/>
      <c r="N308" s="340"/>
      <c r="O308" s="340"/>
      <c r="P308" s="340"/>
      <c r="Q308" s="340"/>
      <c r="R308" s="340"/>
      <c r="S308" s="340"/>
      <c r="T308" s="340"/>
      <c r="U308" s="340"/>
      <c r="V308" s="340"/>
      <c r="W308" s="340"/>
      <c r="X308" s="340"/>
      <c r="Y308" s="340"/>
      <c r="Z308" s="340"/>
    </row>
    <row r="309" ht="15.75" customHeight="1">
      <c r="A309" s="340"/>
      <c r="B309" s="340"/>
      <c r="C309" s="340"/>
      <c r="D309" s="340"/>
      <c r="E309" s="340"/>
      <c r="F309" s="340"/>
      <c r="G309" s="340"/>
      <c r="H309" s="340"/>
      <c r="I309" s="340"/>
      <c r="J309" s="340"/>
      <c r="K309" s="340"/>
      <c r="L309" s="340"/>
      <c r="M309" s="340"/>
      <c r="N309" s="340"/>
      <c r="O309" s="340"/>
      <c r="P309" s="340"/>
      <c r="Q309" s="340"/>
      <c r="R309" s="340"/>
      <c r="S309" s="340"/>
      <c r="T309" s="340"/>
      <c r="U309" s="340"/>
      <c r="V309" s="340"/>
      <c r="W309" s="340"/>
      <c r="X309" s="340"/>
      <c r="Y309" s="340"/>
      <c r="Z309" s="340"/>
    </row>
    <row r="310" ht="15.75" customHeight="1">
      <c r="A310" s="340"/>
      <c r="B310" s="340"/>
      <c r="C310" s="340"/>
      <c r="D310" s="340"/>
      <c r="E310" s="340"/>
      <c r="F310" s="340"/>
      <c r="G310" s="340"/>
      <c r="H310" s="340"/>
      <c r="I310" s="340"/>
      <c r="J310" s="340"/>
      <c r="K310" s="340"/>
      <c r="L310" s="340"/>
      <c r="M310" s="340"/>
      <c r="N310" s="340"/>
      <c r="O310" s="340"/>
      <c r="P310" s="340"/>
      <c r="Q310" s="340"/>
      <c r="R310" s="340"/>
      <c r="S310" s="340"/>
      <c r="T310" s="340"/>
      <c r="U310" s="340"/>
      <c r="V310" s="340"/>
      <c r="W310" s="340"/>
      <c r="X310" s="340"/>
      <c r="Y310" s="340"/>
      <c r="Z310" s="340"/>
    </row>
    <row r="311" ht="15.75" customHeight="1">
      <c r="A311" s="340"/>
      <c r="B311" s="340"/>
      <c r="C311" s="340"/>
      <c r="D311" s="340"/>
      <c r="E311" s="340"/>
      <c r="F311" s="340"/>
      <c r="G311" s="340"/>
      <c r="H311" s="340"/>
      <c r="I311" s="340"/>
      <c r="J311" s="340"/>
      <c r="K311" s="340"/>
      <c r="L311" s="340"/>
      <c r="M311" s="340"/>
      <c r="N311" s="340"/>
      <c r="O311" s="340"/>
      <c r="P311" s="340"/>
      <c r="Q311" s="340"/>
      <c r="R311" s="340"/>
      <c r="S311" s="340"/>
      <c r="T311" s="340"/>
      <c r="U311" s="340"/>
      <c r="V311" s="340"/>
      <c r="W311" s="340"/>
      <c r="X311" s="340"/>
      <c r="Y311" s="340"/>
      <c r="Z311" s="340"/>
    </row>
    <row r="312" ht="15.75" customHeight="1">
      <c r="A312" s="340"/>
      <c r="B312" s="340"/>
      <c r="C312" s="340"/>
      <c r="D312" s="340"/>
      <c r="E312" s="340"/>
      <c r="F312" s="340"/>
      <c r="G312" s="340"/>
      <c r="H312" s="340"/>
      <c r="I312" s="340"/>
      <c r="J312" s="340"/>
      <c r="K312" s="340"/>
      <c r="L312" s="340"/>
      <c r="M312" s="340"/>
      <c r="N312" s="340"/>
      <c r="O312" s="340"/>
      <c r="P312" s="340"/>
      <c r="Q312" s="340"/>
      <c r="R312" s="340"/>
      <c r="S312" s="340"/>
      <c r="T312" s="340"/>
      <c r="U312" s="340"/>
      <c r="V312" s="340"/>
      <c r="W312" s="340"/>
      <c r="X312" s="340"/>
      <c r="Y312" s="340"/>
      <c r="Z312" s="340"/>
    </row>
    <row r="313" ht="15.75" customHeight="1">
      <c r="A313" s="340"/>
      <c r="B313" s="340"/>
      <c r="C313" s="340"/>
      <c r="D313" s="340"/>
      <c r="E313" s="340"/>
      <c r="F313" s="340"/>
      <c r="G313" s="340"/>
      <c r="H313" s="340"/>
      <c r="I313" s="340"/>
      <c r="J313" s="340"/>
      <c r="K313" s="340"/>
      <c r="L313" s="340"/>
      <c r="M313" s="340"/>
      <c r="N313" s="340"/>
      <c r="O313" s="340"/>
      <c r="P313" s="340"/>
      <c r="Q313" s="340"/>
      <c r="R313" s="340"/>
      <c r="S313" s="340"/>
      <c r="T313" s="340"/>
      <c r="U313" s="340"/>
      <c r="V313" s="340"/>
      <c r="W313" s="340"/>
      <c r="X313" s="340"/>
      <c r="Y313" s="340"/>
      <c r="Z313" s="340"/>
    </row>
    <row r="314" ht="15.75" customHeight="1">
      <c r="A314" s="340"/>
      <c r="B314" s="340"/>
      <c r="C314" s="340"/>
      <c r="D314" s="340"/>
      <c r="E314" s="340"/>
      <c r="F314" s="340"/>
      <c r="G314" s="340"/>
      <c r="H314" s="340"/>
      <c r="I314" s="340"/>
      <c r="J314" s="340"/>
      <c r="K314" s="340"/>
      <c r="L314" s="340"/>
      <c r="M314" s="340"/>
      <c r="N314" s="340"/>
      <c r="O314" s="340"/>
      <c r="P314" s="340"/>
      <c r="Q314" s="340"/>
      <c r="R314" s="340"/>
      <c r="S314" s="340"/>
      <c r="T314" s="340"/>
      <c r="U314" s="340"/>
      <c r="V314" s="340"/>
      <c r="W314" s="340"/>
      <c r="X314" s="340"/>
      <c r="Y314" s="340"/>
      <c r="Z314" s="340"/>
    </row>
    <row r="315" ht="15.75" customHeight="1">
      <c r="A315" s="340"/>
      <c r="B315" s="340"/>
      <c r="C315" s="340"/>
      <c r="D315" s="340"/>
      <c r="E315" s="340"/>
      <c r="F315" s="340"/>
      <c r="G315" s="340"/>
      <c r="H315" s="340"/>
      <c r="I315" s="340"/>
      <c r="J315" s="340"/>
      <c r="K315" s="340"/>
      <c r="L315" s="340"/>
      <c r="M315" s="340"/>
      <c r="N315" s="340"/>
      <c r="O315" s="340"/>
      <c r="P315" s="340"/>
      <c r="Q315" s="340"/>
      <c r="R315" s="340"/>
      <c r="S315" s="340"/>
      <c r="T315" s="340"/>
      <c r="U315" s="340"/>
      <c r="V315" s="340"/>
      <c r="W315" s="340"/>
      <c r="X315" s="340"/>
      <c r="Y315" s="340"/>
      <c r="Z315" s="340"/>
    </row>
    <row r="316" ht="15.75" customHeight="1">
      <c r="A316" s="340"/>
      <c r="B316" s="340"/>
      <c r="C316" s="340"/>
      <c r="D316" s="340"/>
      <c r="E316" s="340"/>
      <c r="F316" s="340"/>
      <c r="G316" s="340"/>
      <c r="H316" s="340"/>
      <c r="I316" s="340"/>
      <c r="J316" s="340"/>
      <c r="K316" s="340"/>
      <c r="L316" s="340"/>
      <c r="M316" s="340"/>
      <c r="N316" s="340"/>
      <c r="O316" s="340"/>
      <c r="P316" s="340"/>
      <c r="Q316" s="340"/>
      <c r="R316" s="340"/>
      <c r="S316" s="340"/>
      <c r="T316" s="340"/>
      <c r="U316" s="340"/>
      <c r="V316" s="340"/>
      <c r="W316" s="340"/>
      <c r="X316" s="340"/>
      <c r="Y316" s="340"/>
      <c r="Z316" s="340"/>
    </row>
    <row r="317" ht="15.75" customHeight="1">
      <c r="A317" s="340"/>
      <c r="B317" s="340"/>
      <c r="C317" s="340"/>
      <c r="D317" s="340"/>
      <c r="E317" s="340"/>
      <c r="F317" s="340"/>
      <c r="G317" s="340"/>
      <c r="H317" s="340"/>
      <c r="I317" s="340"/>
      <c r="J317" s="340"/>
      <c r="K317" s="340"/>
      <c r="L317" s="340"/>
      <c r="M317" s="340"/>
      <c r="N317" s="340"/>
      <c r="O317" s="340"/>
      <c r="P317" s="340"/>
      <c r="Q317" s="340"/>
      <c r="R317" s="340"/>
      <c r="S317" s="340"/>
      <c r="T317" s="340"/>
      <c r="U317" s="340"/>
      <c r="V317" s="340"/>
      <c r="W317" s="340"/>
      <c r="X317" s="340"/>
      <c r="Y317" s="340"/>
      <c r="Z317" s="340"/>
    </row>
    <row r="318" ht="15.75" customHeight="1">
      <c r="A318" s="340"/>
      <c r="B318" s="340"/>
      <c r="C318" s="340"/>
      <c r="D318" s="340"/>
      <c r="E318" s="340"/>
      <c r="F318" s="340"/>
      <c r="G318" s="340"/>
      <c r="H318" s="340"/>
      <c r="I318" s="340"/>
      <c r="J318" s="340"/>
      <c r="K318" s="340"/>
      <c r="L318" s="340"/>
      <c r="M318" s="340"/>
      <c r="N318" s="340"/>
      <c r="O318" s="340"/>
      <c r="P318" s="340"/>
      <c r="Q318" s="340"/>
      <c r="R318" s="340"/>
      <c r="S318" s="340"/>
      <c r="T318" s="340"/>
      <c r="U318" s="340"/>
      <c r="V318" s="340"/>
      <c r="W318" s="340"/>
      <c r="X318" s="340"/>
      <c r="Y318" s="340"/>
      <c r="Z318" s="340"/>
    </row>
    <row r="319" ht="15.75" customHeight="1">
      <c r="A319" s="340"/>
      <c r="B319" s="340"/>
      <c r="C319" s="340"/>
      <c r="D319" s="340"/>
      <c r="E319" s="340"/>
      <c r="F319" s="340"/>
      <c r="G319" s="340"/>
      <c r="H319" s="340"/>
      <c r="I319" s="340"/>
      <c r="J319" s="340"/>
      <c r="K319" s="340"/>
      <c r="L319" s="340"/>
      <c r="M319" s="340"/>
      <c r="N319" s="340"/>
      <c r="O319" s="340"/>
      <c r="P319" s="340"/>
      <c r="Q319" s="340"/>
      <c r="R319" s="340"/>
      <c r="S319" s="340"/>
      <c r="T319" s="340"/>
      <c r="U319" s="340"/>
      <c r="V319" s="340"/>
      <c r="W319" s="340"/>
      <c r="X319" s="340"/>
      <c r="Y319" s="340"/>
      <c r="Z319" s="340"/>
    </row>
    <row r="320" ht="15.75" customHeight="1">
      <c r="A320" s="340"/>
      <c r="B320" s="340"/>
      <c r="C320" s="340"/>
      <c r="D320" s="340"/>
      <c r="E320" s="340"/>
      <c r="F320" s="340"/>
      <c r="G320" s="340"/>
      <c r="H320" s="340"/>
      <c r="I320" s="340"/>
      <c r="J320" s="340"/>
      <c r="K320" s="340"/>
      <c r="L320" s="340"/>
      <c r="M320" s="340"/>
      <c r="N320" s="340"/>
      <c r="O320" s="340"/>
      <c r="P320" s="340"/>
      <c r="Q320" s="340"/>
      <c r="R320" s="340"/>
      <c r="S320" s="340"/>
      <c r="T320" s="340"/>
      <c r="U320" s="340"/>
      <c r="V320" s="340"/>
      <c r="W320" s="340"/>
      <c r="X320" s="340"/>
      <c r="Y320" s="340"/>
      <c r="Z320" s="340"/>
    </row>
    <row r="321" ht="15.75" customHeight="1">
      <c r="A321" s="340"/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40"/>
      <c r="M321" s="340"/>
      <c r="N321" s="340"/>
      <c r="O321" s="340"/>
      <c r="P321" s="340"/>
      <c r="Q321" s="340"/>
      <c r="R321" s="340"/>
      <c r="S321" s="340"/>
      <c r="T321" s="340"/>
      <c r="U321" s="340"/>
      <c r="V321" s="340"/>
      <c r="W321" s="340"/>
      <c r="X321" s="340"/>
      <c r="Y321" s="340"/>
      <c r="Z321" s="340"/>
    </row>
    <row r="322" ht="15.75" customHeight="1">
      <c r="A322" s="340"/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40"/>
      <c r="M322" s="340"/>
      <c r="N322" s="340"/>
      <c r="O322" s="340"/>
      <c r="P322" s="340"/>
      <c r="Q322" s="340"/>
      <c r="R322" s="340"/>
      <c r="S322" s="340"/>
      <c r="T322" s="340"/>
      <c r="U322" s="340"/>
      <c r="V322" s="340"/>
      <c r="W322" s="340"/>
      <c r="X322" s="340"/>
      <c r="Y322" s="340"/>
      <c r="Z322" s="340"/>
    </row>
    <row r="323" ht="15.75" customHeight="1">
      <c r="A323" s="340"/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40"/>
      <c r="M323" s="340"/>
      <c r="N323" s="340"/>
      <c r="O323" s="340"/>
      <c r="P323" s="340"/>
      <c r="Q323" s="340"/>
      <c r="R323" s="340"/>
      <c r="S323" s="340"/>
      <c r="T323" s="340"/>
      <c r="U323" s="340"/>
      <c r="V323" s="340"/>
      <c r="W323" s="340"/>
      <c r="X323" s="340"/>
      <c r="Y323" s="340"/>
      <c r="Z323" s="340"/>
    </row>
    <row r="324" ht="15.75" customHeight="1">
      <c r="A324" s="340"/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40"/>
      <c r="M324" s="340"/>
      <c r="N324" s="340"/>
      <c r="O324" s="340"/>
      <c r="P324" s="340"/>
      <c r="Q324" s="340"/>
      <c r="R324" s="340"/>
      <c r="S324" s="340"/>
      <c r="T324" s="340"/>
      <c r="U324" s="340"/>
      <c r="V324" s="340"/>
      <c r="W324" s="340"/>
      <c r="X324" s="340"/>
      <c r="Y324" s="340"/>
      <c r="Z324" s="340"/>
    </row>
    <row r="325" ht="15.75" customHeight="1">
      <c r="A325" s="340"/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40"/>
      <c r="M325" s="340"/>
      <c r="N325" s="340"/>
      <c r="O325" s="340"/>
      <c r="P325" s="340"/>
      <c r="Q325" s="340"/>
      <c r="R325" s="340"/>
      <c r="S325" s="340"/>
      <c r="T325" s="340"/>
      <c r="U325" s="340"/>
      <c r="V325" s="340"/>
      <c r="W325" s="340"/>
      <c r="X325" s="340"/>
      <c r="Y325" s="340"/>
      <c r="Z325" s="340"/>
    </row>
    <row r="326" ht="15.75" customHeight="1">
      <c r="A326" s="340"/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40"/>
      <c r="M326" s="340"/>
      <c r="N326" s="340"/>
      <c r="O326" s="340"/>
      <c r="P326" s="340"/>
      <c r="Q326" s="340"/>
      <c r="R326" s="340"/>
      <c r="S326" s="340"/>
      <c r="T326" s="340"/>
      <c r="U326" s="340"/>
      <c r="V326" s="340"/>
      <c r="W326" s="340"/>
      <c r="X326" s="340"/>
      <c r="Y326" s="340"/>
      <c r="Z326" s="340"/>
    </row>
    <row r="327" ht="15.75" customHeight="1">
      <c r="A327" s="340"/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40"/>
      <c r="M327" s="340"/>
      <c r="N327" s="340"/>
      <c r="O327" s="340"/>
      <c r="P327" s="340"/>
      <c r="Q327" s="340"/>
      <c r="R327" s="340"/>
      <c r="S327" s="340"/>
      <c r="T327" s="340"/>
      <c r="U327" s="340"/>
      <c r="V327" s="340"/>
      <c r="W327" s="340"/>
      <c r="X327" s="340"/>
      <c r="Y327" s="340"/>
      <c r="Z327" s="340"/>
    </row>
    <row r="328" ht="15.75" customHeight="1">
      <c r="A328" s="340"/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40"/>
      <c r="M328" s="340"/>
      <c r="N328" s="340"/>
      <c r="O328" s="340"/>
      <c r="P328" s="340"/>
      <c r="Q328" s="340"/>
      <c r="R328" s="340"/>
      <c r="S328" s="340"/>
      <c r="T328" s="340"/>
      <c r="U328" s="340"/>
      <c r="V328" s="340"/>
      <c r="W328" s="340"/>
      <c r="X328" s="340"/>
      <c r="Y328" s="340"/>
      <c r="Z328" s="340"/>
    </row>
    <row r="329" ht="15.75" customHeight="1">
      <c r="A329" s="340"/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40"/>
      <c r="M329" s="340"/>
      <c r="N329" s="340"/>
      <c r="O329" s="340"/>
      <c r="P329" s="340"/>
      <c r="Q329" s="340"/>
      <c r="R329" s="340"/>
      <c r="S329" s="340"/>
      <c r="T329" s="340"/>
      <c r="U329" s="340"/>
      <c r="V329" s="340"/>
      <c r="W329" s="340"/>
      <c r="X329" s="340"/>
      <c r="Y329" s="340"/>
      <c r="Z329" s="340"/>
    </row>
    <row r="330" ht="15.75" customHeight="1">
      <c r="A330" s="340"/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40"/>
      <c r="M330" s="340"/>
      <c r="N330" s="340"/>
      <c r="O330" s="340"/>
      <c r="P330" s="340"/>
      <c r="Q330" s="340"/>
      <c r="R330" s="340"/>
      <c r="S330" s="340"/>
      <c r="T330" s="340"/>
      <c r="U330" s="340"/>
      <c r="V330" s="340"/>
      <c r="W330" s="340"/>
      <c r="X330" s="340"/>
      <c r="Y330" s="340"/>
      <c r="Z330" s="340"/>
    </row>
    <row r="331" ht="15.75" customHeight="1">
      <c r="A331" s="340"/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40"/>
      <c r="M331" s="340"/>
      <c r="N331" s="340"/>
      <c r="O331" s="340"/>
      <c r="P331" s="340"/>
      <c r="Q331" s="340"/>
      <c r="R331" s="340"/>
      <c r="S331" s="340"/>
      <c r="T331" s="340"/>
      <c r="U331" s="340"/>
      <c r="V331" s="340"/>
      <c r="W331" s="340"/>
      <c r="X331" s="340"/>
      <c r="Y331" s="340"/>
      <c r="Z331" s="340"/>
    </row>
    <row r="332" ht="15.75" customHeight="1">
      <c r="A332" s="340"/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40"/>
      <c r="M332" s="340"/>
      <c r="N332" s="340"/>
      <c r="O332" s="340"/>
      <c r="P332" s="340"/>
      <c r="Q332" s="340"/>
      <c r="R332" s="340"/>
      <c r="S332" s="340"/>
      <c r="T332" s="340"/>
      <c r="U332" s="340"/>
      <c r="V332" s="340"/>
      <c r="W332" s="340"/>
      <c r="X332" s="340"/>
      <c r="Y332" s="340"/>
      <c r="Z332" s="340"/>
    </row>
    <row r="333" ht="15.75" customHeight="1">
      <c r="A333" s="340"/>
      <c r="B333" s="340"/>
      <c r="C333" s="340"/>
      <c r="D333" s="340"/>
      <c r="E333" s="340"/>
      <c r="F333" s="340"/>
      <c r="G333" s="340"/>
      <c r="H333" s="340"/>
      <c r="I333" s="340"/>
      <c r="J333" s="340"/>
      <c r="K333" s="340"/>
      <c r="L333" s="340"/>
      <c r="M333" s="340"/>
      <c r="N333" s="340"/>
      <c r="O333" s="340"/>
      <c r="P333" s="340"/>
      <c r="Q333" s="340"/>
      <c r="R333" s="340"/>
      <c r="S333" s="340"/>
      <c r="T333" s="340"/>
      <c r="U333" s="340"/>
      <c r="V333" s="340"/>
      <c r="W333" s="340"/>
      <c r="X333" s="340"/>
      <c r="Y333" s="340"/>
      <c r="Z333" s="340"/>
    </row>
    <row r="334" ht="15.75" customHeight="1">
      <c r="A334" s="340"/>
      <c r="B334" s="340"/>
      <c r="C334" s="340"/>
      <c r="D334" s="340"/>
      <c r="E334" s="340"/>
      <c r="F334" s="340"/>
      <c r="G334" s="340"/>
      <c r="H334" s="340"/>
      <c r="I334" s="340"/>
      <c r="J334" s="340"/>
      <c r="K334" s="340"/>
      <c r="L334" s="340"/>
      <c r="M334" s="340"/>
      <c r="N334" s="340"/>
      <c r="O334" s="340"/>
      <c r="P334" s="340"/>
      <c r="Q334" s="340"/>
      <c r="R334" s="340"/>
      <c r="S334" s="340"/>
      <c r="T334" s="340"/>
      <c r="U334" s="340"/>
      <c r="V334" s="340"/>
      <c r="W334" s="340"/>
      <c r="X334" s="340"/>
      <c r="Y334" s="340"/>
      <c r="Z334" s="340"/>
    </row>
    <row r="335" ht="15.75" customHeight="1">
      <c r="A335" s="340"/>
      <c r="B335" s="340"/>
      <c r="C335" s="340"/>
      <c r="D335" s="340"/>
      <c r="E335" s="340"/>
      <c r="F335" s="340"/>
      <c r="G335" s="340"/>
      <c r="H335" s="340"/>
      <c r="I335" s="340"/>
      <c r="J335" s="340"/>
      <c r="K335" s="340"/>
      <c r="L335" s="340"/>
      <c r="M335" s="340"/>
      <c r="N335" s="340"/>
      <c r="O335" s="340"/>
      <c r="P335" s="340"/>
      <c r="Q335" s="340"/>
      <c r="R335" s="340"/>
      <c r="S335" s="340"/>
      <c r="T335" s="340"/>
      <c r="U335" s="340"/>
      <c r="V335" s="340"/>
      <c r="W335" s="340"/>
      <c r="X335" s="340"/>
      <c r="Y335" s="340"/>
      <c r="Z335" s="340"/>
    </row>
    <row r="336" ht="15.75" customHeight="1">
      <c r="A336" s="340"/>
      <c r="B336" s="340"/>
      <c r="C336" s="340"/>
      <c r="D336" s="340"/>
      <c r="E336" s="340"/>
      <c r="F336" s="340"/>
      <c r="G336" s="340"/>
      <c r="H336" s="340"/>
      <c r="I336" s="340"/>
      <c r="J336" s="340"/>
      <c r="K336" s="340"/>
      <c r="L336" s="340"/>
      <c r="M336" s="340"/>
      <c r="N336" s="340"/>
      <c r="O336" s="340"/>
      <c r="P336" s="340"/>
      <c r="Q336" s="340"/>
      <c r="R336" s="340"/>
      <c r="S336" s="340"/>
      <c r="T336" s="340"/>
      <c r="U336" s="340"/>
      <c r="V336" s="340"/>
      <c r="W336" s="340"/>
      <c r="X336" s="340"/>
      <c r="Y336" s="340"/>
      <c r="Z336" s="340"/>
    </row>
    <row r="337" ht="15.75" customHeight="1">
      <c r="A337" s="340"/>
      <c r="B337" s="340"/>
      <c r="C337" s="340"/>
      <c r="D337" s="340"/>
      <c r="E337" s="340"/>
      <c r="F337" s="340"/>
      <c r="G337" s="340"/>
      <c r="H337" s="340"/>
      <c r="I337" s="340"/>
      <c r="J337" s="340"/>
      <c r="K337" s="340"/>
      <c r="L337" s="340"/>
      <c r="M337" s="340"/>
      <c r="N337" s="340"/>
      <c r="O337" s="340"/>
      <c r="P337" s="340"/>
      <c r="Q337" s="340"/>
      <c r="R337" s="340"/>
      <c r="S337" s="340"/>
      <c r="T337" s="340"/>
      <c r="U337" s="340"/>
      <c r="V337" s="340"/>
      <c r="W337" s="340"/>
      <c r="X337" s="340"/>
      <c r="Y337" s="340"/>
      <c r="Z337" s="340"/>
    </row>
    <row r="338" ht="15.75" customHeight="1">
      <c r="A338" s="340"/>
      <c r="B338" s="340"/>
      <c r="C338" s="340"/>
      <c r="D338" s="340"/>
      <c r="E338" s="340"/>
      <c r="F338" s="340"/>
      <c r="G338" s="340"/>
      <c r="H338" s="340"/>
      <c r="I338" s="340"/>
      <c r="J338" s="340"/>
      <c r="K338" s="340"/>
      <c r="L338" s="340"/>
      <c r="M338" s="340"/>
      <c r="N338" s="340"/>
      <c r="O338" s="340"/>
      <c r="P338" s="340"/>
      <c r="Q338" s="340"/>
      <c r="R338" s="340"/>
      <c r="S338" s="340"/>
      <c r="T338" s="340"/>
      <c r="U338" s="340"/>
      <c r="V338" s="340"/>
      <c r="W338" s="340"/>
      <c r="X338" s="340"/>
      <c r="Y338" s="340"/>
      <c r="Z338" s="340"/>
    </row>
    <row r="339" ht="15.75" customHeight="1">
      <c r="A339" s="340"/>
      <c r="B339" s="340"/>
      <c r="C339" s="340"/>
      <c r="D339" s="340"/>
      <c r="E339" s="340"/>
      <c r="F339" s="340"/>
      <c r="G339" s="340"/>
      <c r="H339" s="340"/>
      <c r="I339" s="340"/>
      <c r="J339" s="340"/>
      <c r="K339" s="340"/>
      <c r="L339" s="340"/>
      <c r="M339" s="340"/>
      <c r="N339" s="340"/>
      <c r="O339" s="340"/>
      <c r="P339" s="340"/>
      <c r="Q339" s="340"/>
      <c r="R339" s="340"/>
      <c r="S339" s="340"/>
      <c r="T339" s="340"/>
      <c r="U339" s="340"/>
      <c r="V339" s="340"/>
      <c r="W339" s="340"/>
      <c r="X339" s="340"/>
      <c r="Y339" s="340"/>
      <c r="Z339" s="340"/>
    </row>
    <row r="340" ht="15.75" customHeight="1">
      <c r="A340" s="340"/>
      <c r="B340" s="340"/>
      <c r="C340" s="340"/>
      <c r="D340" s="340"/>
      <c r="E340" s="340"/>
      <c r="F340" s="340"/>
      <c r="G340" s="340"/>
      <c r="H340" s="340"/>
      <c r="I340" s="340"/>
      <c r="J340" s="340"/>
      <c r="K340" s="340"/>
      <c r="L340" s="340"/>
      <c r="M340" s="340"/>
      <c r="N340" s="340"/>
      <c r="O340" s="340"/>
      <c r="P340" s="340"/>
      <c r="Q340" s="340"/>
      <c r="R340" s="340"/>
      <c r="S340" s="340"/>
      <c r="T340" s="340"/>
      <c r="U340" s="340"/>
      <c r="V340" s="340"/>
      <c r="W340" s="340"/>
      <c r="X340" s="340"/>
      <c r="Y340" s="340"/>
      <c r="Z340" s="340"/>
    </row>
    <row r="341" ht="15.75" customHeight="1">
      <c r="A341" s="340"/>
      <c r="B341" s="340"/>
      <c r="C341" s="340"/>
      <c r="D341" s="340"/>
      <c r="E341" s="340"/>
      <c r="F341" s="340"/>
      <c r="G341" s="340"/>
      <c r="H341" s="340"/>
      <c r="I341" s="340"/>
      <c r="J341" s="340"/>
      <c r="K341" s="340"/>
      <c r="L341" s="340"/>
      <c r="M341" s="340"/>
      <c r="N341" s="340"/>
      <c r="O341" s="340"/>
      <c r="P341" s="340"/>
      <c r="Q341" s="340"/>
      <c r="R341" s="340"/>
      <c r="S341" s="340"/>
      <c r="T341" s="340"/>
      <c r="U341" s="340"/>
      <c r="V341" s="340"/>
      <c r="W341" s="340"/>
      <c r="X341" s="340"/>
      <c r="Y341" s="340"/>
      <c r="Z341" s="340"/>
    </row>
    <row r="342" ht="15.75" customHeight="1">
      <c r="A342" s="340"/>
      <c r="B342" s="340"/>
      <c r="C342" s="340"/>
      <c r="D342" s="340"/>
      <c r="E342" s="340"/>
      <c r="F342" s="340"/>
      <c r="G342" s="340"/>
      <c r="H342" s="340"/>
      <c r="I342" s="340"/>
      <c r="J342" s="340"/>
      <c r="K342" s="340"/>
      <c r="L342" s="340"/>
      <c r="M342" s="340"/>
      <c r="N342" s="340"/>
      <c r="O342" s="340"/>
      <c r="P342" s="340"/>
      <c r="Q342" s="340"/>
      <c r="R342" s="340"/>
      <c r="S342" s="340"/>
      <c r="T342" s="340"/>
      <c r="U342" s="340"/>
      <c r="V342" s="340"/>
      <c r="W342" s="340"/>
      <c r="X342" s="340"/>
      <c r="Y342" s="340"/>
      <c r="Z342" s="340"/>
    </row>
    <row r="343" ht="15.75" customHeight="1">
      <c r="A343" s="340"/>
      <c r="B343" s="340"/>
      <c r="C343" s="340"/>
      <c r="D343" s="340"/>
      <c r="E343" s="340"/>
      <c r="F343" s="340"/>
      <c r="G343" s="340"/>
      <c r="H343" s="340"/>
      <c r="I343" s="340"/>
      <c r="J343" s="340"/>
      <c r="K343" s="340"/>
      <c r="L343" s="340"/>
      <c r="M343" s="340"/>
      <c r="N343" s="340"/>
      <c r="O343" s="340"/>
      <c r="P343" s="340"/>
      <c r="Q343" s="340"/>
      <c r="R343" s="340"/>
      <c r="S343" s="340"/>
      <c r="T343" s="340"/>
      <c r="U343" s="340"/>
      <c r="V343" s="340"/>
      <c r="W343" s="340"/>
      <c r="X343" s="340"/>
      <c r="Y343" s="340"/>
      <c r="Z343" s="340"/>
    </row>
    <row r="344" ht="15.75" customHeight="1">
      <c r="A344" s="340"/>
      <c r="B344" s="340"/>
      <c r="C344" s="340"/>
      <c r="D344" s="340"/>
      <c r="E344" s="340"/>
      <c r="F344" s="340"/>
      <c r="G344" s="340"/>
      <c r="H344" s="340"/>
      <c r="I344" s="340"/>
      <c r="J344" s="340"/>
      <c r="K344" s="340"/>
      <c r="L344" s="340"/>
      <c r="M344" s="340"/>
      <c r="N344" s="340"/>
      <c r="O344" s="340"/>
      <c r="P344" s="340"/>
      <c r="Q344" s="340"/>
      <c r="R344" s="340"/>
      <c r="S344" s="340"/>
      <c r="T344" s="340"/>
      <c r="U344" s="340"/>
      <c r="V344" s="340"/>
      <c r="W344" s="340"/>
      <c r="X344" s="340"/>
      <c r="Y344" s="340"/>
      <c r="Z344" s="340"/>
    </row>
    <row r="345" ht="15.75" customHeight="1">
      <c r="A345" s="340"/>
      <c r="B345" s="340"/>
      <c r="C345" s="340"/>
      <c r="D345" s="340"/>
      <c r="E345" s="340"/>
      <c r="F345" s="340"/>
      <c r="G345" s="340"/>
      <c r="H345" s="340"/>
      <c r="I345" s="340"/>
      <c r="J345" s="340"/>
      <c r="K345" s="340"/>
      <c r="L345" s="340"/>
      <c r="M345" s="340"/>
      <c r="N345" s="340"/>
      <c r="O345" s="340"/>
      <c r="P345" s="340"/>
      <c r="Q345" s="340"/>
      <c r="R345" s="340"/>
      <c r="S345" s="340"/>
      <c r="T345" s="340"/>
      <c r="U345" s="340"/>
      <c r="V345" s="340"/>
      <c r="W345" s="340"/>
      <c r="X345" s="340"/>
      <c r="Y345" s="340"/>
      <c r="Z345" s="340"/>
    </row>
    <row r="346" ht="15.75" customHeight="1">
      <c r="A346" s="340"/>
      <c r="B346" s="340"/>
      <c r="C346" s="340"/>
      <c r="D346" s="340"/>
      <c r="E346" s="340"/>
      <c r="F346" s="340"/>
      <c r="G346" s="340"/>
      <c r="H346" s="340"/>
      <c r="I346" s="340"/>
      <c r="J346" s="340"/>
      <c r="K346" s="340"/>
      <c r="L346" s="340"/>
      <c r="M346" s="340"/>
      <c r="N346" s="340"/>
      <c r="O346" s="340"/>
      <c r="P346" s="340"/>
      <c r="Q346" s="340"/>
      <c r="R346" s="340"/>
      <c r="S346" s="340"/>
      <c r="T346" s="340"/>
      <c r="U346" s="340"/>
      <c r="V346" s="340"/>
      <c r="W346" s="340"/>
      <c r="X346" s="340"/>
      <c r="Y346" s="340"/>
      <c r="Z346" s="340"/>
    </row>
    <row r="347" ht="15.75" customHeight="1">
      <c r="A347" s="340"/>
      <c r="B347" s="340"/>
      <c r="C347" s="340"/>
      <c r="D347" s="340"/>
      <c r="E347" s="340"/>
      <c r="F347" s="340"/>
      <c r="G347" s="340"/>
      <c r="H347" s="340"/>
      <c r="I347" s="340"/>
      <c r="J347" s="340"/>
      <c r="K347" s="340"/>
      <c r="L347" s="340"/>
      <c r="M347" s="340"/>
      <c r="N347" s="340"/>
      <c r="O347" s="340"/>
      <c r="P347" s="340"/>
      <c r="Q347" s="340"/>
      <c r="R347" s="340"/>
      <c r="S347" s="340"/>
      <c r="T347" s="340"/>
      <c r="U347" s="340"/>
      <c r="V347" s="340"/>
      <c r="W347" s="340"/>
      <c r="X347" s="340"/>
      <c r="Y347" s="340"/>
      <c r="Z347" s="340"/>
    </row>
    <row r="348" ht="15.75" customHeight="1">
      <c r="A348" s="340"/>
      <c r="B348" s="340"/>
      <c r="C348" s="340"/>
      <c r="D348" s="340"/>
      <c r="E348" s="340"/>
      <c r="F348" s="340"/>
      <c r="G348" s="340"/>
      <c r="H348" s="340"/>
      <c r="I348" s="340"/>
      <c r="J348" s="340"/>
      <c r="K348" s="340"/>
      <c r="L348" s="340"/>
      <c r="M348" s="340"/>
      <c r="N348" s="340"/>
      <c r="O348" s="340"/>
      <c r="P348" s="340"/>
      <c r="Q348" s="340"/>
      <c r="R348" s="340"/>
      <c r="S348" s="340"/>
      <c r="T348" s="340"/>
      <c r="U348" s="340"/>
      <c r="V348" s="340"/>
      <c r="W348" s="340"/>
      <c r="X348" s="340"/>
      <c r="Y348" s="340"/>
      <c r="Z348" s="340"/>
    </row>
    <row r="349" ht="15.75" customHeight="1">
      <c r="A349" s="340"/>
      <c r="B349" s="340"/>
      <c r="C349" s="340"/>
      <c r="D349" s="340"/>
      <c r="E349" s="340"/>
      <c r="F349" s="340"/>
      <c r="G349" s="340"/>
      <c r="H349" s="340"/>
      <c r="I349" s="340"/>
      <c r="J349" s="340"/>
      <c r="K349" s="340"/>
      <c r="L349" s="340"/>
      <c r="M349" s="340"/>
      <c r="N349" s="340"/>
      <c r="O349" s="340"/>
      <c r="P349" s="340"/>
      <c r="Q349" s="340"/>
      <c r="R349" s="340"/>
      <c r="S349" s="340"/>
      <c r="T349" s="340"/>
      <c r="U349" s="340"/>
      <c r="V349" s="340"/>
      <c r="W349" s="340"/>
      <c r="X349" s="340"/>
      <c r="Y349" s="340"/>
      <c r="Z349" s="340"/>
    </row>
    <row r="350" ht="15.75" customHeight="1">
      <c r="A350" s="340"/>
      <c r="B350" s="340"/>
      <c r="C350" s="340"/>
      <c r="D350" s="340"/>
      <c r="E350" s="340"/>
      <c r="F350" s="340"/>
      <c r="G350" s="340"/>
      <c r="H350" s="340"/>
      <c r="I350" s="340"/>
      <c r="J350" s="340"/>
      <c r="K350" s="340"/>
      <c r="L350" s="340"/>
      <c r="M350" s="340"/>
      <c r="N350" s="340"/>
      <c r="O350" s="340"/>
      <c r="P350" s="340"/>
      <c r="Q350" s="340"/>
      <c r="R350" s="340"/>
      <c r="S350" s="340"/>
      <c r="T350" s="340"/>
      <c r="U350" s="340"/>
      <c r="V350" s="340"/>
      <c r="W350" s="340"/>
      <c r="X350" s="340"/>
      <c r="Y350" s="340"/>
      <c r="Z350" s="340"/>
    </row>
    <row r="351" ht="15.75" customHeight="1">
      <c r="A351" s="340"/>
      <c r="B351" s="340"/>
      <c r="C351" s="340"/>
      <c r="D351" s="340"/>
      <c r="E351" s="340"/>
      <c r="F351" s="340"/>
      <c r="G351" s="340"/>
      <c r="H351" s="340"/>
      <c r="I351" s="340"/>
      <c r="J351" s="340"/>
      <c r="K351" s="340"/>
      <c r="L351" s="340"/>
      <c r="M351" s="340"/>
      <c r="N351" s="340"/>
      <c r="O351" s="340"/>
      <c r="P351" s="340"/>
      <c r="Q351" s="340"/>
      <c r="R351" s="340"/>
      <c r="S351" s="340"/>
      <c r="T351" s="340"/>
      <c r="U351" s="340"/>
      <c r="V351" s="340"/>
      <c r="W351" s="340"/>
      <c r="X351" s="340"/>
      <c r="Y351" s="340"/>
      <c r="Z351" s="340"/>
    </row>
    <row r="352" ht="15.75" customHeight="1">
      <c r="A352" s="340"/>
      <c r="B352" s="340"/>
      <c r="C352" s="340"/>
      <c r="D352" s="340"/>
      <c r="E352" s="340"/>
      <c r="F352" s="340"/>
      <c r="G352" s="340"/>
      <c r="H352" s="340"/>
      <c r="I352" s="340"/>
      <c r="J352" s="340"/>
      <c r="K352" s="340"/>
      <c r="L352" s="340"/>
      <c r="M352" s="340"/>
      <c r="N352" s="340"/>
      <c r="O352" s="340"/>
      <c r="P352" s="340"/>
      <c r="Q352" s="340"/>
      <c r="R352" s="340"/>
      <c r="S352" s="340"/>
      <c r="T352" s="340"/>
      <c r="U352" s="340"/>
      <c r="V352" s="340"/>
      <c r="W352" s="340"/>
      <c r="X352" s="340"/>
      <c r="Y352" s="340"/>
      <c r="Z352" s="340"/>
    </row>
    <row r="353" ht="15.75" customHeight="1">
      <c r="A353" s="340"/>
      <c r="B353" s="340"/>
      <c r="C353" s="340"/>
      <c r="D353" s="340"/>
      <c r="E353" s="340"/>
      <c r="F353" s="340"/>
      <c r="G353" s="340"/>
      <c r="H353" s="340"/>
      <c r="I353" s="340"/>
      <c r="J353" s="340"/>
      <c r="K353" s="340"/>
      <c r="L353" s="340"/>
      <c r="M353" s="340"/>
      <c r="N353" s="340"/>
      <c r="O353" s="340"/>
      <c r="P353" s="340"/>
      <c r="Q353" s="340"/>
      <c r="R353" s="340"/>
      <c r="S353" s="340"/>
      <c r="T353" s="340"/>
      <c r="U353" s="340"/>
      <c r="V353" s="340"/>
      <c r="W353" s="340"/>
      <c r="X353" s="340"/>
      <c r="Y353" s="340"/>
      <c r="Z353" s="340"/>
    </row>
    <row r="354" ht="15.75" customHeight="1">
      <c r="A354" s="340"/>
      <c r="B354" s="340"/>
      <c r="C354" s="340"/>
      <c r="D354" s="340"/>
      <c r="E354" s="340"/>
      <c r="F354" s="340"/>
      <c r="G354" s="340"/>
      <c r="H354" s="340"/>
      <c r="I354" s="340"/>
      <c r="J354" s="340"/>
      <c r="K354" s="340"/>
      <c r="L354" s="340"/>
      <c r="M354" s="340"/>
      <c r="N354" s="340"/>
      <c r="O354" s="340"/>
      <c r="P354" s="340"/>
      <c r="Q354" s="340"/>
      <c r="R354" s="340"/>
      <c r="S354" s="340"/>
      <c r="T354" s="340"/>
      <c r="U354" s="340"/>
      <c r="V354" s="340"/>
      <c r="W354" s="340"/>
      <c r="X354" s="340"/>
      <c r="Y354" s="340"/>
      <c r="Z354" s="340"/>
    </row>
    <row r="355" ht="15.75" customHeight="1">
      <c r="A355" s="340"/>
      <c r="B355" s="340"/>
      <c r="C355" s="340"/>
      <c r="D355" s="340"/>
      <c r="E355" s="340"/>
      <c r="F355" s="340"/>
      <c r="G355" s="340"/>
      <c r="H355" s="340"/>
      <c r="I355" s="340"/>
      <c r="J355" s="340"/>
      <c r="K355" s="340"/>
      <c r="L355" s="340"/>
      <c r="M355" s="340"/>
      <c r="N355" s="340"/>
      <c r="O355" s="340"/>
      <c r="P355" s="340"/>
      <c r="Q355" s="340"/>
      <c r="R355" s="340"/>
      <c r="S355" s="340"/>
      <c r="T355" s="340"/>
      <c r="U355" s="340"/>
      <c r="V355" s="340"/>
      <c r="W355" s="340"/>
      <c r="X355" s="340"/>
      <c r="Y355" s="340"/>
      <c r="Z355" s="340"/>
    </row>
    <row r="356" ht="15.75" customHeight="1">
      <c r="A356" s="340"/>
      <c r="B356" s="340"/>
      <c r="C356" s="340"/>
      <c r="D356" s="340"/>
      <c r="E356" s="340"/>
      <c r="F356" s="340"/>
      <c r="G356" s="340"/>
      <c r="H356" s="340"/>
      <c r="I356" s="340"/>
      <c r="J356" s="340"/>
      <c r="K356" s="340"/>
      <c r="L356" s="340"/>
      <c r="M356" s="340"/>
      <c r="N356" s="340"/>
      <c r="O356" s="340"/>
      <c r="P356" s="340"/>
      <c r="Q356" s="340"/>
      <c r="R356" s="340"/>
      <c r="S356" s="340"/>
      <c r="T356" s="340"/>
      <c r="U356" s="340"/>
      <c r="V356" s="340"/>
      <c r="W356" s="340"/>
      <c r="X356" s="340"/>
      <c r="Y356" s="340"/>
      <c r="Z356" s="340"/>
    </row>
    <row r="357" ht="15.75" customHeight="1">
      <c r="A357" s="340"/>
      <c r="B357" s="340"/>
      <c r="C357" s="340"/>
      <c r="D357" s="340"/>
      <c r="E357" s="340"/>
      <c r="F357" s="340"/>
      <c r="G357" s="340"/>
      <c r="H357" s="340"/>
      <c r="I357" s="340"/>
      <c r="J357" s="340"/>
      <c r="K357" s="340"/>
      <c r="L357" s="340"/>
      <c r="M357" s="340"/>
      <c r="N357" s="340"/>
      <c r="O357" s="340"/>
      <c r="P357" s="340"/>
      <c r="Q357" s="340"/>
      <c r="R357" s="340"/>
      <c r="S357" s="340"/>
      <c r="T357" s="340"/>
      <c r="U357" s="340"/>
      <c r="V357" s="340"/>
      <c r="W357" s="340"/>
      <c r="X357" s="340"/>
      <c r="Y357" s="340"/>
      <c r="Z357" s="340"/>
    </row>
    <row r="358" ht="15.75" customHeight="1">
      <c r="A358" s="340"/>
      <c r="B358" s="340"/>
      <c r="C358" s="340"/>
      <c r="D358" s="340"/>
      <c r="E358" s="340"/>
      <c r="F358" s="340"/>
      <c r="G358" s="340"/>
      <c r="H358" s="340"/>
      <c r="I358" s="340"/>
      <c r="J358" s="340"/>
      <c r="K358" s="340"/>
      <c r="L358" s="340"/>
      <c r="M358" s="340"/>
      <c r="N358" s="340"/>
      <c r="O358" s="340"/>
      <c r="P358" s="340"/>
      <c r="Q358" s="340"/>
      <c r="R358" s="340"/>
      <c r="S358" s="340"/>
      <c r="T358" s="340"/>
      <c r="U358" s="340"/>
      <c r="V358" s="340"/>
      <c r="W358" s="340"/>
      <c r="X358" s="340"/>
      <c r="Y358" s="340"/>
      <c r="Z358" s="340"/>
    </row>
    <row r="359" ht="15.75" customHeight="1">
      <c r="A359" s="340"/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N359" s="340"/>
      <c r="O359" s="340"/>
      <c r="P359" s="340"/>
      <c r="Q359" s="340"/>
      <c r="R359" s="340"/>
      <c r="S359" s="340"/>
      <c r="T359" s="340"/>
      <c r="U359" s="340"/>
      <c r="V359" s="340"/>
      <c r="W359" s="340"/>
      <c r="X359" s="340"/>
      <c r="Y359" s="340"/>
      <c r="Z359" s="340"/>
    </row>
    <row r="360" ht="15.75" customHeight="1">
      <c r="A360" s="340"/>
      <c r="B360" s="340"/>
      <c r="C360" s="340"/>
      <c r="D360" s="340"/>
      <c r="E360" s="340"/>
      <c r="F360" s="340"/>
      <c r="G360" s="340"/>
      <c r="H360" s="340"/>
      <c r="I360" s="340"/>
      <c r="J360" s="340"/>
      <c r="K360" s="340"/>
      <c r="L360" s="340"/>
      <c r="M360" s="340"/>
      <c r="N360" s="340"/>
      <c r="O360" s="340"/>
      <c r="P360" s="340"/>
      <c r="Q360" s="340"/>
      <c r="R360" s="340"/>
      <c r="S360" s="340"/>
      <c r="T360" s="340"/>
      <c r="U360" s="340"/>
      <c r="V360" s="340"/>
      <c r="W360" s="340"/>
      <c r="X360" s="340"/>
      <c r="Y360" s="340"/>
      <c r="Z360" s="340"/>
    </row>
    <row r="361" ht="15.75" customHeight="1">
      <c r="A361" s="340"/>
      <c r="B361" s="340"/>
      <c r="C361" s="340"/>
      <c r="D361" s="340"/>
      <c r="E361" s="340"/>
      <c r="F361" s="340"/>
      <c r="G361" s="340"/>
      <c r="H361" s="340"/>
      <c r="I361" s="340"/>
      <c r="J361" s="340"/>
      <c r="K361" s="340"/>
      <c r="L361" s="340"/>
      <c r="M361" s="340"/>
      <c r="N361" s="340"/>
      <c r="O361" s="340"/>
      <c r="P361" s="340"/>
      <c r="Q361" s="340"/>
      <c r="R361" s="340"/>
      <c r="S361" s="340"/>
      <c r="T361" s="340"/>
      <c r="U361" s="340"/>
      <c r="V361" s="340"/>
      <c r="W361" s="340"/>
      <c r="X361" s="340"/>
      <c r="Y361" s="340"/>
      <c r="Z361" s="340"/>
    </row>
    <row r="362" ht="15.75" customHeight="1">
      <c r="A362" s="340"/>
      <c r="B362" s="340"/>
      <c r="C362" s="340"/>
      <c r="D362" s="340"/>
      <c r="E362" s="340"/>
      <c r="F362" s="340"/>
      <c r="G362" s="340"/>
      <c r="H362" s="340"/>
      <c r="I362" s="340"/>
      <c r="J362" s="340"/>
      <c r="K362" s="340"/>
      <c r="L362" s="340"/>
      <c r="M362" s="340"/>
      <c r="N362" s="340"/>
      <c r="O362" s="340"/>
      <c r="P362" s="340"/>
      <c r="Q362" s="340"/>
      <c r="R362" s="340"/>
      <c r="S362" s="340"/>
      <c r="T362" s="340"/>
      <c r="U362" s="340"/>
      <c r="V362" s="340"/>
      <c r="W362" s="340"/>
      <c r="X362" s="340"/>
      <c r="Y362" s="340"/>
      <c r="Z362" s="340"/>
    </row>
    <row r="363" ht="15.75" customHeight="1">
      <c r="A363" s="340"/>
      <c r="B363" s="340"/>
      <c r="C363" s="340"/>
      <c r="D363" s="340"/>
      <c r="E363" s="340"/>
      <c r="F363" s="340"/>
      <c r="G363" s="340"/>
      <c r="H363" s="340"/>
      <c r="I363" s="340"/>
      <c r="J363" s="340"/>
      <c r="K363" s="340"/>
      <c r="L363" s="340"/>
      <c r="M363" s="340"/>
      <c r="N363" s="340"/>
      <c r="O363" s="340"/>
      <c r="P363" s="340"/>
      <c r="Q363" s="340"/>
      <c r="R363" s="340"/>
      <c r="S363" s="340"/>
      <c r="T363" s="340"/>
      <c r="U363" s="340"/>
      <c r="V363" s="340"/>
      <c r="W363" s="340"/>
      <c r="X363" s="340"/>
      <c r="Y363" s="340"/>
      <c r="Z363" s="340"/>
    </row>
    <row r="364" ht="15.75" customHeight="1">
      <c r="A364" s="340"/>
      <c r="B364" s="340"/>
      <c r="C364" s="340"/>
      <c r="D364" s="340"/>
      <c r="E364" s="340"/>
      <c r="F364" s="340"/>
      <c r="G364" s="340"/>
      <c r="H364" s="340"/>
      <c r="I364" s="340"/>
      <c r="J364" s="340"/>
      <c r="K364" s="340"/>
      <c r="L364" s="340"/>
      <c r="M364" s="340"/>
      <c r="N364" s="340"/>
      <c r="O364" s="340"/>
      <c r="P364" s="340"/>
      <c r="Q364" s="340"/>
      <c r="R364" s="340"/>
      <c r="S364" s="340"/>
      <c r="T364" s="340"/>
      <c r="U364" s="340"/>
      <c r="V364" s="340"/>
      <c r="W364" s="340"/>
      <c r="X364" s="340"/>
      <c r="Y364" s="340"/>
      <c r="Z364" s="340"/>
    </row>
    <row r="365" ht="15.75" customHeight="1">
      <c r="A365" s="340"/>
      <c r="B365" s="340"/>
      <c r="C365" s="340"/>
      <c r="D365" s="340"/>
      <c r="E365" s="340"/>
      <c r="F365" s="340"/>
      <c r="G365" s="340"/>
      <c r="H365" s="340"/>
      <c r="I365" s="340"/>
      <c r="J365" s="340"/>
      <c r="K365" s="340"/>
      <c r="L365" s="340"/>
      <c r="M365" s="340"/>
      <c r="N365" s="340"/>
      <c r="O365" s="340"/>
      <c r="P365" s="340"/>
      <c r="Q365" s="340"/>
      <c r="R365" s="340"/>
      <c r="S365" s="340"/>
      <c r="T365" s="340"/>
      <c r="U365" s="340"/>
      <c r="V365" s="340"/>
      <c r="W365" s="340"/>
      <c r="X365" s="340"/>
      <c r="Y365" s="340"/>
      <c r="Z365" s="340"/>
    </row>
    <row r="366" ht="15.75" customHeight="1">
      <c r="A366" s="340"/>
      <c r="B366" s="340"/>
      <c r="C366" s="340"/>
      <c r="D366" s="340"/>
      <c r="E366" s="340"/>
      <c r="F366" s="340"/>
      <c r="G366" s="340"/>
      <c r="H366" s="340"/>
      <c r="I366" s="340"/>
      <c r="J366" s="340"/>
      <c r="K366" s="340"/>
      <c r="L366" s="340"/>
      <c r="M366" s="340"/>
      <c r="N366" s="340"/>
      <c r="O366" s="340"/>
      <c r="P366" s="340"/>
      <c r="Q366" s="340"/>
      <c r="R366" s="340"/>
      <c r="S366" s="340"/>
      <c r="T366" s="340"/>
      <c r="U366" s="340"/>
      <c r="V366" s="340"/>
      <c r="W366" s="340"/>
      <c r="X366" s="340"/>
      <c r="Y366" s="340"/>
      <c r="Z366" s="340"/>
    </row>
    <row r="367" ht="15.75" customHeight="1">
      <c r="A367" s="340"/>
      <c r="B367" s="340"/>
      <c r="C367" s="340"/>
      <c r="D367" s="340"/>
      <c r="E367" s="340"/>
      <c r="F367" s="340"/>
      <c r="G367" s="340"/>
      <c r="H367" s="340"/>
      <c r="I367" s="340"/>
      <c r="J367" s="340"/>
      <c r="K367" s="340"/>
      <c r="L367" s="340"/>
      <c r="M367" s="340"/>
      <c r="N367" s="340"/>
      <c r="O367" s="340"/>
      <c r="P367" s="340"/>
      <c r="Q367" s="340"/>
      <c r="R367" s="340"/>
      <c r="S367" s="340"/>
      <c r="T367" s="340"/>
      <c r="U367" s="340"/>
      <c r="V367" s="340"/>
      <c r="W367" s="340"/>
      <c r="X367" s="340"/>
      <c r="Y367" s="340"/>
      <c r="Z367" s="340"/>
    </row>
    <row r="368" ht="15.75" customHeight="1">
      <c r="A368" s="340"/>
      <c r="B368" s="340"/>
      <c r="C368" s="340"/>
      <c r="D368" s="340"/>
      <c r="E368" s="340"/>
      <c r="F368" s="340"/>
      <c r="G368" s="340"/>
      <c r="H368" s="340"/>
      <c r="I368" s="340"/>
      <c r="J368" s="340"/>
      <c r="K368" s="340"/>
      <c r="L368" s="340"/>
      <c r="M368" s="340"/>
      <c r="N368" s="340"/>
      <c r="O368" s="340"/>
      <c r="P368" s="340"/>
      <c r="Q368" s="340"/>
      <c r="R368" s="340"/>
      <c r="S368" s="340"/>
      <c r="T368" s="340"/>
      <c r="U368" s="340"/>
      <c r="V368" s="340"/>
      <c r="W368" s="340"/>
      <c r="X368" s="340"/>
      <c r="Y368" s="340"/>
      <c r="Z368" s="340"/>
    </row>
    <row r="369" ht="15.75" customHeight="1">
      <c r="A369" s="340"/>
      <c r="B369" s="340"/>
      <c r="C369" s="340"/>
      <c r="D369" s="340"/>
      <c r="E369" s="340"/>
      <c r="F369" s="340"/>
      <c r="G369" s="340"/>
      <c r="H369" s="340"/>
      <c r="I369" s="340"/>
      <c r="J369" s="340"/>
      <c r="K369" s="340"/>
      <c r="L369" s="340"/>
      <c r="M369" s="340"/>
      <c r="N369" s="340"/>
      <c r="O369" s="340"/>
      <c r="P369" s="340"/>
      <c r="Q369" s="340"/>
      <c r="R369" s="340"/>
      <c r="S369" s="340"/>
      <c r="T369" s="340"/>
      <c r="U369" s="340"/>
      <c r="V369" s="340"/>
      <c r="W369" s="340"/>
      <c r="X369" s="340"/>
      <c r="Y369" s="340"/>
      <c r="Z369" s="340"/>
    </row>
    <row r="370" ht="15.75" customHeight="1">
      <c r="A370" s="340"/>
      <c r="B370" s="340"/>
      <c r="C370" s="340"/>
      <c r="D370" s="340"/>
      <c r="E370" s="340"/>
      <c r="F370" s="340"/>
      <c r="G370" s="340"/>
      <c r="H370" s="340"/>
      <c r="I370" s="340"/>
      <c r="J370" s="340"/>
      <c r="K370" s="340"/>
      <c r="L370" s="340"/>
      <c r="M370" s="340"/>
      <c r="N370" s="340"/>
      <c r="O370" s="340"/>
      <c r="P370" s="340"/>
      <c r="Q370" s="340"/>
      <c r="R370" s="340"/>
      <c r="S370" s="340"/>
      <c r="T370" s="340"/>
      <c r="U370" s="340"/>
      <c r="V370" s="340"/>
      <c r="W370" s="340"/>
      <c r="X370" s="340"/>
      <c r="Y370" s="340"/>
      <c r="Z370" s="340"/>
    </row>
    <row r="371" ht="15.75" customHeight="1">
      <c r="A371" s="340"/>
      <c r="B371" s="340"/>
      <c r="C371" s="340"/>
      <c r="D371" s="340"/>
      <c r="E371" s="340"/>
      <c r="F371" s="340"/>
      <c r="G371" s="340"/>
      <c r="H371" s="340"/>
      <c r="I371" s="340"/>
      <c r="J371" s="340"/>
      <c r="K371" s="340"/>
      <c r="L371" s="340"/>
      <c r="M371" s="340"/>
      <c r="N371" s="340"/>
      <c r="O371" s="340"/>
      <c r="P371" s="340"/>
      <c r="Q371" s="340"/>
      <c r="R371" s="340"/>
      <c r="S371" s="340"/>
      <c r="T371" s="340"/>
      <c r="U371" s="340"/>
      <c r="V371" s="340"/>
      <c r="W371" s="340"/>
      <c r="X371" s="340"/>
      <c r="Y371" s="340"/>
      <c r="Z371" s="340"/>
    </row>
    <row r="372" ht="15.75" customHeight="1">
      <c r="A372" s="340"/>
      <c r="B372" s="340"/>
      <c r="C372" s="340"/>
      <c r="D372" s="340"/>
      <c r="E372" s="340"/>
      <c r="F372" s="340"/>
      <c r="G372" s="340"/>
      <c r="H372" s="340"/>
      <c r="I372" s="340"/>
      <c r="J372" s="340"/>
      <c r="K372" s="340"/>
      <c r="L372" s="340"/>
      <c r="M372" s="340"/>
      <c r="N372" s="340"/>
      <c r="O372" s="340"/>
      <c r="P372" s="340"/>
      <c r="Q372" s="340"/>
      <c r="R372" s="340"/>
      <c r="S372" s="340"/>
      <c r="T372" s="340"/>
      <c r="U372" s="340"/>
      <c r="V372" s="340"/>
      <c r="W372" s="340"/>
      <c r="X372" s="340"/>
      <c r="Y372" s="340"/>
      <c r="Z372" s="340"/>
    </row>
    <row r="373" ht="15.75" customHeight="1">
      <c r="A373" s="340"/>
      <c r="B373" s="340"/>
      <c r="C373" s="340"/>
      <c r="D373" s="340"/>
      <c r="E373" s="340"/>
      <c r="F373" s="340"/>
      <c r="G373" s="340"/>
      <c r="H373" s="340"/>
      <c r="I373" s="340"/>
      <c r="J373" s="340"/>
      <c r="K373" s="340"/>
      <c r="L373" s="340"/>
      <c r="M373" s="340"/>
      <c r="N373" s="340"/>
      <c r="O373" s="340"/>
      <c r="P373" s="340"/>
      <c r="Q373" s="340"/>
      <c r="R373" s="340"/>
      <c r="S373" s="340"/>
      <c r="T373" s="340"/>
      <c r="U373" s="340"/>
      <c r="V373" s="340"/>
      <c r="W373" s="340"/>
      <c r="X373" s="340"/>
      <c r="Y373" s="340"/>
      <c r="Z373" s="340"/>
    </row>
    <row r="374" ht="15.75" customHeight="1">
      <c r="A374" s="340"/>
      <c r="B374" s="340"/>
      <c r="C374" s="340"/>
      <c r="D374" s="340"/>
      <c r="E374" s="340"/>
      <c r="F374" s="340"/>
      <c r="G374" s="340"/>
      <c r="H374" s="340"/>
      <c r="I374" s="340"/>
      <c r="J374" s="340"/>
      <c r="K374" s="340"/>
      <c r="L374" s="340"/>
      <c r="M374" s="340"/>
      <c r="N374" s="340"/>
      <c r="O374" s="340"/>
      <c r="P374" s="340"/>
      <c r="Q374" s="340"/>
      <c r="R374" s="340"/>
      <c r="S374" s="340"/>
      <c r="T374" s="340"/>
      <c r="U374" s="340"/>
      <c r="V374" s="340"/>
      <c r="W374" s="340"/>
      <c r="X374" s="340"/>
      <c r="Y374" s="340"/>
      <c r="Z374" s="340"/>
    </row>
    <row r="375" ht="15.75" customHeight="1">
      <c r="A375" s="340"/>
      <c r="B375" s="340"/>
      <c r="C375" s="340"/>
      <c r="D375" s="340"/>
      <c r="E375" s="340"/>
      <c r="F375" s="340"/>
      <c r="G375" s="340"/>
      <c r="H375" s="340"/>
      <c r="I375" s="340"/>
      <c r="J375" s="340"/>
      <c r="K375" s="340"/>
      <c r="L375" s="340"/>
      <c r="M375" s="340"/>
      <c r="N375" s="340"/>
      <c r="O375" s="340"/>
      <c r="P375" s="340"/>
      <c r="Q375" s="340"/>
      <c r="R375" s="340"/>
      <c r="S375" s="340"/>
      <c r="T375" s="340"/>
      <c r="U375" s="340"/>
      <c r="V375" s="340"/>
      <c r="W375" s="340"/>
      <c r="X375" s="340"/>
      <c r="Y375" s="340"/>
      <c r="Z375" s="340"/>
    </row>
    <row r="376" ht="15.75" customHeight="1">
      <c r="A376" s="340"/>
      <c r="B376" s="340"/>
      <c r="C376" s="340"/>
      <c r="D376" s="340"/>
      <c r="E376" s="340"/>
      <c r="F376" s="340"/>
      <c r="G376" s="340"/>
      <c r="H376" s="340"/>
      <c r="I376" s="340"/>
      <c r="J376" s="340"/>
      <c r="K376" s="340"/>
      <c r="L376" s="340"/>
      <c r="M376" s="340"/>
      <c r="N376" s="340"/>
      <c r="O376" s="340"/>
      <c r="P376" s="340"/>
      <c r="Q376" s="340"/>
      <c r="R376" s="340"/>
      <c r="S376" s="340"/>
      <c r="T376" s="340"/>
      <c r="U376" s="340"/>
      <c r="V376" s="340"/>
      <c r="W376" s="340"/>
      <c r="X376" s="340"/>
      <c r="Y376" s="340"/>
      <c r="Z376" s="340"/>
    </row>
    <row r="377" ht="15.75" customHeight="1">
      <c r="A377" s="340"/>
      <c r="B377" s="340"/>
      <c r="C377" s="340"/>
      <c r="D377" s="340"/>
      <c r="E377" s="340"/>
      <c r="F377" s="340"/>
      <c r="G377" s="340"/>
      <c r="H377" s="340"/>
      <c r="I377" s="340"/>
      <c r="J377" s="340"/>
      <c r="K377" s="340"/>
      <c r="L377" s="340"/>
      <c r="M377" s="340"/>
      <c r="N377" s="340"/>
      <c r="O377" s="340"/>
      <c r="P377" s="340"/>
      <c r="Q377" s="340"/>
      <c r="R377" s="340"/>
      <c r="S377" s="340"/>
      <c r="T377" s="340"/>
      <c r="U377" s="340"/>
      <c r="V377" s="340"/>
      <c r="W377" s="340"/>
      <c r="X377" s="340"/>
      <c r="Y377" s="340"/>
      <c r="Z377" s="340"/>
    </row>
    <row r="378" ht="15.75" customHeight="1">
      <c r="A378" s="340"/>
      <c r="B378" s="340"/>
      <c r="C378" s="340"/>
      <c r="D378" s="340"/>
      <c r="E378" s="340"/>
      <c r="F378" s="340"/>
      <c r="G378" s="340"/>
      <c r="H378" s="340"/>
      <c r="I378" s="340"/>
      <c r="J378" s="340"/>
      <c r="K378" s="340"/>
      <c r="L378" s="340"/>
      <c r="M378" s="340"/>
      <c r="N378" s="340"/>
      <c r="O378" s="340"/>
      <c r="P378" s="340"/>
      <c r="Q378" s="340"/>
      <c r="R378" s="340"/>
      <c r="S378" s="340"/>
      <c r="T378" s="340"/>
      <c r="U378" s="340"/>
      <c r="V378" s="340"/>
      <c r="W378" s="340"/>
      <c r="X378" s="340"/>
      <c r="Y378" s="340"/>
      <c r="Z378" s="340"/>
    </row>
    <row r="379" ht="15.75" customHeight="1">
      <c r="A379" s="340"/>
      <c r="B379" s="340"/>
      <c r="C379" s="340"/>
      <c r="D379" s="340"/>
      <c r="E379" s="340"/>
      <c r="F379" s="340"/>
      <c r="G379" s="340"/>
      <c r="H379" s="340"/>
      <c r="I379" s="340"/>
      <c r="J379" s="340"/>
      <c r="K379" s="340"/>
      <c r="L379" s="340"/>
      <c r="M379" s="340"/>
      <c r="N379" s="340"/>
      <c r="O379" s="340"/>
      <c r="P379" s="340"/>
      <c r="Q379" s="340"/>
      <c r="R379" s="340"/>
      <c r="S379" s="340"/>
      <c r="T379" s="340"/>
      <c r="U379" s="340"/>
      <c r="V379" s="340"/>
      <c r="W379" s="340"/>
      <c r="X379" s="340"/>
      <c r="Y379" s="340"/>
      <c r="Z379" s="340"/>
    </row>
    <row r="380" ht="15.75" customHeight="1">
      <c r="A380" s="340"/>
      <c r="B380" s="340"/>
      <c r="C380" s="340"/>
      <c r="D380" s="340"/>
      <c r="E380" s="340"/>
      <c r="F380" s="340"/>
      <c r="G380" s="340"/>
      <c r="H380" s="340"/>
      <c r="I380" s="340"/>
      <c r="J380" s="340"/>
      <c r="K380" s="340"/>
      <c r="L380" s="340"/>
      <c r="M380" s="340"/>
      <c r="N380" s="340"/>
      <c r="O380" s="340"/>
      <c r="P380" s="340"/>
      <c r="Q380" s="340"/>
      <c r="R380" s="340"/>
      <c r="S380" s="340"/>
      <c r="T380" s="340"/>
      <c r="U380" s="340"/>
      <c r="V380" s="340"/>
      <c r="W380" s="340"/>
      <c r="X380" s="340"/>
      <c r="Y380" s="340"/>
      <c r="Z380" s="340"/>
    </row>
    <row r="381" ht="15.75" customHeight="1">
      <c r="A381" s="340"/>
      <c r="B381" s="340"/>
      <c r="C381" s="340"/>
      <c r="D381" s="340"/>
      <c r="E381" s="340"/>
      <c r="F381" s="340"/>
      <c r="G381" s="340"/>
      <c r="H381" s="340"/>
      <c r="I381" s="340"/>
      <c r="J381" s="340"/>
      <c r="K381" s="340"/>
      <c r="L381" s="340"/>
      <c r="M381" s="340"/>
      <c r="N381" s="340"/>
      <c r="O381" s="340"/>
      <c r="P381" s="340"/>
      <c r="Q381" s="340"/>
      <c r="R381" s="340"/>
      <c r="S381" s="340"/>
      <c r="T381" s="340"/>
      <c r="U381" s="340"/>
      <c r="V381" s="340"/>
      <c r="W381" s="340"/>
      <c r="X381" s="340"/>
      <c r="Y381" s="340"/>
      <c r="Z381" s="340"/>
    </row>
    <row r="382" ht="15.75" customHeight="1">
      <c r="A382" s="340"/>
      <c r="B382" s="340"/>
      <c r="C382" s="340"/>
      <c r="D382" s="340"/>
      <c r="E382" s="340"/>
      <c r="F382" s="340"/>
      <c r="G382" s="340"/>
      <c r="H382" s="340"/>
      <c r="I382" s="340"/>
      <c r="J382" s="340"/>
      <c r="K382" s="340"/>
      <c r="L382" s="340"/>
      <c r="M382" s="340"/>
      <c r="N382" s="340"/>
      <c r="O382" s="340"/>
      <c r="P382" s="340"/>
      <c r="Q382" s="340"/>
      <c r="R382" s="340"/>
      <c r="S382" s="340"/>
      <c r="T382" s="340"/>
      <c r="U382" s="340"/>
      <c r="V382" s="340"/>
      <c r="W382" s="340"/>
      <c r="X382" s="340"/>
      <c r="Y382" s="340"/>
      <c r="Z382" s="340"/>
    </row>
    <row r="383" ht="15.75" customHeight="1">
      <c r="A383" s="340"/>
      <c r="B383" s="340"/>
      <c r="C383" s="340"/>
      <c r="D383" s="340"/>
      <c r="E383" s="340"/>
      <c r="F383" s="340"/>
      <c r="G383" s="340"/>
      <c r="H383" s="340"/>
      <c r="I383" s="340"/>
      <c r="J383" s="340"/>
      <c r="K383" s="340"/>
      <c r="L383" s="340"/>
      <c r="M383" s="340"/>
      <c r="N383" s="340"/>
      <c r="O383" s="340"/>
      <c r="P383" s="340"/>
      <c r="Q383" s="340"/>
      <c r="R383" s="340"/>
      <c r="S383" s="340"/>
      <c r="T383" s="340"/>
      <c r="U383" s="340"/>
      <c r="V383" s="340"/>
      <c r="W383" s="340"/>
      <c r="X383" s="340"/>
      <c r="Y383" s="340"/>
      <c r="Z383" s="340"/>
    </row>
    <row r="384" ht="15.75" customHeight="1">
      <c r="A384" s="340"/>
      <c r="B384" s="340"/>
      <c r="C384" s="340"/>
      <c r="D384" s="340"/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  <c r="Z384" s="340"/>
    </row>
    <row r="385" ht="15.75" customHeight="1">
      <c r="A385" s="340"/>
      <c r="B385" s="340"/>
      <c r="C385" s="340"/>
      <c r="D385" s="340"/>
      <c r="E385" s="340"/>
      <c r="F385" s="340"/>
      <c r="G385" s="340"/>
      <c r="H385" s="340"/>
      <c r="I385" s="340"/>
      <c r="J385" s="340"/>
      <c r="K385" s="340"/>
      <c r="L385" s="340"/>
      <c r="M385" s="340"/>
      <c r="N385" s="340"/>
      <c r="O385" s="340"/>
      <c r="P385" s="340"/>
      <c r="Q385" s="340"/>
      <c r="R385" s="340"/>
      <c r="S385" s="340"/>
      <c r="T385" s="340"/>
      <c r="U385" s="340"/>
      <c r="V385" s="340"/>
      <c r="W385" s="340"/>
      <c r="X385" s="340"/>
      <c r="Y385" s="340"/>
      <c r="Z385" s="340"/>
    </row>
    <row r="386" ht="15.75" customHeight="1">
      <c r="A386" s="340"/>
      <c r="B386" s="340"/>
      <c r="C386" s="340"/>
      <c r="D386" s="340"/>
      <c r="E386" s="340"/>
      <c r="F386" s="340"/>
      <c r="G386" s="340"/>
      <c r="H386" s="340"/>
      <c r="I386" s="340"/>
      <c r="J386" s="340"/>
      <c r="K386" s="340"/>
      <c r="L386" s="340"/>
      <c r="M386" s="340"/>
      <c r="N386" s="340"/>
      <c r="O386" s="340"/>
      <c r="P386" s="340"/>
      <c r="Q386" s="340"/>
      <c r="R386" s="340"/>
      <c r="S386" s="340"/>
      <c r="T386" s="340"/>
      <c r="U386" s="340"/>
      <c r="V386" s="340"/>
      <c r="W386" s="340"/>
      <c r="X386" s="340"/>
      <c r="Y386" s="340"/>
      <c r="Z386" s="340"/>
    </row>
    <row r="387" ht="15.75" customHeight="1">
      <c r="A387" s="340"/>
      <c r="B387" s="340"/>
      <c r="C387" s="340"/>
      <c r="D387" s="340"/>
      <c r="E387" s="340"/>
      <c r="F387" s="340"/>
      <c r="G387" s="340"/>
      <c r="H387" s="340"/>
      <c r="I387" s="340"/>
      <c r="J387" s="340"/>
      <c r="K387" s="340"/>
      <c r="L387" s="340"/>
      <c r="M387" s="340"/>
      <c r="N387" s="340"/>
      <c r="O387" s="340"/>
      <c r="P387" s="340"/>
      <c r="Q387" s="340"/>
      <c r="R387" s="340"/>
      <c r="S387" s="340"/>
      <c r="T387" s="340"/>
      <c r="U387" s="340"/>
      <c r="V387" s="340"/>
      <c r="W387" s="340"/>
      <c r="X387" s="340"/>
      <c r="Y387" s="340"/>
      <c r="Z387" s="340"/>
    </row>
    <row r="388" ht="15.75" customHeight="1">
      <c r="A388" s="340"/>
      <c r="B388" s="340"/>
      <c r="C388" s="340"/>
      <c r="D388" s="340"/>
      <c r="E388" s="340"/>
      <c r="F388" s="340"/>
      <c r="G388" s="340"/>
      <c r="H388" s="340"/>
      <c r="I388" s="340"/>
      <c r="J388" s="340"/>
      <c r="K388" s="340"/>
      <c r="L388" s="340"/>
      <c r="M388" s="340"/>
      <c r="N388" s="340"/>
      <c r="O388" s="340"/>
      <c r="P388" s="340"/>
      <c r="Q388" s="340"/>
      <c r="R388" s="340"/>
      <c r="S388" s="340"/>
      <c r="T388" s="340"/>
      <c r="U388" s="340"/>
      <c r="V388" s="340"/>
      <c r="W388" s="340"/>
      <c r="X388" s="340"/>
      <c r="Y388" s="340"/>
      <c r="Z388" s="340"/>
    </row>
    <row r="389" ht="15.75" customHeight="1">
      <c r="A389" s="340"/>
      <c r="B389" s="340"/>
      <c r="C389" s="340"/>
      <c r="D389" s="340"/>
      <c r="E389" s="340"/>
      <c r="F389" s="340"/>
      <c r="G389" s="340"/>
      <c r="H389" s="340"/>
      <c r="I389" s="340"/>
      <c r="J389" s="340"/>
      <c r="K389" s="340"/>
      <c r="L389" s="340"/>
      <c r="M389" s="340"/>
      <c r="N389" s="340"/>
      <c r="O389" s="340"/>
      <c r="P389" s="340"/>
      <c r="Q389" s="340"/>
      <c r="R389" s="340"/>
      <c r="S389" s="340"/>
      <c r="T389" s="340"/>
      <c r="U389" s="340"/>
      <c r="V389" s="340"/>
      <c r="W389" s="340"/>
      <c r="X389" s="340"/>
      <c r="Y389" s="340"/>
      <c r="Z389" s="340"/>
    </row>
    <row r="390" ht="15.75" customHeight="1">
      <c r="A390" s="340"/>
      <c r="B390" s="340"/>
      <c r="C390" s="340"/>
      <c r="D390" s="340"/>
      <c r="E390" s="340"/>
      <c r="F390" s="340"/>
      <c r="G390" s="340"/>
      <c r="H390" s="340"/>
      <c r="I390" s="340"/>
      <c r="J390" s="340"/>
      <c r="K390" s="340"/>
      <c r="L390" s="340"/>
      <c r="M390" s="340"/>
      <c r="N390" s="340"/>
      <c r="O390" s="340"/>
      <c r="P390" s="340"/>
      <c r="Q390" s="340"/>
      <c r="R390" s="340"/>
      <c r="S390" s="340"/>
      <c r="T390" s="340"/>
      <c r="U390" s="340"/>
      <c r="V390" s="340"/>
      <c r="W390" s="340"/>
      <c r="X390" s="340"/>
      <c r="Y390" s="340"/>
      <c r="Z390" s="340"/>
    </row>
    <row r="391" ht="15.75" customHeight="1">
      <c r="A391" s="340"/>
      <c r="B391" s="340"/>
      <c r="C391" s="340"/>
      <c r="D391" s="340"/>
      <c r="E391" s="340"/>
      <c r="F391" s="340"/>
      <c r="G391" s="340"/>
      <c r="H391" s="340"/>
      <c r="I391" s="340"/>
      <c r="J391" s="340"/>
      <c r="K391" s="340"/>
      <c r="L391" s="340"/>
      <c r="M391" s="340"/>
      <c r="N391" s="340"/>
      <c r="O391" s="340"/>
      <c r="P391" s="340"/>
      <c r="Q391" s="340"/>
      <c r="R391" s="340"/>
      <c r="S391" s="340"/>
      <c r="T391" s="340"/>
      <c r="U391" s="340"/>
      <c r="V391" s="340"/>
      <c r="W391" s="340"/>
      <c r="X391" s="340"/>
      <c r="Y391" s="340"/>
      <c r="Z391" s="340"/>
    </row>
    <row r="392" ht="15.75" customHeight="1">
      <c r="A392" s="340"/>
      <c r="B392" s="340"/>
      <c r="C392" s="340"/>
      <c r="D392" s="340"/>
      <c r="E392" s="340"/>
      <c r="F392" s="340"/>
      <c r="G392" s="340"/>
      <c r="H392" s="340"/>
      <c r="I392" s="340"/>
      <c r="J392" s="340"/>
      <c r="K392" s="340"/>
      <c r="L392" s="340"/>
      <c r="M392" s="340"/>
      <c r="N392" s="340"/>
      <c r="O392" s="340"/>
      <c r="P392" s="340"/>
      <c r="Q392" s="340"/>
      <c r="R392" s="340"/>
      <c r="S392" s="340"/>
      <c r="T392" s="340"/>
      <c r="U392" s="340"/>
      <c r="V392" s="340"/>
      <c r="W392" s="340"/>
      <c r="X392" s="340"/>
      <c r="Y392" s="340"/>
      <c r="Z392" s="340"/>
    </row>
    <row r="393" ht="15.75" customHeight="1">
      <c r="A393" s="340"/>
      <c r="B393" s="340"/>
      <c r="C393" s="340"/>
      <c r="D393" s="340"/>
      <c r="E393" s="340"/>
      <c r="F393" s="340"/>
      <c r="G393" s="340"/>
      <c r="H393" s="340"/>
      <c r="I393" s="340"/>
      <c r="J393" s="340"/>
      <c r="K393" s="340"/>
      <c r="L393" s="340"/>
      <c r="M393" s="340"/>
      <c r="N393" s="340"/>
      <c r="O393" s="340"/>
      <c r="P393" s="340"/>
      <c r="Q393" s="340"/>
      <c r="R393" s="340"/>
      <c r="S393" s="340"/>
      <c r="T393" s="340"/>
      <c r="U393" s="340"/>
      <c r="V393" s="340"/>
      <c r="W393" s="340"/>
      <c r="X393" s="340"/>
      <c r="Y393" s="340"/>
      <c r="Z393" s="340"/>
    </row>
    <row r="394" ht="15.75" customHeight="1">
      <c r="A394" s="340"/>
      <c r="B394" s="340"/>
      <c r="C394" s="340"/>
      <c r="D394" s="340"/>
      <c r="E394" s="340"/>
      <c r="F394" s="340"/>
      <c r="G394" s="340"/>
      <c r="H394" s="340"/>
      <c r="I394" s="340"/>
      <c r="J394" s="340"/>
      <c r="K394" s="340"/>
      <c r="L394" s="340"/>
      <c r="M394" s="340"/>
      <c r="N394" s="340"/>
      <c r="O394" s="340"/>
      <c r="P394" s="340"/>
      <c r="Q394" s="340"/>
      <c r="R394" s="340"/>
      <c r="S394" s="340"/>
      <c r="T394" s="340"/>
      <c r="U394" s="340"/>
      <c r="V394" s="340"/>
      <c r="W394" s="340"/>
      <c r="X394" s="340"/>
      <c r="Y394" s="340"/>
      <c r="Z394" s="340"/>
    </row>
    <row r="395" ht="15.75" customHeight="1">
      <c r="A395" s="340"/>
      <c r="B395" s="340"/>
      <c r="C395" s="340"/>
      <c r="D395" s="340"/>
      <c r="E395" s="340"/>
      <c r="F395" s="340"/>
      <c r="G395" s="340"/>
      <c r="H395" s="340"/>
      <c r="I395" s="340"/>
      <c r="J395" s="340"/>
      <c r="K395" s="340"/>
      <c r="L395" s="340"/>
      <c r="M395" s="340"/>
      <c r="N395" s="340"/>
      <c r="O395" s="340"/>
      <c r="P395" s="340"/>
      <c r="Q395" s="340"/>
      <c r="R395" s="340"/>
      <c r="S395" s="340"/>
      <c r="T395" s="340"/>
      <c r="U395" s="340"/>
      <c r="V395" s="340"/>
      <c r="W395" s="340"/>
      <c r="X395" s="340"/>
      <c r="Y395" s="340"/>
      <c r="Z395" s="340"/>
    </row>
    <row r="396" ht="15.75" customHeight="1">
      <c r="A396" s="340"/>
      <c r="B396" s="340"/>
      <c r="C396" s="340"/>
      <c r="D396" s="340"/>
      <c r="E396" s="340"/>
      <c r="F396" s="340"/>
      <c r="G396" s="340"/>
      <c r="H396" s="340"/>
      <c r="I396" s="340"/>
      <c r="J396" s="340"/>
      <c r="K396" s="340"/>
      <c r="L396" s="340"/>
      <c r="M396" s="340"/>
      <c r="N396" s="340"/>
      <c r="O396" s="340"/>
      <c r="P396" s="340"/>
      <c r="Q396" s="340"/>
      <c r="R396" s="340"/>
      <c r="S396" s="340"/>
      <c r="T396" s="340"/>
      <c r="U396" s="340"/>
      <c r="V396" s="340"/>
      <c r="W396" s="340"/>
      <c r="X396" s="340"/>
      <c r="Y396" s="340"/>
      <c r="Z396" s="340"/>
    </row>
    <row r="397" ht="15.75" customHeight="1">
      <c r="A397" s="340"/>
      <c r="B397" s="340"/>
      <c r="C397" s="340"/>
      <c r="D397" s="340"/>
      <c r="E397" s="340"/>
      <c r="F397" s="340"/>
      <c r="G397" s="340"/>
      <c r="H397" s="340"/>
      <c r="I397" s="340"/>
      <c r="J397" s="340"/>
      <c r="K397" s="340"/>
      <c r="L397" s="340"/>
      <c r="M397" s="340"/>
      <c r="N397" s="340"/>
      <c r="O397" s="340"/>
      <c r="P397" s="340"/>
      <c r="Q397" s="340"/>
      <c r="R397" s="340"/>
      <c r="S397" s="340"/>
      <c r="T397" s="340"/>
      <c r="U397" s="340"/>
      <c r="V397" s="340"/>
      <c r="W397" s="340"/>
      <c r="X397" s="340"/>
      <c r="Y397" s="340"/>
      <c r="Z397" s="340"/>
    </row>
    <row r="398" ht="15.75" customHeight="1">
      <c r="A398" s="340"/>
      <c r="B398" s="340"/>
      <c r="C398" s="340"/>
      <c r="D398" s="340"/>
      <c r="E398" s="340"/>
      <c r="F398" s="340"/>
      <c r="G398" s="340"/>
      <c r="H398" s="340"/>
      <c r="I398" s="340"/>
      <c r="J398" s="340"/>
      <c r="K398" s="340"/>
      <c r="L398" s="340"/>
      <c r="M398" s="340"/>
      <c r="N398" s="340"/>
      <c r="O398" s="340"/>
      <c r="P398" s="340"/>
      <c r="Q398" s="340"/>
      <c r="R398" s="340"/>
      <c r="S398" s="340"/>
      <c r="T398" s="340"/>
      <c r="U398" s="340"/>
      <c r="V398" s="340"/>
      <c r="W398" s="340"/>
      <c r="X398" s="340"/>
      <c r="Y398" s="340"/>
      <c r="Z398" s="340"/>
    </row>
    <row r="399" ht="15.75" customHeight="1">
      <c r="A399" s="340"/>
      <c r="B399" s="340"/>
      <c r="C399" s="340"/>
      <c r="D399" s="340"/>
      <c r="E399" s="340"/>
      <c r="F399" s="340"/>
      <c r="G399" s="340"/>
      <c r="H399" s="340"/>
      <c r="I399" s="340"/>
      <c r="J399" s="340"/>
      <c r="K399" s="340"/>
      <c r="L399" s="340"/>
      <c r="M399" s="340"/>
      <c r="N399" s="340"/>
      <c r="O399" s="340"/>
      <c r="P399" s="340"/>
      <c r="Q399" s="340"/>
      <c r="R399" s="340"/>
      <c r="S399" s="340"/>
      <c r="T399" s="340"/>
      <c r="U399" s="340"/>
      <c r="V399" s="340"/>
      <c r="W399" s="340"/>
      <c r="X399" s="340"/>
      <c r="Y399" s="340"/>
      <c r="Z399" s="340"/>
    </row>
    <row r="400" ht="15.75" customHeight="1">
      <c r="A400" s="340"/>
      <c r="B400" s="340"/>
      <c r="C400" s="340"/>
      <c r="D400" s="340"/>
      <c r="E400" s="340"/>
      <c r="F400" s="340"/>
      <c r="G400" s="340"/>
      <c r="H400" s="340"/>
      <c r="I400" s="340"/>
      <c r="J400" s="340"/>
      <c r="K400" s="340"/>
      <c r="L400" s="340"/>
      <c r="M400" s="340"/>
      <c r="N400" s="340"/>
      <c r="O400" s="340"/>
      <c r="P400" s="340"/>
      <c r="Q400" s="340"/>
      <c r="R400" s="340"/>
      <c r="S400" s="340"/>
      <c r="T400" s="340"/>
      <c r="U400" s="340"/>
      <c r="V400" s="340"/>
      <c r="W400" s="340"/>
      <c r="X400" s="340"/>
      <c r="Y400" s="340"/>
      <c r="Z400" s="340"/>
    </row>
    <row r="401" ht="15.75" customHeight="1">
      <c r="A401" s="340"/>
      <c r="B401" s="340"/>
      <c r="C401" s="340"/>
      <c r="D401" s="340"/>
      <c r="E401" s="340"/>
      <c r="F401" s="340"/>
      <c r="G401" s="340"/>
      <c r="H401" s="340"/>
      <c r="I401" s="340"/>
      <c r="J401" s="340"/>
      <c r="K401" s="340"/>
      <c r="L401" s="340"/>
      <c r="M401" s="340"/>
      <c r="N401" s="340"/>
      <c r="O401" s="340"/>
      <c r="P401" s="340"/>
      <c r="Q401" s="340"/>
      <c r="R401" s="340"/>
      <c r="S401" s="340"/>
      <c r="T401" s="340"/>
      <c r="U401" s="340"/>
      <c r="V401" s="340"/>
      <c r="W401" s="340"/>
      <c r="X401" s="340"/>
      <c r="Y401" s="340"/>
      <c r="Z401" s="340"/>
    </row>
    <row r="402" ht="15.75" customHeight="1">
      <c r="A402" s="340"/>
      <c r="B402" s="340"/>
      <c r="C402" s="340"/>
      <c r="D402" s="340"/>
      <c r="E402" s="340"/>
      <c r="F402" s="340"/>
      <c r="G402" s="340"/>
      <c r="H402" s="340"/>
      <c r="I402" s="340"/>
      <c r="J402" s="340"/>
      <c r="K402" s="340"/>
      <c r="L402" s="340"/>
      <c r="M402" s="340"/>
      <c r="N402" s="340"/>
      <c r="O402" s="340"/>
      <c r="P402" s="340"/>
      <c r="Q402" s="340"/>
      <c r="R402" s="340"/>
      <c r="S402" s="340"/>
      <c r="T402" s="340"/>
      <c r="U402" s="340"/>
      <c r="V402" s="340"/>
      <c r="W402" s="340"/>
      <c r="X402" s="340"/>
      <c r="Y402" s="340"/>
      <c r="Z402" s="340"/>
    </row>
    <row r="403" ht="15.75" customHeight="1">
      <c r="A403" s="340"/>
      <c r="B403" s="340"/>
      <c r="C403" s="340"/>
      <c r="D403" s="340"/>
      <c r="E403" s="340"/>
      <c r="F403" s="340"/>
      <c r="G403" s="340"/>
      <c r="H403" s="340"/>
      <c r="I403" s="340"/>
      <c r="J403" s="340"/>
      <c r="K403" s="340"/>
      <c r="L403" s="340"/>
      <c r="M403" s="340"/>
      <c r="N403" s="340"/>
      <c r="O403" s="340"/>
      <c r="P403" s="340"/>
      <c r="Q403" s="340"/>
      <c r="R403" s="340"/>
      <c r="S403" s="340"/>
      <c r="T403" s="340"/>
      <c r="U403" s="340"/>
      <c r="V403" s="340"/>
      <c r="W403" s="340"/>
      <c r="X403" s="340"/>
      <c r="Y403" s="340"/>
      <c r="Z403" s="340"/>
    </row>
    <row r="404" ht="15.75" customHeight="1">
      <c r="A404" s="340"/>
      <c r="B404" s="340"/>
      <c r="C404" s="340"/>
      <c r="D404" s="340"/>
      <c r="E404" s="340"/>
      <c r="F404" s="340"/>
      <c r="G404" s="340"/>
      <c r="H404" s="340"/>
      <c r="I404" s="340"/>
      <c r="J404" s="340"/>
      <c r="K404" s="340"/>
      <c r="L404" s="340"/>
      <c r="M404" s="340"/>
      <c r="N404" s="340"/>
      <c r="O404" s="340"/>
      <c r="P404" s="340"/>
      <c r="Q404" s="340"/>
      <c r="R404" s="340"/>
      <c r="S404" s="340"/>
      <c r="T404" s="340"/>
      <c r="U404" s="340"/>
      <c r="V404" s="340"/>
      <c r="W404" s="340"/>
      <c r="X404" s="340"/>
      <c r="Y404" s="340"/>
      <c r="Z404" s="340"/>
    </row>
    <row r="405" ht="15.75" customHeight="1">
      <c r="A405" s="340"/>
      <c r="B405" s="340"/>
      <c r="C405" s="340"/>
      <c r="D405" s="340"/>
      <c r="E405" s="340"/>
      <c r="F405" s="340"/>
      <c r="G405" s="340"/>
      <c r="H405" s="340"/>
      <c r="I405" s="340"/>
      <c r="J405" s="340"/>
      <c r="K405" s="340"/>
      <c r="L405" s="340"/>
      <c r="M405" s="340"/>
      <c r="N405" s="340"/>
      <c r="O405" s="340"/>
      <c r="P405" s="340"/>
      <c r="Q405" s="340"/>
      <c r="R405" s="340"/>
      <c r="S405" s="340"/>
      <c r="T405" s="340"/>
      <c r="U405" s="340"/>
      <c r="V405" s="340"/>
      <c r="W405" s="340"/>
      <c r="X405" s="340"/>
      <c r="Y405" s="340"/>
      <c r="Z405" s="340"/>
    </row>
    <row r="406" ht="15.75" customHeight="1">
      <c r="A406" s="340"/>
      <c r="B406" s="340"/>
      <c r="C406" s="340"/>
      <c r="D406" s="340"/>
      <c r="E406" s="340"/>
      <c r="F406" s="340"/>
      <c r="G406" s="340"/>
      <c r="H406" s="340"/>
      <c r="I406" s="340"/>
      <c r="J406" s="340"/>
      <c r="K406" s="340"/>
      <c r="L406" s="340"/>
      <c r="M406" s="340"/>
      <c r="N406" s="340"/>
      <c r="O406" s="340"/>
      <c r="P406" s="340"/>
      <c r="Q406" s="340"/>
      <c r="R406" s="340"/>
      <c r="S406" s="340"/>
      <c r="T406" s="340"/>
      <c r="U406" s="340"/>
      <c r="V406" s="340"/>
      <c r="W406" s="340"/>
      <c r="X406" s="340"/>
      <c r="Y406" s="340"/>
      <c r="Z406" s="340"/>
    </row>
    <row r="407" ht="15.75" customHeight="1">
      <c r="A407" s="340"/>
      <c r="B407" s="340"/>
      <c r="C407" s="340"/>
      <c r="D407" s="340"/>
      <c r="E407" s="340"/>
      <c r="F407" s="340"/>
      <c r="G407" s="340"/>
      <c r="H407" s="340"/>
      <c r="I407" s="340"/>
      <c r="J407" s="340"/>
      <c r="K407" s="340"/>
      <c r="L407" s="340"/>
      <c r="M407" s="340"/>
      <c r="N407" s="340"/>
      <c r="O407" s="340"/>
      <c r="P407" s="340"/>
      <c r="Q407" s="340"/>
      <c r="R407" s="340"/>
      <c r="S407" s="340"/>
      <c r="T407" s="340"/>
      <c r="U407" s="340"/>
      <c r="V407" s="340"/>
      <c r="W407" s="340"/>
      <c r="X407" s="340"/>
      <c r="Y407" s="340"/>
      <c r="Z407" s="340"/>
    </row>
    <row r="408" ht="15.75" customHeight="1">
      <c r="A408" s="340"/>
      <c r="B408" s="340"/>
      <c r="C408" s="340"/>
      <c r="D408" s="340"/>
      <c r="E408" s="340"/>
      <c r="F408" s="340"/>
      <c r="G408" s="340"/>
      <c r="H408" s="340"/>
      <c r="I408" s="340"/>
      <c r="J408" s="340"/>
      <c r="K408" s="340"/>
      <c r="L408" s="340"/>
      <c r="M408" s="340"/>
      <c r="N408" s="340"/>
      <c r="O408" s="340"/>
      <c r="P408" s="340"/>
      <c r="Q408" s="340"/>
      <c r="R408" s="340"/>
      <c r="S408" s="340"/>
      <c r="T408" s="340"/>
      <c r="U408" s="340"/>
      <c r="V408" s="340"/>
      <c r="W408" s="340"/>
      <c r="X408" s="340"/>
      <c r="Y408" s="340"/>
      <c r="Z408" s="340"/>
    </row>
    <row r="409" ht="15.75" customHeight="1">
      <c r="A409" s="340"/>
      <c r="B409" s="340"/>
      <c r="C409" s="340"/>
      <c r="D409" s="340"/>
      <c r="E409" s="340"/>
      <c r="F409" s="340"/>
      <c r="G409" s="340"/>
      <c r="H409" s="340"/>
      <c r="I409" s="340"/>
      <c r="J409" s="340"/>
      <c r="K409" s="340"/>
      <c r="L409" s="340"/>
      <c r="M409" s="340"/>
      <c r="N409" s="340"/>
      <c r="O409" s="340"/>
      <c r="P409" s="340"/>
      <c r="Q409" s="340"/>
      <c r="R409" s="340"/>
      <c r="S409" s="340"/>
      <c r="T409" s="340"/>
      <c r="U409" s="340"/>
      <c r="V409" s="340"/>
      <c r="W409" s="340"/>
      <c r="X409" s="340"/>
      <c r="Y409" s="340"/>
      <c r="Z409" s="340"/>
    </row>
    <row r="410" ht="15.75" customHeight="1">
      <c r="A410" s="340"/>
      <c r="B410" s="340"/>
      <c r="C410" s="340"/>
      <c r="D410" s="340"/>
      <c r="E410" s="340"/>
      <c r="F410" s="340"/>
      <c r="G410" s="340"/>
      <c r="H410" s="340"/>
      <c r="I410" s="340"/>
      <c r="J410" s="340"/>
      <c r="K410" s="340"/>
      <c r="L410" s="340"/>
      <c r="M410" s="340"/>
      <c r="N410" s="340"/>
      <c r="O410" s="340"/>
      <c r="P410" s="340"/>
      <c r="Q410" s="340"/>
      <c r="R410" s="340"/>
      <c r="S410" s="340"/>
      <c r="T410" s="340"/>
      <c r="U410" s="340"/>
      <c r="V410" s="340"/>
      <c r="W410" s="340"/>
      <c r="X410" s="340"/>
      <c r="Y410" s="340"/>
      <c r="Z410" s="340"/>
    </row>
    <row r="411" ht="15.75" customHeight="1">
      <c r="A411" s="340"/>
      <c r="B411" s="340"/>
      <c r="C411" s="340"/>
      <c r="D411" s="340"/>
      <c r="E411" s="340"/>
      <c r="F411" s="340"/>
      <c r="G411" s="340"/>
      <c r="H411" s="340"/>
      <c r="I411" s="340"/>
      <c r="J411" s="340"/>
      <c r="K411" s="340"/>
      <c r="L411" s="340"/>
      <c r="M411" s="340"/>
      <c r="N411" s="340"/>
      <c r="O411" s="340"/>
      <c r="P411" s="340"/>
      <c r="Q411" s="340"/>
      <c r="R411" s="340"/>
      <c r="S411" s="340"/>
      <c r="T411" s="340"/>
      <c r="U411" s="340"/>
      <c r="V411" s="340"/>
      <c r="W411" s="340"/>
      <c r="X411" s="340"/>
      <c r="Y411" s="340"/>
      <c r="Z411" s="340"/>
    </row>
    <row r="412" ht="15.75" customHeight="1">
      <c r="A412" s="340"/>
      <c r="B412" s="340"/>
      <c r="C412" s="340"/>
      <c r="D412" s="340"/>
      <c r="E412" s="340"/>
      <c r="F412" s="340"/>
      <c r="G412" s="340"/>
      <c r="H412" s="340"/>
      <c r="I412" s="340"/>
      <c r="J412" s="340"/>
      <c r="K412" s="340"/>
      <c r="L412" s="340"/>
      <c r="M412" s="340"/>
      <c r="N412" s="340"/>
      <c r="O412" s="340"/>
      <c r="P412" s="340"/>
      <c r="Q412" s="340"/>
      <c r="R412" s="340"/>
      <c r="S412" s="340"/>
      <c r="T412" s="340"/>
      <c r="U412" s="340"/>
      <c r="V412" s="340"/>
      <c r="W412" s="340"/>
      <c r="X412" s="340"/>
      <c r="Y412" s="340"/>
      <c r="Z412" s="340"/>
    </row>
    <row r="413" ht="15.75" customHeight="1">
      <c r="A413" s="340"/>
      <c r="B413" s="340"/>
      <c r="C413" s="340"/>
      <c r="D413" s="340"/>
      <c r="E413" s="340"/>
      <c r="F413" s="340"/>
      <c r="G413" s="340"/>
      <c r="H413" s="340"/>
      <c r="I413" s="340"/>
      <c r="J413" s="340"/>
      <c r="K413" s="340"/>
      <c r="L413" s="340"/>
      <c r="M413" s="340"/>
      <c r="N413" s="340"/>
      <c r="O413" s="340"/>
      <c r="P413" s="340"/>
      <c r="Q413" s="340"/>
      <c r="R413" s="340"/>
      <c r="S413" s="340"/>
      <c r="T413" s="340"/>
      <c r="U413" s="340"/>
      <c r="V413" s="340"/>
      <c r="W413" s="340"/>
      <c r="X413" s="340"/>
      <c r="Y413" s="340"/>
      <c r="Z413" s="340"/>
    </row>
    <row r="414" ht="15.75" customHeight="1">
      <c r="A414" s="340"/>
      <c r="B414" s="340"/>
      <c r="C414" s="340"/>
      <c r="D414" s="340"/>
      <c r="E414" s="340"/>
      <c r="F414" s="340"/>
      <c r="G414" s="340"/>
      <c r="H414" s="340"/>
      <c r="I414" s="340"/>
      <c r="J414" s="340"/>
      <c r="K414" s="340"/>
      <c r="L414" s="340"/>
      <c r="M414" s="340"/>
      <c r="N414" s="340"/>
      <c r="O414" s="340"/>
      <c r="P414" s="340"/>
      <c r="Q414" s="340"/>
      <c r="R414" s="340"/>
      <c r="S414" s="340"/>
      <c r="T414" s="340"/>
      <c r="U414" s="340"/>
      <c r="V414" s="340"/>
      <c r="W414" s="340"/>
      <c r="X414" s="340"/>
      <c r="Y414" s="340"/>
      <c r="Z414" s="340"/>
    </row>
    <row r="415" ht="15.75" customHeight="1">
      <c r="A415" s="340"/>
      <c r="B415" s="340"/>
      <c r="C415" s="340"/>
      <c r="D415" s="340"/>
      <c r="E415" s="340"/>
      <c r="F415" s="340"/>
      <c r="G415" s="340"/>
      <c r="H415" s="340"/>
      <c r="I415" s="340"/>
      <c r="J415" s="340"/>
      <c r="K415" s="340"/>
      <c r="L415" s="340"/>
      <c r="M415" s="340"/>
      <c r="N415" s="340"/>
      <c r="O415" s="340"/>
      <c r="P415" s="340"/>
      <c r="Q415" s="340"/>
      <c r="R415" s="340"/>
      <c r="S415" s="340"/>
      <c r="T415" s="340"/>
      <c r="U415" s="340"/>
      <c r="V415" s="340"/>
      <c r="W415" s="340"/>
      <c r="X415" s="340"/>
      <c r="Y415" s="340"/>
      <c r="Z415" s="340"/>
    </row>
    <row r="416" ht="15.75" customHeight="1">
      <c r="A416" s="340"/>
      <c r="B416" s="340"/>
      <c r="C416" s="340"/>
      <c r="D416" s="340"/>
      <c r="E416" s="340"/>
      <c r="F416" s="340"/>
      <c r="G416" s="340"/>
      <c r="H416" s="340"/>
      <c r="I416" s="340"/>
      <c r="J416" s="340"/>
      <c r="K416" s="340"/>
      <c r="L416" s="340"/>
      <c r="M416" s="340"/>
      <c r="N416" s="340"/>
      <c r="O416" s="340"/>
      <c r="P416" s="340"/>
      <c r="Q416" s="340"/>
      <c r="R416" s="340"/>
      <c r="S416" s="340"/>
      <c r="T416" s="340"/>
      <c r="U416" s="340"/>
      <c r="V416" s="340"/>
      <c r="W416" s="340"/>
      <c r="X416" s="340"/>
      <c r="Y416" s="340"/>
      <c r="Z416" s="340"/>
    </row>
    <row r="417" ht="15.75" customHeight="1">
      <c r="A417" s="340"/>
      <c r="B417" s="340"/>
      <c r="C417" s="340"/>
      <c r="D417" s="340"/>
      <c r="E417" s="340"/>
      <c r="F417" s="340"/>
      <c r="G417" s="340"/>
      <c r="H417" s="340"/>
      <c r="I417" s="340"/>
      <c r="J417" s="340"/>
      <c r="K417" s="340"/>
      <c r="L417" s="340"/>
      <c r="M417" s="340"/>
      <c r="N417" s="340"/>
      <c r="O417" s="340"/>
      <c r="P417" s="340"/>
      <c r="Q417" s="340"/>
      <c r="R417" s="340"/>
      <c r="S417" s="340"/>
      <c r="T417" s="340"/>
      <c r="U417" s="340"/>
      <c r="V417" s="340"/>
      <c r="W417" s="340"/>
      <c r="X417" s="340"/>
      <c r="Y417" s="340"/>
      <c r="Z417" s="340"/>
    </row>
    <row r="418" ht="15.75" customHeight="1">
      <c r="A418" s="340"/>
      <c r="B418" s="340"/>
      <c r="C418" s="340"/>
      <c r="D418" s="340"/>
      <c r="E418" s="340"/>
      <c r="F418" s="340"/>
      <c r="G418" s="340"/>
      <c r="H418" s="340"/>
      <c r="I418" s="340"/>
      <c r="J418" s="340"/>
      <c r="K418" s="340"/>
      <c r="L418" s="340"/>
      <c r="M418" s="340"/>
      <c r="N418" s="340"/>
      <c r="O418" s="340"/>
      <c r="P418" s="340"/>
      <c r="Q418" s="340"/>
      <c r="R418" s="340"/>
      <c r="S418" s="340"/>
      <c r="T418" s="340"/>
      <c r="U418" s="340"/>
      <c r="V418" s="340"/>
      <c r="W418" s="340"/>
      <c r="X418" s="340"/>
      <c r="Y418" s="340"/>
      <c r="Z418" s="340"/>
    </row>
    <row r="419" ht="15.75" customHeight="1">
      <c r="A419" s="340"/>
      <c r="B419" s="340"/>
      <c r="C419" s="340"/>
      <c r="D419" s="340"/>
      <c r="E419" s="340"/>
      <c r="F419" s="340"/>
      <c r="G419" s="340"/>
      <c r="H419" s="340"/>
      <c r="I419" s="340"/>
      <c r="J419" s="340"/>
      <c r="K419" s="340"/>
      <c r="L419" s="340"/>
      <c r="M419" s="340"/>
      <c r="N419" s="340"/>
      <c r="O419" s="340"/>
      <c r="P419" s="340"/>
      <c r="Q419" s="340"/>
      <c r="R419" s="340"/>
      <c r="S419" s="340"/>
      <c r="T419" s="340"/>
      <c r="U419" s="340"/>
      <c r="V419" s="340"/>
      <c r="W419" s="340"/>
      <c r="X419" s="340"/>
      <c r="Y419" s="340"/>
      <c r="Z419" s="340"/>
    </row>
    <row r="420" ht="15.75" customHeight="1">
      <c r="A420" s="340"/>
      <c r="B420" s="340"/>
      <c r="C420" s="340"/>
      <c r="D420" s="340"/>
      <c r="E420" s="340"/>
      <c r="F420" s="340"/>
      <c r="G420" s="340"/>
      <c r="H420" s="340"/>
      <c r="I420" s="340"/>
      <c r="J420" s="340"/>
      <c r="K420" s="340"/>
      <c r="L420" s="340"/>
      <c r="M420" s="340"/>
      <c r="N420" s="340"/>
      <c r="O420" s="340"/>
      <c r="P420" s="340"/>
      <c r="Q420" s="340"/>
      <c r="R420" s="340"/>
      <c r="S420" s="340"/>
      <c r="T420" s="340"/>
      <c r="U420" s="340"/>
      <c r="V420" s="340"/>
      <c r="W420" s="340"/>
      <c r="X420" s="340"/>
      <c r="Y420" s="340"/>
      <c r="Z420" s="340"/>
    </row>
    <row r="421" ht="15.75" customHeight="1">
      <c r="A421" s="340"/>
      <c r="B421" s="340"/>
      <c r="C421" s="340"/>
      <c r="D421" s="340"/>
      <c r="E421" s="340"/>
      <c r="F421" s="340"/>
      <c r="G421" s="340"/>
      <c r="H421" s="340"/>
      <c r="I421" s="340"/>
      <c r="J421" s="340"/>
      <c r="K421" s="340"/>
      <c r="L421" s="340"/>
      <c r="M421" s="340"/>
      <c r="N421" s="340"/>
      <c r="O421" s="340"/>
      <c r="P421" s="340"/>
      <c r="Q421" s="340"/>
      <c r="R421" s="340"/>
      <c r="S421" s="340"/>
      <c r="T421" s="340"/>
      <c r="U421" s="340"/>
      <c r="V421" s="340"/>
      <c r="W421" s="340"/>
      <c r="X421" s="340"/>
      <c r="Y421" s="340"/>
      <c r="Z421" s="340"/>
    </row>
    <row r="422" ht="15.75" customHeight="1">
      <c r="A422" s="340"/>
      <c r="B422" s="340"/>
      <c r="C422" s="340"/>
      <c r="D422" s="340"/>
      <c r="E422" s="340"/>
      <c r="F422" s="340"/>
      <c r="G422" s="340"/>
      <c r="H422" s="340"/>
      <c r="I422" s="340"/>
      <c r="J422" s="340"/>
      <c r="K422" s="340"/>
      <c r="L422" s="340"/>
      <c r="M422" s="340"/>
      <c r="N422" s="340"/>
      <c r="O422" s="340"/>
      <c r="P422" s="340"/>
      <c r="Q422" s="340"/>
      <c r="R422" s="340"/>
      <c r="S422" s="340"/>
      <c r="T422" s="340"/>
      <c r="U422" s="340"/>
      <c r="V422" s="340"/>
      <c r="W422" s="340"/>
      <c r="X422" s="340"/>
      <c r="Y422" s="340"/>
      <c r="Z422" s="340"/>
    </row>
    <row r="423" ht="15.75" customHeight="1">
      <c r="A423" s="340"/>
      <c r="B423" s="340"/>
      <c r="C423" s="340"/>
      <c r="D423" s="340"/>
      <c r="E423" s="340"/>
      <c r="F423" s="340"/>
      <c r="G423" s="340"/>
      <c r="H423" s="340"/>
      <c r="I423" s="340"/>
      <c r="J423" s="340"/>
      <c r="K423" s="340"/>
      <c r="L423" s="340"/>
      <c r="M423" s="340"/>
      <c r="N423" s="340"/>
      <c r="O423" s="340"/>
      <c r="P423" s="340"/>
      <c r="Q423" s="340"/>
      <c r="R423" s="340"/>
      <c r="S423" s="340"/>
      <c r="T423" s="340"/>
      <c r="U423" s="340"/>
      <c r="V423" s="340"/>
      <c r="W423" s="340"/>
      <c r="X423" s="340"/>
      <c r="Y423" s="340"/>
      <c r="Z423" s="340"/>
    </row>
    <row r="424" ht="15.75" customHeight="1">
      <c r="A424" s="340"/>
      <c r="B424" s="340"/>
      <c r="C424" s="340"/>
      <c r="D424" s="340"/>
      <c r="E424" s="340"/>
      <c r="F424" s="340"/>
      <c r="G424" s="340"/>
      <c r="H424" s="340"/>
      <c r="I424" s="340"/>
      <c r="J424" s="340"/>
      <c r="K424" s="340"/>
      <c r="L424" s="340"/>
      <c r="M424" s="340"/>
      <c r="N424" s="340"/>
      <c r="O424" s="340"/>
      <c r="P424" s="340"/>
      <c r="Q424" s="340"/>
      <c r="R424" s="340"/>
      <c r="S424" s="340"/>
      <c r="T424" s="340"/>
      <c r="U424" s="340"/>
      <c r="V424" s="340"/>
      <c r="W424" s="340"/>
      <c r="X424" s="340"/>
      <c r="Y424" s="340"/>
      <c r="Z424" s="340"/>
    </row>
    <row r="425" ht="15.75" customHeight="1">
      <c r="A425" s="340"/>
      <c r="B425" s="340"/>
      <c r="C425" s="340"/>
      <c r="D425" s="340"/>
      <c r="E425" s="340"/>
      <c r="F425" s="340"/>
      <c r="G425" s="340"/>
      <c r="H425" s="340"/>
      <c r="I425" s="340"/>
      <c r="J425" s="340"/>
      <c r="K425" s="340"/>
      <c r="L425" s="340"/>
      <c r="M425" s="340"/>
      <c r="N425" s="340"/>
      <c r="O425" s="340"/>
      <c r="P425" s="340"/>
      <c r="Q425" s="340"/>
      <c r="R425" s="340"/>
      <c r="S425" s="340"/>
      <c r="T425" s="340"/>
      <c r="U425" s="340"/>
      <c r="V425" s="340"/>
      <c r="W425" s="340"/>
      <c r="X425" s="340"/>
      <c r="Y425" s="340"/>
      <c r="Z425" s="340"/>
    </row>
    <row r="426" ht="15.75" customHeight="1">
      <c r="A426" s="340"/>
      <c r="B426" s="340"/>
      <c r="C426" s="340"/>
      <c r="D426" s="340"/>
      <c r="E426" s="340"/>
      <c r="F426" s="340"/>
      <c r="G426" s="340"/>
      <c r="H426" s="340"/>
      <c r="I426" s="340"/>
      <c r="J426" s="340"/>
      <c r="K426" s="340"/>
      <c r="L426" s="340"/>
      <c r="M426" s="340"/>
      <c r="N426" s="340"/>
      <c r="O426" s="340"/>
      <c r="P426" s="340"/>
      <c r="Q426" s="340"/>
      <c r="R426" s="340"/>
      <c r="S426" s="340"/>
      <c r="T426" s="340"/>
      <c r="U426" s="340"/>
      <c r="V426" s="340"/>
      <c r="W426" s="340"/>
      <c r="X426" s="340"/>
      <c r="Y426" s="340"/>
      <c r="Z426" s="340"/>
    </row>
    <row r="427" ht="15.75" customHeight="1">
      <c r="A427" s="340"/>
      <c r="B427" s="340"/>
      <c r="C427" s="340"/>
      <c r="D427" s="340"/>
      <c r="E427" s="340"/>
      <c r="F427" s="340"/>
      <c r="G427" s="340"/>
      <c r="H427" s="340"/>
      <c r="I427" s="340"/>
      <c r="J427" s="340"/>
      <c r="K427" s="340"/>
      <c r="L427" s="340"/>
      <c r="M427" s="340"/>
      <c r="N427" s="340"/>
      <c r="O427" s="340"/>
      <c r="P427" s="340"/>
      <c r="Q427" s="340"/>
      <c r="R427" s="340"/>
      <c r="S427" s="340"/>
      <c r="T427" s="340"/>
      <c r="U427" s="340"/>
      <c r="V427" s="340"/>
      <c r="W427" s="340"/>
      <c r="X427" s="340"/>
      <c r="Y427" s="340"/>
      <c r="Z427" s="340"/>
    </row>
    <row r="428" ht="15.75" customHeight="1">
      <c r="A428" s="340"/>
      <c r="B428" s="340"/>
      <c r="C428" s="340"/>
      <c r="D428" s="340"/>
      <c r="E428" s="340"/>
      <c r="F428" s="340"/>
      <c r="G428" s="340"/>
      <c r="H428" s="340"/>
      <c r="I428" s="340"/>
      <c r="J428" s="340"/>
      <c r="K428" s="340"/>
      <c r="L428" s="340"/>
      <c r="M428" s="340"/>
      <c r="N428" s="340"/>
      <c r="O428" s="340"/>
      <c r="P428" s="340"/>
      <c r="Q428" s="340"/>
      <c r="R428" s="340"/>
      <c r="S428" s="340"/>
      <c r="T428" s="340"/>
      <c r="U428" s="340"/>
      <c r="V428" s="340"/>
      <c r="W428" s="340"/>
      <c r="X428" s="340"/>
      <c r="Y428" s="340"/>
      <c r="Z428" s="340"/>
    </row>
    <row r="429" ht="15.75" customHeight="1">
      <c r="A429" s="340"/>
      <c r="B429" s="340"/>
      <c r="C429" s="340"/>
      <c r="D429" s="340"/>
      <c r="E429" s="340"/>
      <c r="F429" s="340"/>
      <c r="G429" s="340"/>
      <c r="H429" s="340"/>
      <c r="I429" s="340"/>
      <c r="J429" s="340"/>
      <c r="K429" s="340"/>
      <c r="L429" s="340"/>
      <c r="M429" s="340"/>
      <c r="N429" s="340"/>
      <c r="O429" s="340"/>
      <c r="P429" s="340"/>
      <c r="Q429" s="340"/>
      <c r="R429" s="340"/>
      <c r="S429" s="340"/>
      <c r="T429" s="340"/>
      <c r="U429" s="340"/>
      <c r="V429" s="340"/>
      <c r="W429" s="340"/>
      <c r="X429" s="340"/>
      <c r="Y429" s="340"/>
      <c r="Z429" s="340"/>
    </row>
    <row r="430" ht="15.75" customHeight="1">
      <c r="A430" s="340"/>
      <c r="B430" s="340"/>
      <c r="C430" s="340"/>
      <c r="D430" s="340"/>
      <c r="E430" s="340"/>
      <c r="F430" s="340"/>
      <c r="G430" s="340"/>
      <c r="H430" s="340"/>
      <c r="I430" s="340"/>
      <c r="J430" s="340"/>
      <c r="K430" s="340"/>
      <c r="L430" s="340"/>
      <c r="M430" s="340"/>
      <c r="N430" s="340"/>
      <c r="O430" s="340"/>
      <c r="P430" s="340"/>
      <c r="Q430" s="340"/>
      <c r="R430" s="340"/>
      <c r="S430" s="340"/>
      <c r="T430" s="340"/>
      <c r="U430" s="340"/>
      <c r="V430" s="340"/>
      <c r="W430" s="340"/>
      <c r="X430" s="340"/>
      <c r="Y430" s="340"/>
      <c r="Z430" s="340"/>
    </row>
    <row r="431" ht="15.75" customHeight="1">
      <c r="A431" s="340"/>
      <c r="B431" s="340"/>
      <c r="C431" s="340"/>
      <c r="D431" s="340"/>
      <c r="E431" s="340"/>
      <c r="F431" s="340"/>
      <c r="G431" s="340"/>
      <c r="H431" s="340"/>
      <c r="I431" s="340"/>
      <c r="J431" s="340"/>
      <c r="K431" s="340"/>
      <c r="L431" s="340"/>
      <c r="M431" s="340"/>
      <c r="N431" s="340"/>
      <c r="O431" s="340"/>
      <c r="P431" s="340"/>
      <c r="Q431" s="340"/>
      <c r="R431" s="340"/>
      <c r="S431" s="340"/>
      <c r="T431" s="340"/>
      <c r="U431" s="340"/>
      <c r="V431" s="340"/>
      <c r="W431" s="340"/>
      <c r="X431" s="340"/>
      <c r="Y431" s="340"/>
      <c r="Z431" s="340"/>
    </row>
    <row r="432" ht="15.75" customHeight="1">
      <c r="A432" s="340"/>
      <c r="B432" s="340"/>
      <c r="C432" s="340"/>
      <c r="D432" s="340"/>
      <c r="E432" s="340"/>
      <c r="F432" s="340"/>
      <c r="G432" s="340"/>
      <c r="H432" s="340"/>
      <c r="I432" s="340"/>
      <c r="J432" s="340"/>
      <c r="K432" s="340"/>
      <c r="L432" s="340"/>
      <c r="M432" s="340"/>
      <c r="N432" s="340"/>
      <c r="O432" s="340"/>
      <c r="P432" s="340"/>
      <c r="Q432" s="340"/>
      <c r="R432" s="340"/>
      <c r="S432" s="340"/>
      <c r="T432" s="340"/>
      <c r="U432" s="340"/>
      <c r="V432" s="340"/>
      <c r="W432" s="340"/>
      <c r="X432" s="340"/>
      <c r="Y432" s="340"/>
      <c r="Z432" s="340"/>
    </row>
    <row r="433" ht="15.75" customHeight="1">
      <c r="A433" s="340"/>
      <c r="B433" s="340"/>
      <c r="C433" s="340"/>
      <c r="D433" s="340"/>
      <c r="E433" s="340"/>
      <c r="F433" s="340"/>
      <c r="G433" s="340"/>
      <c r="H433" s="340"/>
      <c r="I433" s="340"/>
      <c r="J433" s="340"/>
      <c r="K433" s="340"/>
      <c r="L433" s="340"/>
      <c r="M433" s="340"/>
      <c r="N433" s="340"/>
      <c r="O433" s="340"/>
      <c r="P433" s="340"/>
      <c r="Q433" s="340"/>
      <c r="R433" s="340"/>
      <c r="S433" s="340"/>
      <c r="T433" s="340"/>
      <c r="U433" s="340"/>
      <c r="V433" s="340"/>
      <c r="W433" s="340"/>
      <c r="X433" s="340"/>
      <c r="Y433" s="340"/>
      <c r="Z433" s="340"/>
    </row>
    <row r="434" ht="15.75" customHeight="1">
      <c r="A434" s="340"/>
      <c r="B434" s="340"/>
      <c r="C434" s="340"/>
      <c r="D434" s="340"/>
      <c r="E434" s="340"/>
      <c r="F434" s="340"/>
      <c r="G434" s="340"/>
      <c r="H434" s="340"/>
      <c r="I434" s="340"/>
      <c r="J434" s="340"/>
      <c r="K434" s="340"/>
      <c r="L434" s="340"/>
      <c r="M434" s="340"/>
      <c r="N434" s="340"/>
      <c r="O434" s="340"/>
      <c r="P434" s="340"/>
      <c r="Q434" s="340"/>
      <c r="R434" s="340"/>
      <c r="S434" s="340"/>
      <c r="T434" s="340"/>
      <c r="U434" s="340"/>
      <c r="V434" s="340"/>
      <c r="W434" s="340"/>
      <c r="X434" s="340"/>
      <c r="Y434" s="340"/>
      <c r="Z434" s="340"/>
    </row>
    <row r="435" ht="15.75" customHeight="1">
      <c r="A435" s="340"/>
      <c r="B435" s="340"/>
      <c r="C435" s="340"/>
      <c r="D435" s="340"/>
      <c r="E435" s="340"/>
      <c r="F435" s="340"/>
      <c r="G435" s="340"/>
      <c r="H435" s="340"/>
      <c r="I435" s="340"/>
      <c r="J435" s="340"/>
      <c r="K435" s="340"/>
      <c r="L435" s="340"/>
      <c r="M435" s="340"/>
      <c r="N435" s="340"/>
      <c r="O435" s="340"/>
      <c r="P435" s="340"/>
      <c r="Q435" s="340"/>
      <c r="R435" s="340"/>
      <c r="S435" s="340"/>
      <c r="T435" s="340"/>
      <c r="U435" s="340"/>
      <c r="V435" s="340"/>
      <c r="W435" s="340"/>
      <c r="X435" s="340"/>
      <c r="Y435" s="340"/>
      <c r="Z435" s="340"/>
    </row>
    <row r="436" ht="15.75" customHeight="1">
      <c r="A436" s="340"/>
      <c r="B436" s="340"/>
      <c r="C436" s="340"/>
      <c r="D436" s="340"/>
      <c r="E436" s="340"/>
      <c r="F436" s="340"/>
      <c r="G436" s="340"/>
      <c r="H436" s="340"/>
      <c r="I436" s="340"/>
      <c r="J436" s="340"/>
      <c r="K436" s="340"/>
      <c r="L436" s="340"/>
      <c r="M436" s="340"/>
      <c r="N436" s="340"/>
      <c r="O436" s="340"/>
      <c r="P436" s="340"/>
      <c r="Q436" s="340"/>
      <c r="R436" s="340"/>
      <c r="S436" s="340"/>
      <c r="T436" s="340"/>
      <c r="U436" s="340"/>
      <c r="V436" s="340"/>
      <c r="W436" s="340"/>
      <c r="X436" s="340"/>
      <c r="Y436" s="340"/>
      <c r="Z436" s="340"/>
    </row>
    <row r="437" ht="15.75" customHeight="1">
      <c r="A437" s="340"/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40"/>
      <c r="M437" s="340"/>
      <c r="N437" s="340"/>
      <c r="O437" s="340"/>
      <c r="P437" s="340"/>
      <c r="Q437" s="340"/>
      <c r="R437" s="340"/>
      <c r="S437" s="340"/>
      <c r="T437" s="340"/>
      <c r="U437" s="340"/>
      <c r="V437" s="340"/>
      <c r="W437" s="340"/>
      <c r="X437" s="340"/>
      <c r="Y437" s="340"/>
      <c r="Z437" s="340"/>
    </row>
    <row r="438" ht="15.75" customHeight="1">
      <c r="A438" s="340"/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40"/>
      <c r="M438" s="340"/>
      <c r="N438" s="340"/>
      <c r="O438" s="340"/>
      <c r="P438" s="340"/>
      <c r="Q438" s="340"/>
      <c r="R438" s="340"/>
      <c r="S438" s="340"/>
      <c r="T438" s="340"/>
      <c r="U438" s="340"/>
      <c r="V438" s="340"/>
      <c r="W438" s="340"/>
      <c r="X438" s="340"/>
      <c r="Y438" s="340"/>
      <c r="Z438" s="340"/>
    </row>
    <row r="439" ht="15.75" customHeight="1">
      <c r="A439" s="340"/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40"/>
      <c r="M439" s="340"/>
      <c r="N439" s="340"/>
      <c r="O439" s="340"/>
      <c r="P439" s="340"/>
      <c r="Q439" s="340"/>
      <c r="R439" s="340"/>
      <c r="S439" s="340"/>
      <c r="T439" s="340"/>
      <c r="U439" s="340"/>
      <c r="V439" s="340"/>
      <c r="W439" s="340"/>
      <c r="X439" s="340"/>
      <c r="Y439" s="340"/>
      <c r="Z439" s="340"/>
    </row>
    <row r="440" ht="15.75" customHeight="1">
      <c r="A440" s="340"/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40"/>
      <c r="M440" s="340"/>
      <c r="N440" s="340"/>
      <c r="O440" s="340"/>
      <c r="P440" s="340"/>
      <c r="Q440" s="340"/>
      <c r="R440" s="340"/>
      <c r="S440" s="340"/>
      <c r="T440" s="340"/>
      <c r="U440" s="340"/>
      <c r="V440" s="340"/>
      <c r="W440" s="340"/>
      <c r="X440" s="340"/>
      <c r="Y440" s="340"/>
      <c r="Z440" s="340"/>
    </row>
    <row r="441" ht="15.75" customHeight="1">
      <c r="A441" s="340"/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40"/>
      <c r="M441" s="340"/>
      <c r="N441" s="340"/>
      <c r="O441" s="340"/>
      <c r="P441" s="340"/>
      <c r="Q441" s="340"/>
      <c r="R441" s="340"/>
      <c r="S441" s="340"/>
      <c r="T441" s="340"/>
      <c r="U441" s="340"/>
      <c r="V441" s="340"/>
      <c r="W441" s="340"/>
      <c r="X441" s="340"/>
      <c r="Y441" s="340"/>
      <c r="Z441" s="340"/>
    </row>
    <row r="442" ht="15.75" customHeight="1">
      <c r="A442" s="340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40"/>
      <c r="M442" s="340"/>
      <c r="N442" s="340"/>
      <c r="O442" s="340"/>
      <c r="P442" s="340"/>
      <c r="Q442" s="340"/>
      <c r="R442" s="340"/>
      <c r="S442" s="340"/>
      <c r="T442" s="340"/>
      <c r="U442" s="340"/>
      <c r="V442" s="340"/>
      <c r="W442" s="340"/>
      <c r="X442" s="340"/>
      <c r="Y442" s="340"/>
      <c r="Z442" s="340"/>
    </row>
    <row r="443" ht="15.75" customHeight="1">
      <c r="A443" s="340"/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40"/>
      <c r="M443" s="340"/>
      <c r="N443" s="340"/>
      <c r="O443" s="340"/>
      <c r="P443" s="340"/>
      <c r="Q443" s="340"/>
      <c r="R443" s="340"/>
      <c r="S443" s="340"/>
      <c r="T443" s="340"/>
      <c r="U443" s="340"/>
      <c r="V443" s="340"/>
      <c r="W443" s="340"/>
      <c r="X443" s="340"/>
      <c r="Y443" s="340"/>
      <c r="Z443" s="340"/>
    </row>
    <row r="444" ht="15.75" customHeight="1">
      <c r="A444" s="340"/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40"/>
      <c r="M444" s="340"/>
      <c r="N444" s="340"/>
      <c r="O444" s="340"/>
      <c r="P444" s="340"/>
      <c r="Q444" s="340"/>
      <c r="R444" s="340"/>
      <c r="S444" s="340"/>
      <c r="T444" s="340"/>
      <c r="U444" s="340"/>
      <c r="V444" s="340"/>
      <c r="W444" s="340"/>
      <c r="X444" s="340"/>
      <c r="Y444" s="340"/>
      <c r="Z444" s="340"/>
    </row>
    <row r="445" ht="15.75" customHeight="1">
      <c r="A445" s="340"/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40"/>
      <c r="M445" s="340"/>
      <c r="N445" s="340"/>
      <c r="O445" s="340"/>
      <c r="P445" s="340"/>
      <c r="Q445" s="340"/>
      <c r="R445" s="340"/>
      <c r="S445" s="340"/>
      <c r="T445" s="340"/>
      <c r="U445" s="340"/>
      <c r="V445" s="340"/>
      <c r="W445" s="340"/>
      <c r="X445" s="340"/>
      <c r="Y445" s="340"/>
      <c r="Z445" s="340"/>
    </row>
    <row r="446" ht="15.75" customHeight="1">
      <c r="A446" s="340"/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40"/>
      <c r="M446" s="340"/>
      <c r="N446" s="340"/>
      <c r="O446" s="340"/>
      <c r="P446" s="340"/>
      <c r="Q446" s="340"/>
      <c r="R446" s="340"/>
      <c r="S446" s="340"/>
      <c r="T446" s="340"/>
      <c r="U446" s="340"/>
      <c r="V446" s="340"/>
      <c r="W446" s="340"/>
      <c r="X446" s="340"/>
      <c r="Y446" s="340"/>
      <c r="Z446" s="340"/>
    </row>
    <row r="447" ht="15.75" customHeight="1">
      <c r="A447" s="340"/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40"/>
      <c r="M447" s="340"/>
      <c r="N447" s="340"/>
      <c r="O447" s="340"/>
      <c r="P447" s="340"/>
      <c r="Q447" s="340"/>
      <c r="R447" s="340"/>
      <c r="S447" s="340"/>
      <c r="T447" s="340"/>
      <c r="U447" s="340"/>
      <c r="V447" s="340"/>
      <c r="W447" s="340"/>
      <c r="X447" s="340"/>
      <c r="Y447" s="340"/>
      <c r="Z447" s="340"/>
    </row>
    <row r="448" ht="15.75" customHeight="1">
      <c r="A448" s="340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N448" s="340"/>
      <c r="O448" s="340"/>
      <c r="P448" s="340"/>
      <c r="Q448" s="340"/>
      <c r="R448" s="340"/>
      <c r="S448" s="340"/>
      <c r="T448" s="340"/>
      <c r="U448" s="340"/>
      <c r="V448" s="340"/>
      <c r="W448" s="340"/>
      <c r="X448" s="340"/>
      <c r="Y448" s="340"/>
      <c r="Z448" s="340"/>
    </row>
    <row r="449" ht="15.75" customHeight="1">
      <c r="A449" s="340"/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40"/>
      <c r="M449" s="340"/>
      <c r="N449" s="340"/>
      <c r="O449" s="340"/>
      <c r="P449" s="340"/>
      <c r="Q449" s="340"/>
      <c r="R449" s="340"/>
      <c r="S449" s="340"/>
      <c r="T449" s="340"/>
      <c r="U449" s="340"/>
      <c r="V449" s="340"/>
      <c r="W449" s="340"/>
      <c r="X449" s="340"/>
      <c r="Y449" s="340"/>
      <c r="Z449" s="340"/>
    </row>
    <row r="450" ht="15.75" customHeight="1">
      <c r="A450" s="340"/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40"/>
      <c r="M450" s="340"/>
      <c r="N450" s="340"/>
      <c r="O450" s="340"/>
      <c r="P450" s="340"/>
      <c r="Q450" s="340"/>
      <c r="R450" s="340"/>
      <c r="S450" s="340"/>
      <c r="T450" s="340"/>
      <c r="U450" s="340"/>
      <c r="V450" s="340"/>
      <c r="W450" s="340"/>
      <c r="X450" s="340"/>
      <c r="Y450" s="340"/>
      <c r="Z450" s="340"/>
    </row>
    <row r="451" ht="15.75" customHeight="1">
      <c r="A451" s="340"/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40"/>
      <c r="M451" s="340"/>
      <c r="N451" s="340"/>
      <c r="O451" s="340"/>
      <c r="P451" s="340"/>
      <c r="Q451" s="340"/>
      <c r="R451" s="340"/>
      <c r="S451" s="340"/>
      <c r="T451" s="340"/>
      <c r="U451" s="340"/>
      <c r="V451" s="340"/>
      <c r="W451" s="340"/>
      <c r="X451" s="340"/>
      <c r="Y451" s="340"/>
      <c r="Z451" s="340"/>
    </row>
    <row r="452" ht="15.75" customHeight="1">
      <c r="A452" s="340"/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40"/>
      <c r="M452" s="340"/>
      <c r="N452" s="340"/>
      <c r="O452" s="340"/>
      <c r="P452" s="340"/>
      <c r="Q452" s="340"/>
      <c r="R452" s="340"/>
      <c r="S452" s="340"/>
      <c r="T452" s="340"/>
      <c r="U452" s="340"/>
      <c r="V452" s="340"/>
      <c r="W452" s="340"/>
      <c r="X452" s="340"/>
      <c r="Y452" s="340"/>
      <c r="Z452" s="340"/>
    </row>
    <row r="453" ht="15.75" customHeight="1">
      <c r="A453" s="340"/>
      <c r="B453" s="340"/>
      <c r="C453" s="340"/>
      <c r="D453" s="340"/>
      <c r="E453" s="340"/>
      <c r="F453" s="340"/>
      <c r="G453" s="340"/>
      <c r="H453" s="340"/>
      <c r="I453" s="340"/>
      <c r="J453" s="340"/>
      <c r="K453" s="340"/>
      <c r="L453" s="340"/>
      <c r="M453" s="340"/>
      <c r="N453" s="340"/>
      <c r="O453" s="340"/>
      <c r="P453" s="340"/>
      <c r="Q453" s="340"/>
      <c r="R453" s="340"/>
      <c r="S453" s="340"/>
      <c r="T453" s="340"/>
      <c r="U453" s="340"/>
      <c r="V453" s="340"/>
      <c r="W453" s="340"/>
      <c r="X453" s="340"/>
      <c r="Y453" s="340"/>
      <c r="Z453" s="340"/>
    </row>
    <row r="454" ht="15.75" customHeight="1">
      <c r="A454" s="340"/>
      <c r="B454" s="340"/>
      <c r="C454" s="340"/>
      <c r="D454" s="340"/>
      <c r="E454" s="340"/>
      <c r="F454" s="340"/>
      <c r="G454" s="340"/>
      <c r="H454" s="340"/>
      <c r="I454" s="340"/>
      <c r="J454" s="340"/>
      <c r="K454" s="340"/>
      <c r="L454" s="340"/>
      <c r="M454" s="340"/>
      <c r="N454" s="340"/>
      <c r="O454" s="340"/>
      <c r="P454" s="340"/>
      <c r="Q454" s="340"/>
      <c r="R454" s="340"/>
      <c r="S454" s="340"/>
      <c r="T454" s="340"/>
      <c r="U454" s="340"/>
      <c r="V454" s="340"/>
      <c r="W454" s="340"/>
      <c r="X454" s="340"/>
      <c r="Y454" s="340"/>
      <c r="Z454" s="340"/>
    </row>
    <row r="455" ht="15.75" customHeight="1">
      <c r="A455" s="340"/>
      <c r="B455" s="340"/>
      <c r="C455" s="340"/>
      <c r="D455" s="340"/>
      <c r="E455" s="340"/>
      <c r="F455" s="340"/>
      <c r="G455" s="340"/>
      <c r="H455" s="340"/>
      <c r="I455" s="340"/>
      <c r="J455" s="340"/>
      <c r="K455" s="340"/>
      <c r="L455" s="340"/>
      <c r="M455" s="340"/>
      <c r="N455" s="340"/>
      <c r="O455" s="340"/>
      <c r="P455" s="340"/>
      <c r="Q455" s="340"/>
      <c r="R455" s="340"/>
      <c r="S455" s="340"/>
      <c r="T455" s="340"/>
      <c r="U455" s="340"/>
      <c r="V455" s="340"/>
      <c r="W455" s="340"/>
      <c r="X455" s="340"/>
      <c r="Y455" s="340"/>
      <c r="Z455" s="340"/>
    </row>
    <row r="456" ht="15.75" customHeight="1">
      <c r="A456" s="340"/>
      <c r="B456" s="340"/>
      <c r="C456" s="340"/>
      <c r="D456" s="340"/>
      <c r="E456" s="340"/>
      <c r="F456" s="340"/>
      <c r="G456" s="340"/>
      <c r="H456" s="340"/>
      <c r="I456" s="340"/>
      <c r="J456" s="340"/>
      <c r="K456" s="340"/>
      <c r="L456" s="340"/>
      <c r="M456" s="340"/>
      <c r="N456" s="340"/>
      <c r="O456" s="340"/>
      <c r="P456" s="340"/>
      <c r="Q456" s="340"/>
      <c r="R456" s="340"/>
      <c r="S456" s="340"/>
      <c r="T456" s="340"/>
      <c r="U456" s="340"/>
      <c r="V456" s="340"/>
      <c r="W456" s="340"/>
      <c r="X456" s="340"/>
      <c r="Y456" s="340"/>
      <c r="Z456" s="340"/>
    </row>
    <row r="457" ht="15.75" customHeight="1">
      <c r="A457" s="340"/>
      <c r="B457" s="340"/>
      <c r="C457" s="340"/>
      <c r="D457" s="340"/>
      <c r="E457" s="340"/>
      <c r="F457" s="340"/>
      <c r="G457" s="340"/>
      <c r="H457" s="340"/>
      <c r="I457" s="340"/>
      <c r="J457" s="340"/>
      <c r="K457" s="340"/>
      <c r="L457" s="340"/>
      <c r="M457" s="340"/>
      <c r="N457" s="340"/>
      <c r="O457" s="340"/>
      <c r="P457" s="340"/>
      <c r="Q457" s="340"/>
      <c r="R457" s="340"/>
      <c r="S457" s="340"/>
      <c r="T457" s="340"/>
      <c r="U457" s="340"/>
      <c r="V457" s="340"/>
      <c r="W457" s="340"/>
      <c r="X457" s="340"/>
      <c r="Y457" s="340"/>
      <c r="Z457" s="340"/>
    </row>
    <row r="458" ht="15.75" customHeight="1">
      <c r="A458" s="340"/>
      <c r="B458" s="340"/>
      <c r="C458" s="340"/>
      <c r="D458" s="340"/>
      <c r="E458" s="340"/>
      <c r="F458" s="340"/>
      <c r="G458" s="340"/>
      <c r="H458" s="340"/>
      <c r="I458" s="340"/>
      <c r="J458" s="340"/>
      <c r="K458" s="340"/>
      <c r="L458" s="340"/>
      <c r="M458" s="340"/>
      <c r="N458" s="340"/>
      <c r="O458" s="340"/>
      <c r="P458" s="340"/>
      <c r="Q458" s="340"/>
      <c r="R458" s="340"/>
      <c r="S458" s="340"/>
      <c r="T458" s="340"/>
      <c r="U458" s="340"/>
      <c r="V458" s="340"/>
      <c r="W458" s="340"/>
      <c r="X458" s="340"/>
      <c r="Y458" s="340"/>
      <c r="Z458" s="340"/>
    </row>
    <row r="459" ht="15.75" customHeight="1">
      <c r="A459" s="340"/>
      <c r="B459" s="340"/>
      <c r="C459" s="340"/>
      <c r="D459" s="340"/>
      <c r="E459" s="340"/>
      <c r="F459" s="340"/>
      <c r="G459" s="340"/>
      <c r="H459" s="340"/>
      <c r="I459" s="340"/>
      <c r="J459" s="340"/>
      <c r="K459" s="340"/>
      <c r="L459" s="340"/>
      <c r="M459" s="340"/>
      <c r="N459" s="340"/>
      <c r="O459" s="340"/>
      <c r="P459" s="340"/>
      <c r="Q459" s="340"/>
      <c r="R459" s="340"/>
      <c r="S459" s="340"/>
      <c r="T459" s="340"/>
      <c r="U459" s="340"/>
      <c r="V459" s="340"/>
      <c r="W459" s="340"/>
      <c r="X459" s="340"/>
      <c r="Y459" s="340"/>
      <c r="Z459" s="340"/>
    </row>
    <row r="460" ht="15.75" customHeight="1">
      <c r="A460" s="340"/>
      <c r="B460" s="340"/>
      <c r="C460" s="340"/>
      <c r="D460" s="340"/>
      <c r="E460" s="340"/>
      <c r="F460" s="340"/>
      <c r="G460" s="340"/>
      <c r="H460" s="340"/>
      <c r="I460" s="340"/>
      <c r="J460" s="340"/>
      <c r="K460" s="340"/>
      <c r="L460" s="340"/>
      <c r="M460" s="340"/>
      <c r="N460" s="340"/>
      <c r="O460" s="340"/>
      <c r="P460" s="340"/>
      <c r="Q460" s="340"/>
      <c r="R460" s="340"/>
      <c r="S460" s="340"/>
      <c r="T460" s="340"/>
      <c r="U460" s="340"/>
      <c r="V460" s="340"/>
      <c r="W460" s="340"/>
      <c r="X460" s="340"/>
      <c r="Y460" s="340"/>
      <c r="Z460" s="340"/>
    </row>
    <row r="461" ht="15.75" customHeight="1">
      <c r="A461" s="340"/>
      <c r="B461" s="340"/>
      <c r="C461" s="340"/>
      <c r="D461" s="340"/>
      <c r="E461" s="340"/>
      <c r="F461" s="340"/>
      <c r="G461" s="340"/>
      <c r="H461" s="340"/>
      <c r="I461" s="340"/>
      <c r="J461" s="340"/>
      <c r="K461" s="340"/>
      <c r="L461" s="340"/>
      <c r="M461" s="340"/>
      <c r="N461" s="340"/>
      <c r="O461" s="340"/>
      <c r="P461" s="340"/>
      <c r="Q461" s="340"/>
      <c r="R461" s="340"/>
      <c r="S461" s="340"/>
      <c r="T461" s="340"/>
      <c r="U461" s="340"/>
      <c r="V461" s="340"/>
      <c r="W461" s="340"/>
      <c r="X461" s="340"/>
      <c r="Y461" s="340"/>
      <c r="Z461" s="340"/>
    </row>
    <row r="462" ht="15.75" customHeight="1">
      <c r="A462" s="340"/>
      <c r="B462" s="340"/>
      <c r="C462" s="340"/>
      <c r="D462" s="340"/>
      <c r="E462" s="340"/>
      <c r="F462" s="340"/>
      <c r="G462" s="340"/>
      <c r="H462" s="340"/>
      <c r="I462" s="340"/>
      <c r="J462" s="340"/>
      <c r="K462" s="340"/>
      <c r="L462" s="340"/>
      <c r="M462" s="340"/>
      <c r="N462" s="340"/>
      <c r="O462" s="340"/>
      <c r="P462" s="340"/>
      <c r="Q462" s="340"/>
      <c r="R462" s="340"/>
      <c r="S462" s="340"/>
      <c r="T462" s="340"/>
      <c r="U462" s="340"/>
      <c r="V462" s="340"/>
      <c r="W462" s="340"/>
      <c r="X462" s="340"/>
      <c r="Y462" s="340"/>
      <c r="Z462" s="340"/>
    </row>
    <row r="463" ht="15.75" customHeight="1">
      <c r="A463" s="340"/>
      <c r="B463" s="340"/>
      <c r="C463" s="340"/>
      <c r="D463" s="340"/>
      <c r="E463" s="340"/>
      <c r="F463" s="340"/>
      <c r="G463" s="340"/>
      <c r="H463" s="340"/>
      <c r="I463" s="340"/>
      <c r="J463" s="340"/>
      <c r="K463" s="340"/>
      <c r="L463" s="340"/>
      <c r="M463" s="340"/>
      <c r="N463" s="340"/>
      <c r="O463" s="340"/>
      <c r="P463" s="340"/>
      <c r="Q463" s="340"/>
      <c r="R463" s="340"/>
      <c r="S463" s="340"/>
      <c r="T463" s="340"/>
      <c r="U463" s="340"/>
      <c r="V463" s="340"/>
      <c r="W463" s="340"/>
      <c r="X463" s="340"/>
      <c r="Y463" s="340"/>
      <c r="Z463" s="340"/>
    </row>
    <row r="464" ht="15.75" customHeight="1">
      <c r="A464" s="340"/>
      <c r="B464" s="340"/>
      <c r="C464" s="340"/>
      <c r="D464" s="340"/>
      <c r="E464" s="340"/>
      <c r="F464" s="340"/>
      <c r="G464" s="340"/>
      <c r="H464" s="340"/>
      <c r="I464" s="340"/>
      <c r="J464" s="340"/>
      <c r="K464" s="340"/>
      <c r="L464" s="340"/>
      <c r="M464" s="340"/>
      <c r="N464" s="340"/>
      <c r="O464" s="340"/>
      <c r="P464" s="340"/>
      <c r="Q464" s="340"/>
      <c r="R464" s="340"/>
      <c r="S464" s="340"/>
      <c r="T464" s="340"/>
      <c r="U464" s="340"/>
      <c r="V464" s="340"/>
      <c r="W464" s="340"/>
      <c r="X464" s="340"/>
      <c r="Y464" s="340"/>
      <c r="Z464" s="340"/>
    </row>
    <row r="465" ht="15.75" customHeight="1">
      <c r="A465" s="340"/>
      <c r="B465" s="340"/>
      <c r="C465" s="340"/>
      <c r="D465" s="340"/>
      <c r="E465" s="340"/>
      <c r="F465" s="340"/>
      <c r="G465" s="340"/>
      <c r="H465" s="340"/>
      <c r="I465" s="340"/>
      <c r="J465" s="340"/>
      <c r="K465" s="340"/>
      <c r="L465" s="340"/>
      <c r="M465" s="340"/>
      <c r="N465" s="340"/>
      <c r="O465" s="340"/>
      <c r="P465" s="340"/>
      <c r="Q465" s="340"/>
      <c r="R465" s="340"/>
      <c r="S465" s="340"/>
      <c r="T465" s="340"/>
      <c r="U465" s="340"/>
      <c r="V465" s="340"/>
      <c r="W465" s="340"/>
      <c r="X465" s="340"/>
      <c r="Y465" s="340"/>
      <c r="Z465" s="340"/>
    </row>
    <row r="466" ht="15.75" customHeight="1">
      <c r="A466" s="340"/>
      <c r="B466" s="340"/>
      <c r="C466" s="340"/>
      <c r="D466" s="340"/>
      <c r="E466" s="340"/>
      <c r="F466" s="340"/>
      <c r="G466" s="340"/>
      <c r="H466" s="340"/>
      <c r="I466" s="340"/>
      <c r="J466" s="340"/>
      <c r="K466" s="340"/>
      <c r="L466" s="340"/>
      <c r="M466" s="340"/>
      <c r="N466" s="340"/>
      <c r="O466" s="340"/>
      <c r="P466" s="340"/>
      <c r="Q466" s="340"/>
      <c r="R466" s="340"/>
      <c r="S466" s="340"/>
      <c r="T466" s="340"/>
      <c r="U466" s="340"/>
      <c r="V466" s="340"/>
      <c r="W466" s="340"/>
      <c r="X466" s="340"/>
      <c r="Y466" s="340"/>
      <c r="Z466" s="340"/>
    </row>
    <row r="467" ht="15.75" customHeight="1">
      <c r="A467" s="340"/>
      <c r="B467" s="340"/>
      <c r="C467" s="340"/>
      <c r="D467" s="340"/>
      <c r="E467" s="340"/>
      <c r="F467" s="340"/>
      <c r="G467" s="340"/>
      <c r="H467" s="340"/>
      <c r="I467" s="340"/>
      <c r="J467" s="340"/>
      <c r="K467" s="340"/>
      <c r="L467" s="340"/>
      <c r="M467" s="340"/>
      <c r="N467" s="340"/>
      <c r="O467" s="340"/>
      <c r="P467" s="340"/>
      <c r="Q467" s="340"/>
      <c r="R467" s="340"/>
      <c r="S467" s="340"/>
      <c r="T467" s="340"/>
      <c r="U467" s="340"/>
      <c r="V467" s="340"/>
      <c r="W467" s="340"/>
      <c r="X467" s="340"/>
      <c r="Y467" s="340"/>
      <c r="Z467" s="340"/>
    </row>
    <row r="468" ht="15.75" customHeight="1">
      <c r="A468" s="340"/>
      <c r="B468" s="340"/>
      <c r="C468" s="340"/>
      <c r="D468" s="340"/>
      <c r="E468" s="340"/>
      <c r="F468" s="340"/>
      <c r="G468" s="340"/>
      <c r="H468" s="340"/>
      <c r="I468" s="340"/>
      <c r="J468" s="340"/>
      <c r="K468" s="340"/>
      <c r="L468" s="340"/>
      <c r="M468" s="340"/>
      <c r="N468" s="340"/>
      <c r="O468" s="340"/>
      <c r="P468" s="340"/>
      <c r="Q468" s="340"/>
      <c r="R468" s="340"/>
      <c r="S468" s="340"/>
      <c r="T468" s="340"/>
      <c r="U468" s="340"/>
      <c r="V468" s="340"/>
      <c r="W468" s="340"/>
      <c r="X468" s="340"/>
      <c r="Y468" s="340"/>
      <c r="Z468" s="340"/>
    </row>
    <row r="469" ht="15.75" customHeight="1">
      <c r="A469" s="340"/>
      <c r="B469" s="340"/>
      <c r="C469" s="340"/>
      <c r="D469" s="340"/>
      <c r="E469" s="340"/>
      <c r="F469" s="340"/>
      <c r="G469" s="340"/>
      <c r="H469" s="340"/>
      <c r="I469" s="340"/>
      <c r="J469" s="340"/>
      <c r="K469" s="340"/>
      <c r="L469" s="340"/>
      <c r="M469" s="340"/>
      <c r="N469" s="340"/>
      <c r="O469" s="340"/>
      <c r="P469" s="340"/>
      <c r="Q469" s="340"/>
      <c r="R469" s="340"/>
      <c r="S469" s="340"/>
      <c r="T469" s="340"/>
      <c r="U469" s="340"/>
      <c r="V469" s="340"/>
      <c r="W469" s="340"/>
      <c r="X469" s="340"/>
      <c r="Y469" s="340"/>
      <c r="Z469" s="340"/>
    </row>
    <row r="470" ht="15.75" customHeight="1">
      <c r="A470" s="340"/>
      <c r="B470" s="340"/>
      <c r="C470" s="340"/>
      <c r="D470" s="340"/>
      <c r="E470" s="340"/>
      <c r="F470" s="340"/>
      <c r="G470" s="340"/>
      <c r="H470" s="340"/>
      <c r="I470" s="340"/>
      <c r="J470" s="340"/>
      <c r="K470" s="340"/>
      <c r="L470" s="340"/>
      <c r="M470" s="340"/>
      <c r="N470" s="340"/>
      <c r="O470" s="340"/>
      <c r="P470" s="340"/>
      <c r="Q470" s="340"/>
      <c r="R470" s="340"/>
      <c r="S470" s="340"/>
      <c r="T470" s="340"/>
      <c r="U470" s="340"/>
      <c r="V470" s="340"/>
      <c r="W470" s="340"/>
      <c r="X470" s="340"/>
      <c r="Y470" s="340"/>
      <c r="Z470" s="340"/>
    </row>
    <row r="471" ht="15.75" customHeight="1">
      <c r="A471" s="340"/>
      <c r="B471" s="340"/>
      <c r="C471" s="340"/>
      <c r="D471" s="340"/>
      <c r="E471" s="340"/>
      <c r="F471" s="340"/>
      <c r="G471" s="340"/>
      <c r="H471" s="340"/>
      <c r="I471" s="340"/>
      <c r="J471" s="340"/>
      <c r="K471" s="340"/>
      <c r="L471" s="340"/>
      <c r="M471" s="340"/>
      <c r="N471" s="340"/>
      <c r="O471" s="340"/>
      <c r="P471" s="340"/>
      <c r="Q471" s="340"/>
      <c r="R471" s="340"/>
      <c r="S471" s="340"/>
      <c r="T471" s="340"/>
      <c r="U471" s="340"/>
      <c r="V471" s="340"/>
      <c r="W471" s="340"/>
      <c r="X471" s="340"/>
      <c r="Y471" s="340"/>
      <c r="Z471" s="340"/>
    </row>
    <row r="472" ht="15.75" customHeight="1">
      <c r="A472" s="340"/>
      <c r="B472" s="340"/>
      <c r="C472" s="340"/>
      <c r="D472" s="340"/>
      <c r="E472" s="340"/>
      <c r="F472" s="340"/>
      <c r="G472" s="340"/>
      <c r="H472" s="340"/>
      <c r="I472" s="340"/>
      <c r="J472" s="340"/>
      <c r="K472" s="340"/>
      <c r="L472" s="340"/>
      <c r="M472" s="340"/>
      <c r="N472" s="340"/>
      <c r="O472" s="340"/>
      <c r="P472" s="340"/>
      <c r="Q472" s="340"/>
      <c r="R472" s="340"/>
      <c r="S472" s="340"/>
      <c r="T472" s="340"/>
      <c r="U472" s="340"/>
      <c r="V472" s="340"/>
      <c r="W472" s="340"/>
      <c r="X472" s="340"/>
      <c r="Y472" s="340"/>
      <c r="Z472" s="340"/>
    </row>
    <row r="473" ht="15.75" customHeight="1">
      <c r="A473" s="340"/>
      <c r="B473" s="340"/>
      <c r="C473" s="340"/>
      <c r="D473" s="340"/>
      <c r="E473" s="340"/>
      <c r="F473" s="340"/>
      <c r="G473" s="340"/>
      <c r="H473" s="340"/>
      <c r="I473" s="340"/>
      <c r="J473" s="340"/>
      <c r="K473" s="340"/>
      <c r="L473" s="340"/>
      <c r="M473" s="340"/>
      <c r="N473" s="340"/>
      <c r="O473" s="340"/>
      <c r="P473" s="340"/>
      <c r="Q473" s="340"/>
      <c r="R473" s="340"/>
      <c r="S473" s="340"/>
      <c r="T473" s="340"/>
      <c r="U473" s="340"/>
      <c r="V473" s="340"/>
      <c r="W473" s="340"/>
      <c r="X473" s="340"/>
      <c r="Y473" s="340"/>
      <c r="Z473" s="340"/>
    </row>
    <row r="474" ht="15.75" customHeight="1">
      <c r="A474" s="340"/>
      <c r="B474" s="340"/>
      <c r="C474" s="340"/>
      <c r="D474" s="340"/>
      <c r="E474" s="340"/>
      <c r="F474" s="340"/>
      <c r="G474" s="340"/>
      <c r="H474" s="340"/>
      <c r="I474" s="340"/>
      <c r="J474" s="340"/>
      <c r="K474" s="340"/>
      <c r="L474" s="340"/>
      <c r="M474" s="340"/>
      <c r="N474" s="340"/>
      <c r="O474" s="340"/>
      <c r="P474" s="340"/>
      <c r="Q474" s="340"/>
      <c r="R474" s="340"/>
      <c r="S474" s="340"/>
      <c r="T474" s="340"/>
      <c r="U474" s="340"/>
      <c r="V474" s="340"/>
      <c r="W474" s="340"/>
      <c r="X474" s="340"/>
      <c r="Y474" s="340"/>
      <c r="Z474" s="340"/>
    </row>
    <row r="475" ht="15.75" customHeight="1">
      <c r="A475" s="340"/>
      <c r="B475" s="340"/>
      <c r="C475" s="340"/>
      <c r="D475" s="340"/>
      <c r="E475" s="340"/>
      <c r="F475" s="340"/>
      <c r="G475" s="340"/>
      <c r="H475" s="340"/>
      <c r="I475" s="340"/>
      <c r="J475" s="340"/>
      <c r="K475" s="340"/>
      <c r="L475" s="340"/>
      <c r="M475" s="340"/>
      <c r="N475" s="340"/>
      <c r="O475" s="340"/>
      <c r="P475" s="340"/>
      <c r="Q475" s="340"/>
      <c r="R475" s="340"/>
      <c r="S475" s="340"/>
      <c r="T475" s="340"/>
      <c r="U475" s="340"/>
      <c r="V475" s="340"/>
      <c r="W475" s="340"/>
      <c r="X475" s="340"/>
      <c r="Y475" s="340"/>
      <c r="Z475" s="340"/>
    </row>
    <row r="476" ht="15.75" customHeight="1">
      <c r="A476" s="340"/>
      <c r="B476" s="340"/>
      <c r="C476" s="340"/>
      <c r="D476" s="340"/>
      <c r="E476" s="340"/>
      <c r="F476" s="340"/>
      <c r="G476" s="340"/>
      <c r="H476" s="340"/>
      <c r="I476" s="340"/>
      <c r="J476" s="340"/>
      <c r="K476" s="340"/>
      <c r="L476" s="340"/>
      <c r="M476" s="340"/>
      <c r="N476" s="340"/>
      <c r="O476" s="340"/>
      <c r="P476" s="340"/>
      <c r="Q476" s="340"/>
      <c r="R476" s="340"/>
      <c r="S476" s="340"/>
      <c r="T476" s="340"/>
      <c r="U476" s="340"/>
      <c r="V476" s="340"/>
      <c r="W476" s="340"/>
      <c r="X476" s="340"/>
      <c r="Y476" s="340"/>
      <c r="Z476" s="340"/>
    </row>
    <row r="477" ht="15.75" customHeight="1">
      <c r="A477" s="340"/>
      <c r="B477" s="340"/>
      <c r="C477" s="340"/>
      <c r="D477" s="340"/>
      <c r="E477" s="340"/>
      <c r="F477" s="340"/>
      <c r="G477" s="340"/>
      <c r="H477" s="340"/>
      <c r="I477" s="340"/>
      <c r="J477" s="340"/>
      <c r="K477" s="340"/>
      <c r="L477" s="340"/>
      <c r="M477" s="340"/>
      <c r="N477" s="340"/>
      <c r="O477" s="340"/>
      <c r="P477" s="340"/>
      <c r="Q477" s="340"/>
      <c r="R477" s="340"/>
      <c r="S477" s="340"/>
      <c r="T477" s="340"/>
      <c r="U477" s="340"/>
      <c r="V477" s="340"/>
      <c r="W477" s="340"/>
      <c r="X477" s="340"/>
      <c r="Y477" s="340"/>
      <c r="Z477" s="340"/>
    </row>
    <row r="478" ht="15.75" customHeight="1">
      <c r="A478" s="340"/>
      <c r="B478" s="340"/>
      <c r="C478" s="340"/>
      <c r="D478" s="340"/>
      <c r="E478" s="340"/>
      <c r="F478" s="340"/>
      <c r="G478" s="340"/>
      <c r="H478" s="340"/>
      <c r="I478" s="340"/>
      <c r="J478" s="340"/>
      <c r="K478" s="340"/>
      <c r="L478" s="340"/>
      <c r="M478" s="340"/>
      <c r="N478" s="340"/>
      <c r="O478" s="340"/>
      <c r="P478" s="340"/>
      <c r="Q478" s="340"/>
      <c r="R478" s="340"/>
      <c r="S478" s="340"/>
      <c r="T478" s="340"/>
      <c r="U478" s="340"/>
      <c r="V478" s="340"/>
      <c r="W478" s="340"/>
      <c r="X478" s="340"/>
      <c r="Y478" s="340"/>
      <c r="Z478" s="340"/>
    </row>
    <row r="479" ht="15.75" customHeight="1">
      <c r="A479" s="340"/>
      <c r="B479" s="340"/>
      <c r="C479" s="340"/>
      <c r="D479" s="340"/>
      <c r="E479" s="340"/>
      <c r="F479" s="340"/>
      <c r="G479" s="340"/>
      <c r="H479" s="340"/>
      <c r="I479" s="340"/>
      <c r="J479" s="340"/>
      <c r="K479" s="340"/>
      <c r="L479" s="340"/>
      <c r="M479" s="340"/>
      <c r="N479" s="340"/>
      <c r="O479" s="340"/>
      <c r="P479" s="340"/>
      <c r="Q479" s="340"/>
      <c r="R479" s="340"/>
      <c r="S479" s="340"/>
      <c r="T479" s="340"/>
      <c r="U479" s="340"/>
      <c r="V479" s="340"/>
      <c r="W479" s="340"/>
      <c r="X479" s="340"/>
      <c r="Y479" s="340"/>
      <c r="Z479" s="340"/>
    </row>
    <row r="480" ht="15.75" customHeight="1">
      <c r="A480" s="340"/>
      <c r="B480" s="340"/>
      <c r="C480" s="340"/>
      <c r="D480" s="340"/>
      <c r="E480" s="340"/>
      <c r="F480" s="340"/>
      <c r="G480" s="340"/>
      <c r="H480" s="340"/>
      <c r="I480" s="340"/>
      <c r="J480" s="340"/>
      <c r="K480" s="340"/>
      <c r="L480" s="340"/>
      <c r="M480" s="340"/>
      <c r="N480" s="340"/>
      <c r="O480" s="340"/>
      <c r="P480" s="340"/>
      <c r="Q480" s="340"/>
      <c r="R480" s="340"/>
      <c r="S480" s="340"/>
      <c r="T480" s="340"/>
      <c r="U480" s="340"/>
      <c r="V480" s="340"/>
      <c r="W480" s="340"/>
      <c r="X480" s="340"/>
      <c r="Y480" s="340"/>
      <c r="Z480" s="340"/>
    </row>
    <row r="481" ht="15.75" customHeight="1">
      <c r="A481" s="340"/>
      <c r="B481" s="340"/>
      <c r="C481" s="340"/>
      <c r="D481" s="340"/>
      <c r="E481" s="340"/>
      <c r="F481" s="340"/>
      <c r="G481" s="340"/>
      <c r="H481" s="340"/>
      <c r="I481" s="340"/>
      <c r="J481" s="340"/>
      <c r="K481" s="340"/>
      <c r="L481" s="340"/>
      <c r="M481" s="340"/>
      <c r="N481" s="340"/>
      <c r="O481" s="340"/>
      <c r="P481" s="340"/>
      <c r="Q481" s="340"/>
      <c r="R481" s="340"/>
      <c r="S481" s="340"/>
      <c r="T481" s="340"/>
      <c r="U481" s="340"/>
      <c r="V481" s="340"/>
      <c r="W481" s="340"/>
      <c r="X481" s="340"/>
      <c r="Y481" s="340"/>
      <c r="Z481" s="340"/>
    </row>
    <row r="482" ht="15.75" customHeight="1">
      <c r="A482" s="340"/>
      <c r="B482" s="340"/>
      <c r="C482" s="340"/>
      <c r="D482" s="340"/>
      <c r="E482" s="340"/>
      <c r="F482" s="340"/>
      <c r="G482" s="340"/>
      <c r="H482" s="340"/>
      <c r="I482" s="340"/>
      <c r="J482" s="340"/>
      <c r="K482" s="340"/>
      <c r="L482" s="340"/>
      <c r="M482" s="340"/>
      <c r="N482" s="340"/>
      <c r="O482" s="340"/>
      <c r="P482" s="340"/>
      <c r="Q482" s="340"/>
      <c r="R482" s="340"/>
      <c r="S482" s="340"/>
      <c r="T482" s="340"/>
      <c r="U482" s="340"/>
      <c r="V482" s="340"/>
      <c r="W482" s="340"/>
      <c r="X482" s="340"/>
      <c r="Y482" s="340"/>
      <c r="Z482" s="340"/>
    </row>
    <row r="483" ht="15.75" customHeight="1">
      <c r="A483" s="340"/>
      <c r="B483" s="340"/>
      <c r="C483" s="340"/>
      <c r="D483" s="340"/>
      <c r="E483" s="340"/>
      <c r="F483" s="340"/>
      <c r="G483" s="340"/>
      <c r="H483" s="340"/>
      <c r="I483" s="340"/>
      <c r="J483" s="340"/>
      <c r="K483" s="340"/>
      <c r="L483" s="340"/>
      <c r="M483" s="340"/>
      <c r="N483" s="340"/>
      <c r="O483" s="340"/>
      <c r="P483" s="340"/>
      <c r="Q483" s="340"/>
      <c r="R483" s="340"/>
      <c r="S483" s="340"/>
      <c r="T483" s="340"/>
      <c r="U483" s="340"/>
      <c r="V483" s="340"/>
      <c r="W483" s="340"/>
      <c r="X483" s="340"/>
      <c r="Y483" s="340"/>
      <c r="Z483" s="340"/>
    </row>
    <row r="484" ht="15.75" customHeight="1">
      <c r="A484" s="340"/>
      <c r="B484" s="340"/>
      <c r="C484" s="340"/>
      <c r="D484" s="340"/>
      <c r="E484" s="340"/>
      <c r="F484" s="340"/>
      <c r="G484" s="340"/>
      <c r="H484" s="340"/>
      <c r="I484" s="340"/>
      <c r="J484" s="340"/>
      <c r="K484" s="340"/>
      <c r="L484" s="340"/>
      <c r="M484" s="340"/>
      <c r="N484" s="340"/>
      <c r="O484" s="340"/>
      <c r="P484" s="340"/>
      <c r="Q484" s="340"/>
      <c r="R484" s="340"/>
      <c r="S484" s="340"/>
      <c r="T484" s="340"/>
      <c r="U484" s="340"/>
      <c r="V484" s="340"/>
      <c r="W484" s="340"/>
      <c r="X484" s="340"/>
      <c r="Y484" s="340"/>
      <c r="Z484" s="340"/>
    </row>
    <row r="485" ht="15.75" customHeight="1">
      <c r="A485" s="340"/>
      <c r="B485" s="340"/>
      <c r="C485" s="340"/>
      <c r="D485" s="340"/>
      <c r="E485" s="340"/>
      <c r="F485" s="340"/>
      <c r="G485" s="340"/>
      <c r="H485" s="340"/>
      <c r="I485" s="340"/>
      <c r="J485" s="340"/>
      <c r="K485" s="340"/>
      <c r="L485" s="340"/>
      <c r="M485" s="340"/>
      <c r="N485" s="340"/>
      <c r="O485" s="340"/>
      <c r="P485" s="340"/>
      <c r="Q485" s="340"/>
      <c r="R485" s="340"/>
      <c r="S485" s="340"/>
      <c r="T485" s="340"/>
      <c r="U485" s="340"/>
      <c r="V485" s="340"/>
      <c r="W485" s="340"/>
      <c r="X485" s="340"/>
      <c r="Y485" s="340"/>
      <c r="Z485" s="340"/>
    </row>
    <row r="486" ht="15.75" customHeight="1">
      <c r="A486" s="340"/>
      <c r="B486" s="340"/>
      <c r="C486" s="340"/>
      <c r="D486" s="340"/>
      <c r="E486" s="340"/>
      <c r="F486" s="340"/>
      <c r="G486" s="340"/>
      <c r="H486" s="340"/>
      <c r="I486" s="340"/>
      <c r="J486" s="340"/>
      <c r="K486" s="340"/>
      <c r="L486" s="340"/>
      <c r="M486" s="340"/>
      <c r="N486" s="340"/>
      <c r="O486" s="340"/>
      <c r="P486" s="340"/>
      <c r="Q486" s="340"/>
      <c r="R486" s="340"/>
      <c r="S486" s="340"/>
      <c r="T486" s="340"/>
      <c r="U486" s="340"/>
      <c r="V486" s="340"/>
      <c r="W486" s="340"/>
      <c r="X486" s="340"/>
      <c r="Y486" s="340"/>
      <c r="Z486" s="340"/>
    </row>
    <row r="487" ht="15.75" customHeight="1">
      <c r="A487" s="340"/>
      <c r="B487" s="340"/>
      <c r="C487" s="340"/>
      <c r="D487" s="340"/>
      <c r="E487" s="340"/>
      <c r="F487" s="340"/>
      <c r="G487" s="340"/>
      <c r="H487" s="340"/>
      <c r="I487" s="340"/>
      <c r="J487" s="340"/>
      <c r="K487" s="340"/>
      <c r="L487" s="340"/>
      <c r="M487" s="340"/>
      <c r="N487" s="340"/>
      <c r="O487" s="340"/>
      <c r="P487" s="340"/>
      <c r="Q487" s="340"/>
      <c r="R487" s="340"/>
      <c r="S487" s="340"/>
      <c r="T487" s="340"/>
      <c r="U487" s="340"/>
      <c r="V487" s="340"/>
      <c r="W487" s="340"/>
      <c r="X487" s="340"/>
      <c r="Y487" s="340"/>
      <c r="Z487" s="340"/>
    </row>
    <row r="488" ht="15.75" customHeight="1">
      <c r="A488" s="340"/>
      <c r="B488" s="340"/>
      <c r="C488" s="340"/>
      <c r="D488" s="340"/>
      <c r="E488" s="340"/>
      <c r="F488" s="340"/>
      <c r="G488" s="340"/>
      <c r="H488" s="340"/>
      <c r="I488" s="340"/>
      <c r="J488" s="340"/>
      <c r="K488" s="340"/>
      <c r="L488" s="340"/>
      <c r="M488" s="340"/>
      <c r="N488" s="340"/>
      <c r="O488" s="340"/>
      <c r="P488" s="340"/>
      <c r="Q488" s="340"/>
      <c r="R488" s="340"/>
      <c r="S488" s="340"/>
      <c r="T488" s="340"/>
      <c r="U488" s="340"/>
      <c r="V488" s="340"/>
      <c r="W488" s="340"/>
      <c r="X488" s="340"/>
      <c r="Y488" s="340"/>
      <c r="Z488" s="340"/>
    </row>
    <row r="489" ht="15.75" customHeight="1">
      <c r="A489" s="340"/>
      <c r="B489" s="340"/>
      <c r="C489" s="340"/>
      <c r="D489" s="340"/>
      <c r="E489" s="340"/>
      <c r="F489" s="340"/>
      <c r="G489" s="340"/>
      <c r="H489" s="340"/>
      <c r="I489" s="340"/>
      <c r="J489" s="340"/>
      <c r="K489" s="340"/>
      <c r="L489" s="340"/>
      <c r="M489" s="340"/>
      <c r="N489" s="340"/>
      <c r="O489" s="340"/>
      <c r="P489" s="340"/>
      <c r="Q489" s="340"/>
      <c r="R489" s="340"/>
      <c r="S489" s="340"/>
      <c r="T489" s="340"/>
      <c r="U489" s="340"/>
      <c r="V489" s="340"/>
      <c r="W489" s="340"/>
      <c r="X489" s="340"/>
      <c r="Y489" s="340"/>
      <c r="Z489" s="340"/>
    </row>
    <row r="490" ht="15.75" customHeight="1">
      <c r="A490" s="340"/>
      <c r="B490" s="340"/>
      <c r="C490" s="340"/>
      <c r="D490" s="340"/>
      <c r="E490" s="340"/>
      <c r="F490" s="340"/>
      <c r="G490" s="340"/>
      <c r="H490" s="340"/>
      <c r="I490" s="340"/>
      <c r="J490" s="340"/>
      <c r="K490" s="340"/>
      <c r="L490" s="340"/>
      <c r="M490" s="340"/>
      <c r="N490" s="340"/>
      <c r="O490" s="340"/>
      <c r="P490" s="340"/>
      <c r="Q490" s="340"/>
      <c r="R490" s="340"/>
      <c r="S490" s="340"/>
      <c r="T490" s="340"/>
      <c r="U490" s="340"/>
      <c r="V490" s="340"/>
      <c r="W490" s="340"/>
      <c r="X490" s="340"/>
      <c r="Y490" s="340"/>
      <c r="Z490" s="340"/>
    </row>
    <row r="491" ht="15.75" customHeight="1">
      <c r="A491" s="340"/>
      <c r="B491" s="340"/>
      <c r="C491" s="340"/>
      <c r="D491" s="340"/>
      <c r="E491" s="340"/>
      <c r="F491" s="340"/>
      <c r="G491" s="340"/>
      <c r="H491" s="340"/>
      <c r="I491" s="340"/>
      <c r="J491" s="340"/>
      <c r="K491" s="340"/>
      <c r="L491" s="340"/>
      <c r="M491" s="340"/>
      <c r="N491" s="340"/>
      <c r="O491" s="340"/>
      <c r="P491" s="340"/>
      <c r="Q491" s="340"/>
      <c r="R491" s="340"/>
      <c r="S491" s="340"/>
      <c r="T491" s="340"/>
      <c r="U491" s="340"/>
      <c r="V491" s="340"/>
      <c r="W491" s="340"/>
      <c r="X491" s="340"/>
      <c r="Y491" s="340"/>
      <c r="Z491" s="340"/>
    </row>
    <row r="492" ht="15.75" customHeight="1">
      <c r="A492" s="340"/>
      <c r="B492" s="340"/>
      <c r="C492" s="340"/>
      <c r="D492" s="340"/>
      <c r="E492" s="340"/>
      <c r="F492" s="340"/>
      <c r="G492" s="340"/>
      <c r="H492" s="340"/>
      <c r="I492" s="340"/>
      <c r="J492" s="340"/>
      <c r="K492" s="340"/>
      <c r="L492" s="340"/>
      <c r="M492" s="340"/>
      <c r="N492" s="340"/>
      <c r="O492" s="340"/>
      <c r="P492" s="340"/>
      <c r="Q492" s="340"/>
      <c r="R492" s="340"/>
      <c r="S492" s="340"/>
      <c r="T492" s="340"/>
      <c r="U492" s="340"/>
      <c r="V492" s="340"/>
      <c r="W492" s="340"/>
      <c r="X492" s="340"/>
      <c r="Y492" s="340"/>
      <c r="Z492" s="340"/>
    </row>
    <row r="493" ht="15.75" customHeight="1">
      <c r="A493" s="340"/>
      <c r="B493" s="340"/>
      <c r="C493" s="340"/>
      <c r="D493" s="340"/>
      <c r="E493" s="340"/>
      <c r="F493" s="340"/>
      <c r="G493" s="340"/>
      <c r="H493" s="340"/>
      <c r="I493" s="340"/>
      <c r="J493" s="340"/>
      <c r="K493" s="340"/>
      <c r="L493" s="340"/>
      <c r="M493" s="340"/>
      <c r="N493" s="340"/>
      <c r="O493" s="340"/>
      <c r="P493" s="340"/>
      <c r="Q493" s="340"/>
      <c r="R493" s="340"/>
      <c r="S493" s="340"/>
      <c r="T493" s="340"/>
      <c r="U493" s="340"/>
      <c r="V493" s="340"/>
      <c r="W493" s="340"/>
      <c r="X493" s="340"/>
      <c r="Y493" s="340"/>
      <c r="Z493" s="340"/>
    </row>
    <row r="494" ht="15.75" customHeight="1">
      <c r="A494" s="340"/>
      <c r="B494" s="340"/>
      <c r="C494" s="340"/>
      <c r="D494" s="340"/>
      <c r="E494" s="340"/>
      <c r="F494" s="340"/>
      <c r="G494" s="340"/>
      <c r="H494" s="340"/>
      <c r="I494" s="340"/>
      <c r="J494" s="340"/>
      <c r="K494" s="340"/>
      <c r="L494" s="340"/>
      <c r="M494" s="340"/>
      <c r="N494" s="340"/>
      <c r="O494" s="340"/>
      <c r="P494" s="340"/>
      <c r="Q494" s="340"/>
      <c r="R494" s="340"/>
      <c r="S494" s="340"/>
      <c r="T494" s="340"/>
      <c r="U494" s="340"/>
      <c r="V494" s="340"/>
      <c r="W494" s="340"/>
      <c r="X494" s="340"/>
      <c r="Y494" s="340"/>
      <c r="Z494" s="340"/>
    </row>
    <row r="495" ht="15.75" customHeight="1">
      <c r="A495" s="340"/>
      <c r="B495" s="340"/>
      <c r="C495" s="340"/>
      <c r="D495" s="340"/>
      <c r="E495" s="340"/>
      <c r="F495" s="340"/>
      <c r="G495" s="340"/>
      <c r="H495" s="340"/>
      <c r="I495" s="340"/>
      <c r="J495" s="340"/>
      <c r="K495" s="340"/>
      <c r="L495" s="340"/>
      <c r="M495" s="340"/>
      <c r="N495" s="340"/>
      <c r="O495" s="340"/>
      <c r="P495" s="340"/>
      <c r="Q495" s="340"/>
      <c r="R495" s="340"/>
      <c r="S495" s="340"/>
      <c r="T495" s="340"/>
      <c r="U495" s="340"/>
      <c r="V495" s="340"/>
      <c r="W495" s="340"/>
      <c r="X495" s="340"/>
      <c r="Y495" s="340"/>
      <c r="Z495" s="340"/>
    </row>
    <row r="496" ht="15.75" customHeight="1">
      <c r="A496" s="340"/>
      <c r="B496" s="340"/>
      <c r="C496" s="340"/>
      <c r="D496" s="340"/>
      <c r="E496" s="340"/>
      <c r="F496" s="340"/>
      <c r="G496" s="340"/>
      <c r="H496" s="340"/>
      <c r="I496" s="340"/>
      <c r="J496" s="340"/>
      <c r="K496" s="340"/>
      <c r="L496" s="340"/>
      <c r="M496" s="340"/>
      <c r="N496" s="340"/>
      <c r="O496" s="340"/>
      <c r="P496" s="340"/>
      <c r="Q496" s="340"/>
      <c r="R496" s="340"/>
      <c r="S496" s="340"/>
      <c r="T496" s="340"/>
      <c r="U496" s="340"/>
      <c r="V496" s="340"/>
      <c r="W496" s="340"/>
      <c r="X496" s="340"/>
      <c r="Y496" s="340"/>
      <c r="Z496" s="340"/>
    </row>
    <row r="497" ht="15.75" customHeight="1">
      <c r="A497" s="340"/>
      <c r="B497" s="340"/>
      <c r="C497" s="340"/>
      <c r="D497" s="340"/>
      <c r="E497" s="340"/>
      <c r="F497" s="340"/>
      <c r="G497" s="340"/>
      <c r="H497" s="340"/>
      <c r="I497" s="340"/>
      <c r="J497" s="340"/>
      <c r="K497" s="340"/>
      <c r="L497" s="340"/>
      <c r="M497" s="340"/>
      <c r="N497" s="340"/>
      <c r="O497" s="340"/>
      <c r="P497" s="340"/>
      <c r="Q497" s="340"/>
      <c r="R497" s="340"/>
      <c r="S497" s="340"/>
      <c r="T497" s="340"/>
      <c r="U497" s="340"/>
      <c r="V497" s="340"/>
      <c r="W497" s="340"/>
      <c r="X497" s="340"/>
      <c r="Y497" s="340"/>
      <c r="Z497" s="340"/>
    </row>
    <row r="498" ht="15.75" customHeight="1">
      <c r="A498" s="340"/>
      <c r="B498" s="340"/>
      <c r="C498" s="340"/>
      <c r="D498" s="340"/>
      <c r="E498" s="340"/>
      <c r="F498" s="340"/>
      <c r="G498" s="340"/>
      <c r="H498" s="340"/>
      <c r="I498" s="340"/>
      <c r="J498" s="340"/>
      <c r="K498" s="340"/>
      <c r="L498" s="340"/>
      <c r="M498" s="340"/>
      <c r="N498" s="340"/>
      <c r="O498" s="340"/>
      <c r="P498" s="340"/>
      <c r="Q498" s="340"/>
      <c r="R498" s="340"/>
      <c r="S498" s="340"/>
      <c r="T498" s="340"/>
      <c r="U498" s="340"/>
      <c r="V498" s="340"/>
      <c r="W498" s="340"/>
      <c r="X498" s="340"/>
      <c r="Y498" s="340"/>
      <c r="Z498" s="340"/>
    </row>
    <row r="499" ht="15.75" customHeight="1">
      <c r="A499" s="340"/>
      <c r="B499" s="340"/>
      <c r="C499" s="340"/>
      <c r="D499" s="340"/>
      <c r="E499" s="340"/>
      <c r="F499" s="340"/>
      <c r="G499" s="340"/>
      <c r="H499" s="340"/>
      <c r="I499" s="340"/>
      <c r="J499" s="340"/>
      <c r="K499" s="340"/>
      <c r="L499" s="340"/>
      <c r="M499" s="340"/>
      <c r="N499" s="340"/>
      <c r="O499" s="340"/>
      <c r="P499" s="340"/>
      <c r="Q499" s="340"/>
      <c r="R499" s="340"/>
      <c r="S499" s="340"/>
      <c r="T499" s="340"/>
      <c r="U499" s="340"/>
      <c r="V499" s="340"/>
      <c r="W499" s="340"/>
      <c r="X499" s="340"/>
      <c r="Y499" s="340"/>
      <c r="Z499" s="340"/>
    </row>
    <row r="500" ht="15.75" customHeight="1">
      <c r="A500" s="340"/>
      <c r="B500" s="340"/>
      <c r="C500" s="340"/>
      <c r="D500" s="340"/>
      <c r="E500" s="340"/>
      <c r="F500" s="340"/>
      <c r="G500" s="340"/>
      <c r="H500" s="340"/>
      <c r="I500" s="340"/>
      <c r="J500" s="340"/>
      <c r="K500" s="340"/>
      <c r="L500" s="340"/>
      <c r="M500" s="340"/>
      <c r="N500" s="340"/>
      <c r="O500" s="340"/>
      <c r="P500" s="340"/>
      <c r="Q500" s="340"/>
      <c r="R500" s="340"/>
      <c r="S500" s="340"/>
      <c r="T500" s="340"/>
      <c r="U500" s="340"/>
      <c r="V500" s="340"/>
      <c r="W500" s="340"/>
      <c r="X500" s="340"/>
      <c r="Y500" s="340"/>
      <c r="Z500" s="340"/>
    </row>
    <row r="501" ht="15.75" customHeight="1">
      <c r="A501" s="340"/>
      <c r="B501" s="340"/>
      <c r="C501" s="340"/>
      <c r="D501" s="340"/>
      <c r="E501" s="340"/>
      <c r="F501" s="340"/>
      <c r="G501" s="340"/>
      <c r="H501" s="340"/>
      <c r="I501" s="340"/>
      <c r="J501" s="340"/>
      <c r="K501" s="340"/>
      <c r="L501" s="340"/>
      <c r="M501" s="340"/>
      <c r="N501" s="340"/>
      <c r="O501" s="340"/>
      <c r="P501" s="340"/>
      <c r="Q501" s="340"/>
      <c r="R501" s="340"/>
      <c r="S501" s="340"/>
      <c r="T501" s="340"/>
      <c r="U501" s="340"/>
      <c r="V501" s="340"/>
      <c r="W501" s="340"/>
      <c r="X501" s="340"/>
      <c r="Y501" s="340"/>
      <c r="Z501" s="340"/>
    </row>
    <row r="502" ht="15.75" customHeight="1">
      <c r="A502" s="340"/>
      <c r="B502" s="340"/>
      <c r="C502" s="340"/>
      <c r="D502" s="340"/>
      <c r="E502" s="340"/>
      <c r="F502" s="340"/>
      <c r="G502" s="340"/>
      <c r="H502" s="340"/>
      <c r="I502" s="340"/>
      <c r="J502" s="340"/>
      <c r="K502" s="340"/>
      <c r="L502" s="340"/>
      <c r="M502" s="340"/>
      <c r="N502" s="340"/>
      <c r="O502" s="340"/>
      <c r="P502" s="340"/>
      <c r="Q502" s="340"/>
      <c r="R502" s="340"/>
      <c r="S502" s="340"/>
      <c r="T502" s="340"/>
      <c r="U502" s="340"/>
      <c r="V502" s="340"/>
      <c r="W502" s="340"/>
      <c r="X502" s="340"/>
      <c r="Y502" s="340"/>
      <c r="Z502" s="340"/>
    </row>
    <row r="503" ht="15.75" customHeight="1">
      <c r="A503" s="340"/>
      <c r="B503" s="340"/>
      <c r="C503" s="340"/>
      <c r="D503" s="340"/>
      <c r="E503" s="340"/>
      <c r="F503" s="340"/>
      <c r="G503" s="340"/>
      <c r="H503" s="340"/>
      <c r="I503" s="340"/>
      <c r="J503" s="340"/>
      <c r="K503" s="340"/>
      <c r="L503" s="340"/>
      <c r="M503" s="340"/>
      <c r="N503" s="340"/>
      <c r="O503" s="340"/>
      <c r="P503" s="340"/>
      <c r="Q503" s="340"/>
      <c r="R503" s="340"/>
      <c r="S503" s="340"/>
      <c r="T503" s="340"/>
      <c r="U503" s="340"/>
      <c r="V503" s="340"/>
      <c r="W503" s="340"/>
      <c r="X503" s="340"/>
      <c r="Y503" s="340"/>
      <c r="Z503" s="340"/>
    </row>
    <row r="504" ht="15.75" customHeight="1">
      <c r="A504" s="340"/>
      <c r="B504" s="340"/>
      <c r="C504" s="340"/>
      <c r="D504" s="340"/>
      <c r="E504" s="340"/>
      <c r="F504" s="340"/>
      <c r="G504" s="340"/>
      <c r="H504" s="340"/>
      <c r="I504" s="340"/>
      <c r="J504" s="340"/>
      <c r="K504" s="340"/>
      <c r="L504" s="340"/>
      <c r="M504" s="340"/>
      <c r="N504" s="340"/>
      <c r="O504" s="340"/>
      <c r="P504" s="340"/>
      <c r="Q504" s="340"/>
      <c r="R504" s="340"/>
      <c r="S504" s="340"/>
      <c r="T504" s="340"/>
      <c r="U504" s="340"/>
      <c r="V504" s="340"/>
      <c r="W504" s="340"/>
      <c r="X504" s="340"/>
      <c r="Y504" s="340"/>
      <c r="Z504" s="340"/>
    </row>
    <row r="505" ht="15.75" customHeight="1">
      <c r="A505" s="340"/>
      <c r="B505" s="340"/>
      <c r="C505" s="340"/>
      <c r="D505" s="340"/>
      <c r="E505" s="340"/>
      <c r="F505" s="340"/>
      <c r="G505" s="340"/>
      <c r="H505" s="340"/>
      <c r="I505" s="340"/>
      <c r="J505" s="340"/>
      <c r="K505" s="340"/>
      <c r="L505" s="340"/>
      <c r="M505" s="340"/>
      <c r="N505" s="340"/>
      <c r="O505" s="340"/>
      <c r="P505" s="340"/>
      <c r="Q505" s="340"/>
      <c r="R505" s="340"/>
      <c r="S505" s="340"/>
      <c r="T505" s="340"/>
      <c r="U505" s="340"/>
      <c r="V505" s="340"/>
      <c r="W505" s="340"/>
      <c r="X505" s="340"/>
      <c r="Y505" s="340"/>
      <c r="Z505" s="340"/>
    </row>
    <row r="506" ht="15.75" customHeight="1">
      <c r="A506" s="340"/>
      <c r="B506" s="340"/>
      <c r="C506" s="340"/>
      <c r="D506" s="340"/>
      <c r="E506" s="340"/>
      <c r="F506" s="340"/>
      <c r="G506" s="340"/>
      <c r="H506" s="340"/>
      <c r="I506" s="340"/>
      <c r="J506" s="340"/>
      <c r="K506" s="340"/>
      <c r="L506" s="340"/>
      <c r="M506" s="340"/>
      <c r="N506" s="340"/>
      <c r="O506" s="340"/>
      <c r="P506" s="340"/>
      <c r="Q506" s="340"/>
      <c r="R506" s="340"/>
      <c r="S506" s="340"/>
      <c r="T506" s="340"/>
      <c r="U506" s="340"/>
      <c r="V506" s="340"/>
      <c r="W506" s="340"/>
      <c r="X506" s="340"/>
      <c r="Y506" s="340"/>
      <c r="Z506" s="340"/>
    </row>
    <row r="507" ht="15.75" customHeight="1">
      <c r="A507" s="340"/>
      <c r="B507" s="340"/>
      <c r="C507" s="340"/>
      <c r="D507" s="340"/>
      <c r="E507" s="340"/>
      <c r="F507" s="340"/>
      <c r="G507" s="340"/>
      <c r="H507" s="340"/>
      <c r="I507" s="340"/>
      <c r="J507" s="340"/>
      <c r="K507" s="340"/>
      <c r="L507" s="340"/>
      <c r="M507" s="340"/>
      <c r="N507" s="340"/>
      <c r="O507" s="340"/>
      <c r="P507" s="340"/>
      <c r="Q507" s="340"/>
      <c r="R507" s="340"/>
      <c r="S507" s="340"/>
      <c r="T507" s="340"/>
      <c r="U507" s="340"/>
      <c r="V507" s="340"/>
      <c r="W507" s="340"/>
      <c r="X507" s="340"/>
      <c r="Y507" s="340"/>
      <c r="Z507" s="340"/>
    </row>
    <row r="508" ht="15.75" customHeight="1">
      <c r="A508" s="340"/>
      <c r="B508" s="340"/>
      <c r="C508" s="340"/>
      <c r="D508" s="340"/>
      <c r="E508" s="340"/>
      <c r="F508" s="340"/>
      <c r="G508" s="340"/>
      <c r="H508" s="340"/>
      <c r="I508" s="340"/>
      <c r="J508" s="340"/>
      <c r="K508" s="340"/>
      <c r="L508" s="340"/>
      <c r="M508" s="340"/>
      <c r="N508" s="340"/>
      <c r="O508" s="340"/>
      <c r="P508" s="340"/>
      <c r="Q508" s="340"/>
      <c r="R508" s="340"/>
      <c r="S508" s="340"/>
      <c r="T508" s="340"/>
      <c r="U508" s="340"/>
      <c r="V508" s="340"/>
      <c r="W508" s="340"/>
      <c r="X508" s="340"/>
      <c r="Y508" s="340"/>
      <c r="Z508" s="340"/>
    </row>
    <row r="509" ht="15.75" customHeight="1">
      <c r="A509" s="340"/>
      <c r="B509" s="340"/>
      <c r="C509" s="340"/>
      <c r="D509" s="340"/>
      <c r="E509" s="340"/>
      <c r="F509" s="340"/>
      <c r="G509" s="340"/>
      <c r="H509" s="340"/>
      <c r="I509" s="340"/>
      <c r="J509" s="340"/>
      <c r="K509" s="340"/>
      <c r="L509" s="340"/>
      <c r="M509" s="340"/>
      <c r="N509" s="340"/>
      <c r="O509" s="340"/>
      <c r="P509" s="340"/>
      <c r="Q509" s="340"/>
      <c r="R509" s="340"/>
      <c r="S509" s="340"/>
      <c r="T509" s="340"/>
      <c r="U509" s="340"/>
      <c r="V509" s="340"/>
      <c r="W509" s="340"/>
      <c r="X509" s="340"/>
      <c r="Y509" s="340"/>
      <c r="Z509" s="340"/>
    </row>
    <row r="510" ht="15.75" customHeight="1">
      <c r="A510" s="340"/>
      <c r="B510" s="340"/>
      <c r="C510" s="340"/>
      <c r="D510" s="340"/>
      <c r="E510" s="340"/>
      <c r="F510" s="340"/>
      <c r="G510" s="340"/>
      <c r="H510" s="340"/>
      <c r="I510" s="340"/>
      <c r="J510" s="340"/>
      <c r="K510" s="340"/>
      <c r="L510" s="340"/>
      <c r="M510" s="340"/>
      <c r="N510" s="340"/>
      <c r="O510" s="340"/>
      <c r="P510" s="340"/>
      <c r="Q510" s="340"/>
      <c r="R510" s="340"/>
      <c r="S510" s="340"/>
      <c r="T510" s="340"/>
      <c r="U510" s="340"/>
      <c r="V510" s="340"/>
      <c r="W510" s="340"/>
      <c r="X510" s="340"/>
      <c r="Y510" s="340"/>
      <c r="Z510" s="340"/>
    </row>
    <row r="511" ht="15.75" customHeight="1">
      <c r="A511" s="340"/>
      <c r="B511" s="340"/>
      <c r="C511" s="340"/>
      <c r="D511" s="340"/>
      <c r="E511" s="340"/>
      <c r="F511" s="340"/>
      <c r="G511" s="340"/>
      <c r="H511" s="340"/>
      <c r="I511" s="340"/>
      <c r="J511" s="340"/>
      <c r="K511" s="340"/>
      <c r="L511" s="340"/>
      <c r="M511" s="340"/>
      <c r="N511" s="340"/>
      <c r="O511" s="340"/>
      <c r="P511" s="340"/>
      <c r="Q511" s="340"/>
      <c r="R511" s="340"/>
      <c r="S511" s="340"/>
      <c r="T511" s="340"/>
      <c r="U511" s="340"/>
      <c r="V511" s="340"/>
      <c r="W511" s="340"/>
      <c r="X511" s="340"/>
      <c r="Y511" s="340"/>
      <c r="Z511" s="340"/>
    </row>
    <row r="512" ht="15.75" customHeight="1">
      <c r="A512" s="340"/>
      <c r="B512" s="340"/>
      <c r="C512" s="340"/>
      <c r="D512" s="340"/>
      <c r="E512" s="340"/>
      <c r="F512" s="340"/>
      <c r="G512" s="340"/>
      <c r="H512" s="340"/>
      <c r="I512" s="340"/>
      <c r="J512" s="340"/>
      <c r="K512" s="340"/>
      <c r="L512" s="340"/>
      <c r="M512" s="340"/>
      <c r="N512" s="340"/>
      <c r="O512" s="340"/>
      <c r="P512" s="340"/>
      <c r="Q512" s="340"/>
      <c r="R512" s="340"/>
      <c r="S512" s="340"/>
      <c r="T512" s="340"/>
      <c r="U512" s="340"/>
      <c r="V512" s="340"/>
      <c r="W512" s="340"/>
      <c r="X512" s="340"/>
      <c r="Y512" s="340"/>
      <c r="Z512" s="340"/>
    </row>
    <row r="513" ht="15.75" customHeight="1">
      <c r="A513" s="340"/>
      <c r="B513" s="340"/>
      <c r="C513" s="340"/>
      <c r="D513" s="340"/>
      <c r="E513" s="340"/>
      <c r="F513" s="340"/>
      <c r="G513" s="340"/>
      <c r="H513" s="340"/>
      <c r="I513" s="340"/>
      <c r="J513" s="340"/>
      <c r="K513" s="340"/>
      <c r="L513" s="340"/>
      <c r="M513" s="340"/>
      <c r="N513" s="340"/>
      <c r="O513" s="340"/>
      <c r="P513" s="340"/>
      <c r="Q513" s="340"/>
      <c r="R513" s="340"/>
      <c r="S513" s="340"/>
      <c r="T513" s="340"/>
      <c r="U513" s="340"/>
      <c r="V513" s="340"/>
      <c r="W513" s="340"/>
      <c r="X513" s="340"/>
      <c r="Y513" s="340"/>
      <c r="Z513" s="340"/>
    </row>
    <row r="514" ht="15.75" customHeight="1">
      <c r="A514" s="340"/>
      <c r="B514" s="340"/>
      <c r="C514" s="340"/>
      <c r="D514" s="340"/>
      <c r="E514" s="340"/>
      <c r="F514" s="340"/>
      <c r="G514" s="340"/>
      <c r="H514" s="340"/>
      <c r="I514" s="340"/>
      <c r="J514" s="340"/>
      <c r="K514" s="340"/>
      <c r="L514" s="340"/>
      <c r="M514" s="340"/>
      <c r="N514" s="340"/>
      <c r="O514" s="340"/>
      <c r="P514" s="340"/>
      <c r="Q514" s="340"/>
      <c r="R514" s="340"/>
      <c r="S514" s="340"/>
      <c r="T514" s="340"/>
      <c r="U514" s="340"/>
      <c r="V514" s="340"/>
      <c r="W514" s="340"/>
      <c r="X514" s="340"/>
      <c r="Y514" s="340"/>
      <c r="Z514" s="340"/>
    </row>
    <row r="515" ht="15.75" customHeight="1">
      <c r="A515" s="340"/>
      <c r="B515" s="340"/>
      <c r="C515" s="340"/>
      <c r="D515" s="340"/>
      <c r="E515" s="340"/>
      <c r="F515" s="340"/>
      <c r="G515" s="340"/>
      <c r="H515" s="340"/>
      <c r="I515" s="340"/>
      <c r="J515" s="340"/>
      <c r="K515" s="340"/>
      <c r="L515" s="340"/>
      <c r="M515" s="340"/>
      <c r="N515" s="340"/>
      <c r="O515" s="340"/>
      <c r="P515" s="340"/>
      <c r="Q515" s="340"/>
      <c r="R515" s="340"/>
      <c r="S515" s="340"/>
      <c r="T515" s="340"/>
      <c r="U515" s="340"/>
      <c r="V515" s="340"/>
      <c r="W515" s="340"/>
      <c r="X515" s="340"/>
      <c r="Y515" s="340"/>
      <c r="Z515" s="340"/>
    </row>
    <row r="516" ht="15.75" customHeight="1">
      <c r="A516" s="340"/>
      <c r="B516" s="340"/>
      <c r="C516" s="340"/>
      <c r="D516" s="340"/>
      <c r="E516" s="340"/>
      <c r="F516" s="340"/>
      <c r="G516" s="340"/>
      <c r="H516" s="340"/>
      <c r="I516" s="340"/>
      <c r="J516" s="340"/>
      <c r="K516" s="340"/>
      <c r="L516" s="340"/>
      <c r="M516" s="340"/>
      <c r="N516" s="340"/>
      <c r="O516" s="340"/>
      <c r="P516" s="340"/>
      <c r="Q516" s="340"/>
      <c r="R516" s="340"/>
      <c r="S516" s="340"/>
      <c r="T516" s="340"/>
      <c r="U516" s="340"/>
      <c r="V516" s="340"/>
      <c r="W516" s="340"/>
      <c r="X516" s="340"/>
      <c r="Y516" s="340"/>
      <c r="Z516" s="340"/>
    </row>
    <row r="517" ht="15.75" customHeight="1">
      <c r="A517" s="340"/>
      <c r="B517" s="340"/>
      <c r="C517" s="340"/>
      <c r="D517" s="340"/>
      <c r="E517" s="340"/>
      <c r="F517" s="340"/>
      <c r="G517" s="340"/>
      <c r="H517" s="340"/>
      <c r="I517" s="340"/>
      <c r="J517" s="340"/>
      <c r="K517" s="340"/>
      <c r="L517" s="340"/>
      <c r="M517" s="340"/>
      <c r="N517" s="340"/>
      <c r="O517" s="340"/>
      <c r="P517" s="340"/>
      <c r="Q517" s="340"/>
      <c r="R517" s="340"/>
      <c r="S517" s="340"/>
      <c r="T517" s="340"/>
      <c r="U517" s="340"/>
      <c r="V517" s="340"/>
      <c r="W517" s="340"/>
      <c r="X517" s="340"/>
      <c r="Y517" s="340"/>
      <c r="Z517" s="340"/>
    </row>
    <row r="518" ht="15.75" customHeight="1">
      <c r="A518" s="340"/>
      <c r="B518" s="340"/>
      <c r="C518" s="340"/>
      <c r="D518" s="340"/>
      <c r="E518" s="340"/>
      <c r="F518" s="340"/>
      <c r="G518" s="340"/>
      <c r="H518" s="340"/>
      <c r="I518" s="340"/>
      <c r="J518" s="340"/>
      <c r="K518" s="340"/>
      <c r="L518" s="340"/>
      <c r="M518" s="340"/>
      <c r="N518" s="340"/>
      <c r="O518" s="340"/>
      <c r="P518" s="340"/>
      <c r="Q518" s="340"/>
      <c r="R518" s="340"/>
      <c r="S518" s="340"/>
      <c r="T518" s="340"/>
      <c r="U518" s="340"/>
      <c r="V518" s="340"/>
      <c r="W518" s="340"/>
      <c r="X518" s="340"/>
      <c r="Y518" s="340"/>
      <c r="Z518" s="340"/>
    </row>
    <row r="519" ht="15.75" customHeight="1">
      <c r="A519" s="340"/>
      <c r="B519" s="340"/>
      <c r="C519" s="340"/>
      <c r="D519" s="340"/>
      <c r="E519" s="340"/>
      <c r="F519" s="340"/>
      <c r="G519" s="340"/>
      <c r="H519" s="340"/>
      <c r="I519" s="340"/>
      <c r="J519" s="340"/>
      <c r="K519" s="340"/>
      <c r="L519" s="340"/>
      <c r="M519" s="340"/>
      <c r="N519" s="340"/>
      <c r="O519" s="340"/>
      <c r="P519" s="340"/>
      <c r="Q519" s="340"/>
      <c r="R519" s="340"/>
      <c r="S519" s="340"/>
      <c r="T519" s="340"/>
      <c r="U519" s="340"/>
      <c r="V519" s="340"/>
      <c r="W519" s="340"/>
      <c r="X519" s="340"/>
      <c r="Y519" s="340"/>
      <c r="Z519" s="340"/>
    </row>
    <row r="520" ht="15.75" customHeight="1">
      <c r="A520" s="340"/>
      <c r="B520" s="340"/>
      <c r="C520" s="340"/>
      <c r="D520" s="340"/>
      <c r="E520" s="340"/>
      <c r="F520" s="340"/>
      <c r="G520" s="340"/>
      <c r="H520" s="340"/>
      <c r="I520" s="340"/>
      <c r="J520" s="340"/>
      <c r="K520" s="340"/>
      <c r="L520" s="340"/>
      <c r="M520" s="340"/>
      <c r="N520" s="340"/>
      <c r="O520" s="340"/>
      <c r="P520" s="340"/>
      <c r="Q520" s="340"/>
      <c r="R520" s="340"/>
      <c r="S520" s="340"/>
      <c r="T520" s="340"/>
      <c r="U520" s="340"/>
      <c r="V520" s="340"/>
      <c r="W520" s="340"/>
      <c r="X520" s="340"/>
      <c r="Y520" s="340"/>
      <c r="Z520" s="340"/>
    </row>
    <row r="521" ht="15.75" customHeight="1">
      <c r="A521" s="340"/>
      <c r="B521" s="340"/>
      <c r="C521" s="340"/>
      <c r="D521" s="340"/>
      <c r="E521" s="340"/>
      <c r="F521" s="340"/>
      <c r="G521" s="340"/>
      <c r="H521" s="340"/>
      <c r="I521" s="340"/>
      <c r="J521" s="340"/>
      <c r="K521" s="340"/>
      <c r="L521" s="340"/>
      <c r="M521" s="340"/>
      <c r="N521" s="340"/>
      <c r="O521" s="340"/>
      <c r="P521" s="340"/>
      <c r="Q521" s="340"/>
      <c r="R521" s="340"/>
      <c r="S521" s="340"/>
      <c r="T521" s="340"/>
      <c r="U521" s="340"/>
      <c r="V521" s="340"/>
      <c r="W521" s="340"/>
      <c r="X521" s="340"/>
      <c r="Y521" s="340"/>
      <c r="Z521" s="340"/>
    </row>
    <row r="522" ht="15.75" customHeight="1">
      <c r="A522" s="340"/>
      <c r="B522" s="340"/>
      <c r="C522" s="340"/>
      <c r="D522" s="340"/>
      <c r="E522" s="340"/>
      <c r="F522" s="340"/>
      <c r="G522" s="340"/>
      <c r="H522" s="340"/>
      <c r="I522" s="340"/>
      <c r="J522" s="340"/>
      <c r="K522" s="340"/>
      <c r="L522" s="340"/>
      <c r="M522" s="340"/>
      <c r="N522" s="340"/>
      <c r="O522" s="340"/>
      <c r="P522" s="340"/>
      <c r="Q522" s="340"/>
      <c r="R522" s="340"/>
      <c r="S522" s="340"/>
      <c r="T522" s="340"/>
      <c r="U522" s="340"/>
      <c r="V522" s="340"/>
      <c r="W522" s="340"/>
      <c r="X522" s="340"/>
      <c r="Y522" s="340"/>
      <c r="Z522" s="340"/>
    </row>
    <row r="523" ht="15.75" customHeight="1">
      <c r="A523" s="340"/>
      <c r="B523" s="340"/>
      <c r="C523" s="340"/>
      <c r="D523" s="340"/>
      <c r="E523" s="340"/>
      <c r="F523" s="340"/>
      <c r="G523" s="340"/>
      <c r="H523" s="340"/>
      <c r="I523" s="340"/>
      <c r="J523" s="340"/>
      <c r="K523" s="340"/>
      <c r="L523" s="340"/>
      <c r="M523" s="340"/>
      <c r="N523" s="340"/>
      <c r="O523" s="340"/>
      <c r="P523" s="340"/>
      <c r="Q523" s="340"/>
      <c r="R523" s="340"/>
      <c r="S523" s="340"/>
      <c r="T523" s="340"/>
      <c r="U523" s="340"/>
      <c r="V523" s="340"/>
      <c r="W523" s="340"/>
      <c r="X523" s="340"/>
      <c r="Y523" s="340"/>
      <c r="Z523" s="340"/>
    </row>
    <row r="524" ht="15.75" customHeight="1">
      <c r="A524" s="340"/>
      <c r="B524" s="340"/>
      <c r="C524" s="340"/>
      <c r="D524" s="340"/>
      <c r="E524" s="340"/>
      <c r="F524" s="340"/>
      <c r="G524" s="340"/>
      <c r="H524" s="340"/>
      <c r="I524" s="340"/>
      <c r="J524" s="340"/>
      <c r="K524" s="340"/>
      <c r="L524" s="340"/>
      <c r="M524" s="340"/>
      <c r="N524" s="340"/>
      <c r="O524" s="340"/>
      <c r="P524" s="340"/>
      <c r="Q524" s="340"/>
      <c r="R524" s="340"/>
      <c r="S524" s="340"/>
      <c r="T524" s="340"/>
      <c r="U524" s="340"/>
      <c r="V524" s="340"/>
      <c r="W524" s="340"/>
      <c r="X524" s="340"/>
      <c r="Y524" s="340"/>
      <c r="Z524" s="340"/>
    </row>
    <row r="525" ht="15.75" customHeight="1">
      <c r="A525" s="340"/>
      <c r="B525" s="340"/>
      <c r="C525" s="340"/>
      <c r="D525" s="340"/>
      <c r="E525" s="340"/>
      <c r="F525" s="340"/>
      <c r="G525" s="340"/>
      <c r="H525" s="340"/>
      <c r="I525" s="340"/>
      <c r="J525" s="340"/>
      <c r="K525" s="340"/>
      <c r="L525" s="340"/>
      <c r="M525" s="340"/>
      <c r="N525" s="340"/>
      <c r="O525" s="340"/>
      <c r="P525" s="340"/>
      <c r="Q525" s="340"/>
      <c r="R525" s="340"/>
      <c r="S525" s="340"/>
      <c r="T525" s="340"/>
      <c r="U525" s="340"/>
      <c r="V525" s="340"/>
      <c r="W525" s="340"/>
      <c r="X525" s="340"/>
      <c r="Y525" s="340"/>
      <c r="Z525" s="340"/>
    </row>
    <row r="526" ht="15.75" customHeight="1">
      <c r="A526" s="340"/>
      <c r="B526" s="340"/>
      <c r="C526" s="340"/>
      <c r="D526" s="340"/>
      <c r="E526" s="340"/>
      <c r="F526" s="340"/>
      <c r="G526" s="340"/>
      <c r="H526" s="340"/>
      <c r="I526" s="340"/>
      <c r="J526" s="340"/>
      <c r="K526" s="340"/>
      <c r="L526" s="340"/>
      <c r="M526" s="340"/>
      <c r="N526" s="340"/>
      <c r="O526" s="340"/>
      <c r="P526" s="340"/>
      <c r="Q526" s="340"/>
      <c r="R526" s="340"/>
      <c r="S526" s="340"/>
      <c r="T526" s="340"/>
      <c r="U526" s="340"/>
      <c r="V526" s="340"/>
      <c r="W526" s="340"/>
      <c r="X526" s="340"/>
      <c r="Y526" s="340"/>
      <c r="Z526" s="340"/>
    </row>
    <row r="527" ht="15.75" customHeight="1">
      <c r="A527" s="340"/>
      <c r="B527" s="340"/>
      <c r="C527" s="340"/>
      <c r="D527" s="340"/>
      <c r="E527" s="340"/>
      <c r="F527" s="340"/>
      <c r="G527" s="340"/>
      <c r="H527" s="340"/>
      <c r="I527" s="340"/>
      <c r="J527" s="340"/>
      <c r="K527" s="340"/>
      <c r="L527" s="340"/>
      <c r="M527" s="340"/>
      <c r="N527" s="340"/>
      <c r="O527" s="340"/>
      <c r="P527" s="340"/>
      <c r="Q527" s="340"/>
      <c r="R527" s="340"/>
      <c r="S527" s="340"/>
      <c r="T527" s="340"/>
      <c r="U527" s="340"/>
      <c r="V527" s="340"/>
      <c r="W527" s="340"/>
      <c r="X527" s="340"/>
      <c r="Y527" s="340"/>
      <c r="Z527" s="340"/>
    </row>
    <row r="528" ht="15.75" customHeight="1">
      <c r="A528" s="340"/>
      <c r="B528" s="340"/>
      <c r="C528" s="340"/>
      <c r="D528" s="340"/>
      <c r="E528" s="340"/>
      <c r="F528" s="340"/>
      <c r="G528" s="340"/>
      <c r="H528" s="340"/>
      <c r="I528" s="340"/>
      <c r="J528" s="340"/>
      <c r="K528" s="340"/>
      <c r="L528" s="340"/>
      <c r="M528" s="340"/>
      <c r="N528" s="340"/>
      <c r="O528" s="340"/>
      <c r="P528" s="340"/>
      <c r="Q528" s="340"/>
      <c r="R528" s="340"/>
      <c r="S528" s="340"/>
      <c r="T528" s="340"/>
      <c r="U528" s="340"/>
      <c r="V528" s="340"/>
      <c r="W528" s="340"/>
      <c r="X528" s="340"/>
      <c r="Y528" s="340"/>
      <c r="Z528" s="340"/>
    </row>
    <row r="529" ht="15.75" customHeight="1">
      <c r="A529" s="340"/>
      <c r="B529" s="340"/>
      <c r="C529" s="340"/>
      <c r="D529" s="340"/>
      <c r="E529" s="340"/>
      <c r="F529" s="340"/>
      <c r="G529" s="340"/>
      <c r="H529" s="340"/>
      <c r="I529" s="340"/>
      <c r="J529" s="340"/>
      <c r="K529" s="340"/>
      <c r="L529" s="340"/>
      <c r="M529" s="340"/>
      <c r="N529" s="340"/>
      <c r="O529" s="340"/>
      <c r="P529" s="340"/>
      <c r="Q529" s="340"/>
      <c r="R529" s="340"/>
      <c r="S529" s="340"/>
      <c r="T529" s="340"/>
      <c r="U529" s="340"/>
      <c r="V529" s="340"/>
      <c r="W529" s="340"/>
      <c r="X529" s="340"/>
      <c r="Y529" s="340"/>
      <c r="Z529" s="340"/>
    </row>
    <row r="530" ht="15.75" customHeight="1">
      <c r="A530" s="340"/>
      <c r="B530" s="340"/>
      <c r="C530" s="340"/>
      <c r="D530" s="340"/>
      <c r="E530" s="340"/>
      <c r="F530" s="340"/>
      <c r="G530" s="340"/>
      <c r="H530" s="340"/>
      <c r="I530" s="340"/>
      <c r="J530" s="340"/>
      <c r="K530" s="340"/>
      <c r="L530" s="340"/>
      <c r="M530" s="340"/>
      <c r="N530" s="340"/>
      <c r="O530" s="340"/>
      <c r="P530" s="340"/>
      <c r="Q530" s="340"/>
      <c r="R530" s="340"/>
      <c r="S530" s="340"/>
      <c r="T530" s="340"/>
      <c r="U530" s="340"/>
      <c r="V530" s="340"/>
      <c r="W530" s="340"/>
      <c r="X530" s="340"/>
      <c r="Y530" s="340"/>
      <c r="Z530" s="340"/>
    </row>
    <row r="531" ht="15.75" customHeight="1">
      <c r="A531" s="340"/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40"/>
      <c r="M531" s="340"/>
      <c r="N531" s="340"/>
      <c r="O531" s="340"/>
      <c r="P531" s="340"/>
      <c r="Q531" s="340"/>
      <c r="R531" s="340"/>
      <c r="S531" s="340"/>
      <c r="T531" s="340"/>
      <c r="U531" s="340"/>
      <c r="V531" s="340"/>
      <c r="W531" s="340"/>
      <c r="X531" s="340"/>
      <c r="Y531" s="340"/>
      <c r="Z531" s="340"/>
    </row>
    <row r="532" ht="15.75" customHeight="1">
      <c r="A532" s="340"/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40"/>
      <c r="M532" s="340"/>
      <c r="N532" s="340"/>
      <c r="O532" s="340"/>
      <c r="P532" s="340"/>
      <c r="Q532" s="340"/>
      <c r="R532" s="340"/>
      <c r="S532" s="340"/>
      <c r="T532" s="340"/>
      <c r="U532" s="340"/>
      <c r="V532" s="340"/>
      <c r="W532" s="340"/>
      <c r="X532" s="340"/>
      <c r="Y532" s="340"/>
      <c r="Z532" s="340"/>
    </row>
    <row r="533" ht="15.75" customHeight="1">
      <c r="A533" s="340"/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40"/>
      <c r="M533" s="340"/>
      <c r="N533" s="340"/>
      <c r="O533" s="340"/>
      <c r="P533" s="340"/>
      <c r="Q533" s="340"/>
      <c r="R533" s="340"/>
      <c r="S533" s="340"/>
      <c r="T533" s="340"/>
      <c r="U533" s="340"/>
      <c r="V533" s="340"/>
      <c r="W533" s="340"/>
      <c r="X533" s="340"/>
      <c r="Y533" s="340"/>
      <c r="Z533" s="340"/>
    </row>
    <row r="534" ht="15.75" customHeight="1">
      <c r="A534" s="340"/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40"/>
      <c r="M534" s="340"/>
      <c r="N534" s="340"/>
      <c r="O534" s="340"/>
      <c r="P534" s="340"/>
      <c r="Q534" s="340"/>
      <c r="R534" s="340"/>
      <c r="S534" s="340"/>
      <c r="T534" s="340"/>
      <c r="U534" s="340"/>
      <c r="V534" s="340"/>
      <c r="W534" s="340"/>
      <c r="X534" s="340"/>
      <c r="Y534" s="340"/>
      <c r="Z534" s="340"/>
    </row>
    <row r="535" ht="15.75" customHeight="1">
      <c r="A535" s="340"/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40"/>
      <c r="M535" s="340"/>
      <c r="N535" s="340"/>
      <c r="O535" s="340"/>
      <c r="P535" s="340"/>
      <c r="Q535" s="340"/>
      <c r="R535" s="340"/>
      <c r="S535" s="340"/>
      <c r="T535" s="340"/>
      <c r="U535" s="340"/>
      <c r="V535" s="340"/>
      <c r="W535" s="340"/>
      <c r="X535" s="340"/>
      <c r="Y535" s="340"/>
      <c r="Z535" s="340"/>
    </row>
    <row r="536" ht="15.75" customHeight="1">
      <c r="A536" s="340"/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40"/>
      <c r="M536" s="340"/>
      <c r="N536" s="340"/>
      <c r="O536" s="340"/>
      <c r="P536" s="340"/>
      <c r="Q536" s="340"/>
      <c r="R536" s="340"/>
      <c r="S536" s="340"/>
      <c r="T536" s="340"/>
      <c r="U536" s="340"/>
      <c r="V536" s="340"/>
      <c r="W536" s="340"/>
      <c r="X536" s="340"/>
      <c r="Y536" s="340"/>
      <c r="Z536" s="340"/>
    </row>
    <row r="537" ht="15.75" customHeight="1">
      <c r="A537" s="340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N537" s="340"/>
      <c r="O537" s="340"/>
      <c r="P537" s="340"/>
      <c r="Q537" s="340"/>
      <c r="R537" s="340"/>
      <c r="S537" s="340"/>
      <c r="T537" s="340"/>
      <c r="U537" s="340"/>
      <c r="V537" s="340"/>
      <c r="W537" s="340"/>
      <c r="X537" s="340"/>
      <c r="Y537" s="340"/>
      <c r="Z537" s="340"/>
    </row>
    <row r="538" ht="15.75" customHeight="1">
      <c r="A538" s="340"/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40"/>
      <c r="M538" s="340"/>
      <c r="N538" s="340"/>
      <c r="O538" s="340"/>
      <c r="P538" s="340"/>
      <c r="Q538" s="340"/>
      <c r="R538" s="340"/>
      <c r="S538" s="340"/>
      <c r="T538" s="340"/>
      <c r="U538" s="340"/>
      <c r="V538" s="340"/>
      <c r="W538" s="340"/>
      <c r="X538" s="340"/>
      <c r="Y538" s="340"/>
      <c r="Z538" s="340"/>
    </row>
    <row r="539" ht="15.75" customHeight="1">
      <c r="A539" s="340"/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40"/>
      <c r="M539" s="340"/>
      <c r="N539" s="340"/>
      <c r="O539" s="340"/>
      <c r="P539" s="340"/>
      <c r="Q539" s="340"/>
      <c r="R539" s="340"/>
      <c r="S539" s="340"/>
      <c r="T539" s="340"/>
      <c r="U539" s="340"/>
      <c r="V539" s="340"/>
      <c r="W539" s="340"/>
      <c r="X539" s="340"/>
      <c r="Y539" s="340"/>
      <c r="Z539" s="340"/>
    </row>
    <row r="540" ht="15.75" customHeight="1">
      <c r="A540" s="340"/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40"/>
      <c r="M540" s="340"/>
      <c r="N540" s="340"/>
      <c r="O540" s="340"/>
      <c r="P540" s="340"/>
      <c r="Q540" s="340"/>
      <c r="R540" s="340"/>
      <c r="S540" s="340"/>
      <c r="T540" s="340"/>
      <c r="U540" s="340"/>
      <c r="V540" s="340"/>
      <c r="W540" s="340"/>
      <c r="X540" s="340"/>
      <c r="Y540" s="340"/>
      <c r="Z540" s="340"/>
    </row>
    <row r="541" ht="15.75" customHeight="1">
      <c r="A541" s="340"/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40"/>
      <c r="M541" s="340"/>
      <c r="N541" s="340"/>
      <c r="O541" s="340"/>
      <c r="P541" s="340"/>
      <c r="Q541" s="340"/>
      <c r="R541" s="340"/>
      <c r="S541" s="340"/>
      <c r="T541" s="340"/>
      <c r="U541" s="340"/>
      <c r="V541" s="340"/>
      <c r="W541" s="340"/>
      <c r="X541" s="340"/>
      <c r="Y541" s="340"/>
      <c r="Z541" s="340"/>
    </row>
    <row r="542" ht="15.75" customHeight="1">
      <c r="A542" s="340"/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40"/>
      <c r="M542" s="340"/>
      <c r="N542" s="340"/>
      <c r="O542" s="340"/>
      <c r="P542" s="340"/>
      <c r="Q542" s="340"/>
      <c r="R542" s="340"/>
      <c r="S542" s="340"/>
      <c r="T542" s="340"/>
      <c r="U542" s="340"/>
      <c r="V542" s="340"/>
      <c r="W542" s="340"/>
      <c r="X542" s="340"/>
      <c r="Y542" s="340"/>
      <c r="Z542" s="340"/>
    </row>
    <row r="543" ht="15.75" customHeight="1">
      <c r="A543" s="340"/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40"/>
      <c r="M543" s="340"/>
      <c r="N543" s="340"/>
      <c r="O543" s="340"/>
      <c r="P543" s="340"/>
      <c r="Q543" s="340"/>
      <c r="R543" s="340"/>
      <c r="S543" s="340"/>
      <c r="T543" s="340"/>
      <c r="U543" s="340"/>
      <c r="V543" s="340"/>
      <c r="W543" s="340"/>
      <c r="X543" s="340"/>
      <c r="Y543" s="340"/>
      <c r="Z543" s="340"/>
    </row>
    <row r="544" ht="15.75" customHeight="1">
      <c r="A544" s="340"/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40"/>
      <c r="M544" s="340"/>
      <c r="N544" s="340"/>
      <c r="O544" s="340"/>
      <c r="P544" s="340"/>
      <c r="Q544" s="340"/>
      <c r="R544" s="340"/>
      <c r="S544" s="340"/>
      <c r="T544" s="340"/>
      <c r="U544" s="340"/>
      <c r="V544" s="340"/>
      <c r="W544" s="340"/>
      <c r="X544" s="340"/>
      <c r="Y544" s="340"/>
      <c r="Z544" s="340"/>
    </row>
    <row r="545" ht="15.75" customHeight="1">
      <c r="A545" s="340"/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40"/>
      <c r="M545" s="340"/>
      <c r="N545" s="340"/>
      <c r="O545" s="340"/>
      <c r="P545" s="340"/>
      <c r="Q545" s="340"/>
      <c r="R545" s="340"/>
      <c r="S545" s="340"/>
      <c r="T545" s="340"/>
      <c r="U545" s="340"/>
      <c r="V545" s="340"/>
      <c r="W545" s="340"/>
      <c r="X545" s="340"/>
      <c r="Y545" s="340"/>
      <c r="Z545" s="340"/>
    </row>
    <row r="546" ht="15.75" customHeight="1">
      <c r="A546" s="340"/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40"/>
      <c r="M546" s="340"/>
      <c r="N546" s="340"/>
      <c r="O546" s="340"/>
      <c r="P546" s="340"/>
      <c r="Q546" s="340"/>
      <c r="R546" s="340"/>
      <c r="S546" s="340"/>
      <c r="T546" s="340"/>
      <c r="U546" s="340"/>
      <c r="V546" s="340"/>
      <c r="W546" s="340"/>
      <c r="X546" s="340"/>
      <c r="Y546" s="340"/>
      <c r="Z546" s="340"/>
    </row>
    <row r="547" ht="15.75" customHeight="1">
      <c r="A547" s="340"/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40"/>
      <c r="M547" s="340"/>
      <c r="N547" s="340"/>
      <c r="O547" s="340"/>
      <c r="P547" s="340"/>
      <c r="Q547" s="340"/>
      <c r="R547" s="340"/>
      <c r="S547" s="340"/>
      <c r="T547" s="340"/>
      <c r="U547" s="340"/>
      <c r="V547" s="340"/>
      <c r="W547" s="340"/>
      <c r="X547" s="340"/>
      <c r="Y547" s="340"/>
      <c r="Z547" s="340"/>
    </row>
    <row r="548" ht="15.75" customHeight="1">
      <c r="A548" s="340"/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40"/>
      <c r="W548" s="340"/>
      <c r="X548" s="340"/>
      <c r="Y548" s="340"/>
      <c r="Z548" s="340"/>
    </row>
    <row r="549" ht="15.75" customHeight="1">
      <c r="A549" s="340"/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40"/>
      <c r="M549" s="340"/>
      <c r="N549" s="340"/>
      <c r="O549" s="340"/>
      <c r="P549" s="340"/>
      <c r="Q549" s="340"/>
      <c r="R549" s="340"/>
      <c r="S549" s="340"/>
      <c r="T549" s="340"/>
      <c r="U549" s="340"/>
      <c r="V549" s="340"/>
      <c r="W549" s="340"/>
      <c r="X549" s="340"/>
      <c r="Y549" s="340"/>
      <c r="Z549" s="340"/>
    </row>
    <row r="550" ht="15.75" customHeight="1">
      <c r="A550" s="340"/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40"/>
      <c r="M550" s="340"/>
      <c r="N550" s="340"/>
      <c r="O550" s="340"/>
      <c r="P550" s="340"/>
      <c r="Q550" s="340"/>
      <c r="R550" s="340"/>
      <c r="S550" s="340"/>
      <c r="T550" s="340"/>
      <c r="U550" s="340"/>
      <c r="V550" s="340"/>
      <c r="W550" s="340"/>
      <c r="X550" s="340"/>
      <c r="Y550" s="340"/>
      <c r="Z550" s="340"/>
    </row>
    <row r="551" ht="15.75" customHeight="1">
      <c r="A551" s="340"/>
      <c r="B551" s="340"/>
      <c r="C551" s="340"/>
      <c r="D551" s="340"/>
      <c r="E551" s="340"/>
      <c r="F551" s="340"/>
      <c r="G551" s="340"/>
      <c r="H551" s="340"/>
      <c r="I551" s="340"/>
      <c r="J551" s="340"/>
      <c r="K551" s="340"/>
      <c r="L551" s="340"/>
      <c r="M551" s="340"/>
      <c r="N551" s="340"/>
      <c r="O551" s="340"/>
      <c r="P551" s="340"/>
      <c r="Q551" s="340"/>
      <c r="R551" s="340"/>
      <c r="S551" s="340"/>
      <c r="T551" s="340"/>
      <c r="U551" s="340"/>
      <c r="V551" s="340"/>
      <c r="W551" s="340"/>
      <c r="X551" s="340"/>
      <c r="Y551" s="340"/>
      <c r="Z551" s="340"/>
    </row>
    <row r="552" ht="15.75" customHeight="1">
      <c r="A552" s="340"/>
      <c r="B552" s="340"/>
      <c r="C552" s="340"/>
      <c r="D552" s="340"/>
      <c r="E552" s="340"/>
      <c r="F552" s="340"/>
      <c r="G552" s="340"/>
      <c r="H552" s="340"/>
      <c r="I552" s="340"/>
      <c r="J552" s="340"/>
      <c r="K552" s="340"/>
      <c r="L552" s="340"/>
      <c r="M552" s="340"/>
      <c r="N552" s="340"/>
      <c r="O552" s="340"/>
      <c r="P552" s="340"/>
      <c r="Q552" s="340"/>
      <c r="R552" s="340"/>
      <c r="S552" s="340"/>
      <c r="T552" s="340"/>
      <c r="U552" s="340"/>
      <c r="V552" s="340"/>
      <c r="W552" s="340"/>
      <c r="X552" s="340"/>
      <c r="Y552" s="340"/>
      <c r="Z552" s="340"/>
    </row>
    <row r="553" ht="15.75" customHeight="1">
      <c r="A553" s="340"/>
      <c r="B553" s="340"/>
      <c r="C553" s="340"/>
      <c r="D553" s="340"/>
      <c r="E553" s="340"/>
      <c r="F553" s="340"/>
      <c r="G553" s="340"/>
      <c r="H553" s="340"/>
      <c r="I553" s="340"/>
      <c r="J553" s="340"/>
      <c r="K553" s="340"/>
      <c r="L553" s="340"/>
      <c r="M553" s="340"/>
      <c r="N553" s="340"/>
      <c r="O553" s="340"/>
      <c r="P553" s="340"/>
      <c r="Q553" s="340"/>
      <c r="R553" s="340"/>
      <c r="S553" s="340"/>
      <c r="T553" s="340"/>
      <c r="U553" s="340"/>
      <c r="V553" s="340"/>
      <c r="W553" s="340"/>
      <c r="X553" s="340"/>
      <c r="Y553" s="340"/>
      <c r="Z553" s="340"/>
    </row>
    <row r="554" ht="15.75" customHeight="1">
      <c r="A554" s="340"/>
      <c r="B554" s="340"/>
      <c r="C554" s="340"/>
      <c r="D554" s="340"/>
      <c r="E554" s="340"/>
      <c r="F554" s="340"/>
      <c r="G554" s="340"/>
      <c r="H554" s="340"/>
      <c r="I554" s="340"/>
      <c r="J554" s="340"/>
      <c r="K554" s="340"/>
      <c r="L554" s="340"/>
      <c r="M554" s="340"/>
      <c r="N554" s="340"/>
      <c r="O554" s="340"/>
      <c r="P554" s="340"/>
      <c r="Q554" s="340"/>
      <c r="R554" s="340"/>
      <c r="S554" s="340"/>
      <c r="T554" s="340"/>
      <c r="U554" s="340"/>
      <c r="V554" s="340"/>
      <c r="W554" s="340"/>
      <c r="X554" s="340"/>
      <c r="Y554" s="340"/>
      <c r="Z554" s="340"/>
    </row>
    <row r="555" ht="15.75" customHeight="1">
      <c r="A555" s="340"/>
      <c r="B555" s="340"/>
      <c r="C555" s="340"/>
      <c r="D555" s="340"/>
      <c r="E555" s="340"/>
      <c r="F555" s="340"/>
      <c r="G555" s="340"/>
      <c r="H555" s="340"/>
      <c r="I555" s="340"/>
      <c r="J555" s="340"/>
      <c r="K555" s="340"/>
      <c r="L555" s="340"/>
      <c r="M555" s="340"/>
      <c r="N555" s="340"/>
      <c r="O555" s="340"/>
      <c r="P555" s="340"/>
      <c r="Q555" s="340"/>
      <c r="R555" s="340"/>
      <c r="S555" s="340"/>
      <c r="T555" s="340"/>
      <c r="U555" s="340"/>
      <c r="V555" s="340"/>
      <c r="W555" s="340"/>
      <c r="X555" s="340"/>
      <c r="Y555" s="340"/>
      <c r="Z555" s="340"/>
    </row>
    <row r="556" ht="15.75" customHeight="1">
      <c r="A556" s="340"/>
      <c r="B556" s="340"/>
      <c r="C556" s="340"/>
      <c r="D556" s="340"/>
      <c r="E556" s="340"/>
      <c r="F556" s="340"/>
      <c r="G556" s="340"/>
      <c r="H556" s="340"/>
      <c r="I556" s="340"/>
      <c r="J556" s="340"/>
      <c r="K556" s="340"/>
      <c r="L556" s="340"/>
      <c r="M556" s="340"/>
      <c r="N556" s="340"/>
      <c r="O556" s="340"/>
      <c r="P556" s="340"/>
      <c r="Q556" s="340"/>
      <c r="R556" s="340"/>
      <c r="S556" s="340"/>
      <c r="T556" s="340"/>
      <c r="U556" s="340"/>
      <c r="V556" s="340"/>
      <c r="W556" s="340"/>
      <c r="X556" s="340"/>
      <c r="Y556" s="340"/>
      <c r="Z556" s="340"/>
    </row>
    <row r="557" ht="15.75" customHeight="1">
      <c r="A557" s="340"/>
      <c r="B557" s="340"/>
      <c r="C557" s="340"/>
      <c r="D557" s="340"/>
      <c r="E557" s="340"/>
      <c r="F557" s="340"/>
      <c r="G557" s="340"/>
      <c r="H557" s="340"/>
      <c r="I557" s="340"/>
      <c r="J557" s="340"/>
      <c r="K557" s="340"/>
      <c r="L557" s="340"/>
      <c r="M557" s="340"/>
      <c r="N557" s="340"/>
      <c r="O557" s="340"/>
      <c r="P557" s="340"/>
      <c r="Q557" s="340"/>
      <c r="R557" s="340"/>
      <c r="S557" s="340"/>
      <c r="T557" s="340"/>
      <c r="U557" s="340"/>
      <c r="V557" s="340"/>
      <c r="W557" s="340"/>
      <c r="X557" s="340"/>
      <c r="Y557" s="340"/>
      <c r="Z557" s="340"/>
    </row>
    <row r="558" ht="15.75" customHeight="1">
      <c r="A558" s="340"/>
      <c r="B558" s="340"/>
      <c r="C558" s="340"/>
      <c r="D558" s="340"/>
      <c r="E558" s="340"/>
      <c r="F558" s="340"/>
      <c r="G558" s="340"/>
      <c r="H558" s="340"/>
      <c r="I558" s="340"/>
      <c r="J558" s="340"/>
      <c r="K558" s="340"/>
      <c r="L558" s="340"/>
      <c r="M558" s="340"/>
      <c r="N558" s="340"/>
      <c r="O558" s="340"/>
      <c r="P558" s="340"/>
      <c r="Q558" s="340"/>
      <c r="R558" s="340"/>
      <c r="S558" s="340"/>
      <c r="T558" s="340"/>
      <c r="U558" s="340"/>
      <c r="V558" s="340"/>
      <c r="W558" s="340"/>
      <c r="X558" s="340"/>
      <c r="Y558" s="340"/>
      <c r="Z558" s="340"/>
    </row>
    <row r="559" ht="15.75" customHeight="1">
      <c r="A559" s="340"/>
      <c r="B559" s="340"/>
      <c r="C559" s="340"/>
      <c r="D559" s="340"/>
      <c r="E559" s="340"/>
      <c r="F559" s="340"/>
      <c r="G559" s="340"/>
      <c r="H559" s="340"/>
      <c r="I559" s="340"/>
      <c r="J559" s="340"/>
      <c r="K559" s="340"/>
      <c r="L559" s="340"/>
      <c r="M559" s="340"/>
      <c r="N559" s="340"/>
      <c r="O559" s="340"/>
      <c r="P559" s="340"/>
      <c r="Q559" s="340"/>
      <c r="R559" s="340"/>
      <c r="S559" s="340"/>
      <c r="T559" s="340"/>
      <c r="U559" s="340"/>
      <c r="V559" s="340"/>
      <c r="W559" s="340"/>
      <c r="X559" s="340"/>
      <c r="Y559" s="340"/>
      <c r="Z559" s="340"/>
    </row>
    <row r="560" ht="15.75" customHeight="1">
      <c r="A560" s="340"/>
      <c r="B560" s="340"/>
      <c r="C560" s="340"/>
      <c r="D560" s="340"/>
      <c r="E560" s="340"/>
      <c r="F560" s="340"/>
      <c r="G560" s="340"/>
      <c r="H560" s="340"/>
      <c r="I560" s="340"/>
      <c r="J560" s="340"/>
      <c r="K560" s="340"/>
      <c r="L560" s="340"/>
      <c r="M560" s="340"/>
      <c r="N560" s="340"/>
      <c r="O560" s="340"/>
      <c r="P560" s="340"/>
      <c r="Q560" s="340"/>
      <c r="R560" s="340"/>
      <c r="S560" s="340"/>
      <c r="T560" s="340"/>
      <c r="U560" s="340"/>
      <c r="V560" s="340"/>
      <c r="W560" s="340"/>
      <c r="X560" s="340"/>
      <c r="Y560" s="340"/>
      <c r="Z560" s="340"/>
    </row>
    <row r="561" ht="15.75" customHeight="1">
      <c r="A561" s="340"/>
      <c r="B561" s="340"/>
      <c r="C561" s="340"/>
      <c r="D561" s="340"/>
      <c r="E561" s="340"/>
      <c r="F561" s="340"/>
      <c r="G561" s="340"/>
      <c r="H561" s="340"/>
      <c r="I561" s="340"/>
      <c r="J561" s="340"/>
      <c r="K561" s="340"/>
      <c r="L561" s="340"/>
      <c r="M561" s="340"/>
      <c r="N561" s="340"/>
      <c r="O561" s="340"/>
      <c r="P561" s="340"/>
      <c r="Q561" s="340"/>
      <c r="R561" s="340"/>
      <c r="S561" s="340"/>
      <c r="T561" s="340"/>
      <c r="U561" s="340"/>
      <c r="V561" s="340"/>
      <c r="W561" s="340"/>
      <c r="X561" s="340"/>
      <c r="Y561" s="340"/>
      <c r="Z561" s="340"/>
    </row>
    <row r="562" ht="15.75" customHeight="1">
      <c r="A562" s="340"/>
      <c r="B562" s="340"/>
      <c r="C562" s="340"/>
      <c r="D562" s="340"/>
      <c r="E562" s="340"/>
      <c r="F562" s="340"/>
      <c r="G562" s="340"/>
      <c r="H562" s="340"/>
      <c r="I562" s="340"/>
      <c r="J562" s="340"/>
      <c r="K562" s="340"/>
      <c r="L562" s="340"/>
      <c r="M562" s="340"/>
      <c r="N562" s="340"/>
      <c r="O562" s="340"/>
      <c r="P562" s="340"/>
      <c r="Q562" s="340"/>
      <c r="R562" s="340"/>
      <c r="S562" s="340"/>
      <c r="T562" s="340"/>
      <c r="U562" s="340"/>
      <c r="V562" s="340"/>
      <c r="W562" s="340"/>
      <c r="X562" s="340"/>
      <c r="Y562" s="340"/>
      <c r="Z562" s="340"/>
    </row>
    <row r="563" ht="15.75" customHeight="1">
      <c r="A563" s="340"/>
      <c r="B563" s="340"/>
      <c r="C563" s="340"/>
      <c r="D563" s="340"/>
      <c r="E563" s="340"/>
      <c r="F563" s="340"/>
      <c r="G563" s="340"/>
      <c r="H563" s="340"/>
      <c r="I563" s="340"/>
      <c r="J563" s="340"/>
      <c r="K563" s="340"/>
      <c r="L563" s="340"/>
      <c r="M563" s="340"/>
      <c r="N563" s="340"/>
      <c r="O563" s="340"/>
      <c r="P563" s="340"/>
      <c r="Q563" s="340"/>
      <c r="R563" s="340"/>
      <c r="S563" s="340"/>
      <c r="T563" s="340"/>
      <c r="U563" s="340"/>
      <c r="V563" s="340"/>
      <c r="W563" s="340"/>
      <c r="X563" s="340"/>
      <c r="Y563" s="340"/>
      <c r="Z563" s="340"/>
    </row>
    <row r="564" ht="15.75" customHeight="1">
      <c r="A564" s="340"/>
      <c r="B564" s="340"/>
      <c r="C564" s="340"/>
      <c r="D564" s="340"/>
      <c r="E564" s="340"/>
      <c r="F564" s="340"/>
      <c r="G564" s="340"/>
      <c r="H564" s="340"/>
      <c r="I564" s="340"/>
      <c r="J564" s="340"/>
      <c r="K564" s="340"/>
      <c r="L564" s="340"/>
      <c r="M564" s="340"/>
      <c r="N564" s="340"/>
      <c r="O564" s="340"/>
      <c r="P564" s="340"/>
      <c r="Q564" s="340"/>
      <c r="R564" s="340"/>
      <c r="S564" s="340"/>
      <c r="T564" s="340"/>
      <c r="U564" s="340"/>
      <c r="V564" s="340"/>
      <c r="W564" s="340"/>
      <c r="X564" s="340"/>
      <c r="Y564" s="340"/>
      <c r="Z564" s="340"/>
    </row>
    <row r="565" ht="15.75" customHeight="1">
      <c r="A565" s="340"/>
      <c r="B565" s="340"/>
      <c r="C565" s="340"/>
      <c r="D565" s="340"/>
      <c r="E565" s="340"/>
      <c r="F565" s="340"/>
      <c r="G565" s="340"/>
      <c r="H565" s="340"/>
      <c r="I565" s="340"/>
      <c r="J565" s="340"/>
      <c r="K565" s="340"/>
      <c r="L565" s="340"/>
      <c r="M565" s="340"/>
      <c r="N565" s="340"/>
      <c r="O565" s="340"/>
      <c r="P565" s="340"/>
      <c r="Q565" s="340"/>
      <c r="R565" s="340"/>
      <c r="S565" s="340"/>
      <c r="T565" s="340"/>
      <c r="U565" s="340"/>
      <c r="V565" s="340"/>
      <c r="W565" s="340"/>
      <c r="X565" s="340"/>
      <c r="Y565" s="340"/>
      <c r="Z565" s="340"/>
    </row>
    <row r="566" ht="15.75" customHeight="1">
      <c r="A566" s="340"/>
      <c r="B566" s="340"/>
      <c r="C566" s="340"/>
      <c r="D566" s="340"/>
      <c r="E566" s="340"/>
      <c r="F566" s="340"/>
      <c r="G566" s="340"/>
      <c r="H566" s="340"/>
      <c r="I566" s="340"/>
      <c r="J566" s="340"/>
      <c r="K566" s="340"/>
      <c r="L566" s="340"/>
      <c r="M566" s="340"/>
      <c r="N566" s="340"/>
      <c r="O566" s="340"/>
      <c r="P566" s="340"/>
      <c r="Q566" s="340"/>
      <c r="R566" s="340"/>
      <c r="S566" s="340"/>
      <c r="T566" s="340"/>
      <c r="U566" s="340"/>
      <c r="V566" s="340"/>
      <c r="W566" s="340"/>
      <c r="X566" s="340"/>
      <c r="Y566" s="340"/>
      <c r="Z566" s="340"/>
    </row>
    <row r="567" ht="15.75" customHeight="1">
      <c r="A567" s="340"/>
      <c r="B567" s="340"/>
      <c r="C567" s="340"/>
      <c r="D567" s="340"/>
      <c r="E567" s="340"/>
      <c r="F567" s="340"/>
      <c r="G567" s="340"/>
      <c r="H567" s="340"/>
      <c r="I567" s="340"/>
      <c r="J567" s="340"/>
      <c r="K567" s="340"/>
      <c r="L567" s="340"/>
      <c r="M567" s="340"/>
      <c r="N567" s="340"/>
      <c r="O567" s="340"/>
      <c r="P567" s="340"/>
      <c r="Q567" s="340"/>
      <c r="R567" s="340"/>
      <c r="S567" s="340"/>
      <c r="T567" s="340"/>
      <c r="U567" s="340"/>
      <c r="V567" s="340"/>
      <c r="W567" s="340"/>
      <c r="X567" s="340"/>
      <c r="Y567" s="340"/>
      <c r="Z567" s="340"/>
    </row>
    <row r="568" ht="15.75" customHeight="1">
      <c r="A568" s="340"/>
      <c r="B568" s="340"/>
      <c r="C568" s="340"/>
      <c r="D568" s="340"/>
      <c r="E568" s="340"/>
      <c r="F568" s="340"/>
      <c r="G568" s="340"/>
      <c r="H568" s="340"/>
      <c r="I568" s="340"/>
      <c r="J568" s="340"/>
      <c r="K568" s="340"/>
      <c r="L568" s="340"/>
      <c r="M568" s="340"/>
      <c r="N568" s="340"/>
      <c r="O568" s="340"/>
      <c r="P568" s="340"/>
      <c r="Q568" s="340"/>
      <c r="R568" s="340"/>
      <c r="S568" s="340"/>
      <c r="T568" s="340"/>
      <c r="U568" s="340"/>
      <c r="V568" s="340"/>
      <c r="W568" s="340"/>
      <c r="X568" s="340"/>
      <c r="Y568" s="340"/>
      <c r="Z568" s="340"/>
    </row>
    <row r="569" ht="15.75" customHeight="1">
      <c r="A569" s="340"/>
      <c r="B569" s="340"/>
      <c r="C569" s="340"/>
      <c r="D569" s="340"/>
      <c r="E569" s="340"/>
      <c r="F569" s="340"/>
      <c r="G569" s="340"/>
      <c r="H569" s="340"/>
      <c r="I569" s="340"/>
      <c r="J569" s="340"/>
      <c r="K569" s="340"/>
      <c r="L569" s="340"/>
      <c r="M569" s="340"/>
      <c r="N569" s="340"/>
      <c r="O569" s="340"/>
      <c r="P569" s="340"/>
      <c r="Q569" s="340"/>
      <c r="R569" s="340"/>
      <c r="S569" s="340"/>
      <c r="T569" s="340"/>
      <c r="U569" s="340"/>
      <c r="V569" s="340"/>
      <c r="W569" s="340"/>
      <c r="X569" s="340"/>
      <c r="Y569" s="340"/>
      <c r="Z569" s="340"/>
    </row>
    <row r="570" ht="15.75" customHeight="1">
      <c r="A570" s="340"/>
      <c r="B570" s="340"/>
      <c r="C570" s="340"/>
      <c r="D570" s="340"/>
      <c r="E570" s="340"/>
      <c r="F570" s="340"/>
      <c r="G570" s="340"/>
      <c r="H570" s="340"/>
      <c r="I570" s="340"/>
      <c r="J570" s="340"/>
      <c r="K570" s="340"/>
      <c r="L570" s="340"/>
      <c r="M570" s="340"/>
      <c r="N570" s="340"/>
      <c r="O570" s="340"/>
      <c r="P570" s="340"/>
      <c r="Q570" s="340"/>
      <c r="R570" s="340"/>
      <c r="S570" s="340"/>
      <c r="T570" s="340"/>
      <c r="U570" s="340"/>
      <c r="V570" s="340"/>
      <c r="W570" s="340"/>
      <c r="X570" s="340"/>
      <c r="Y570" s="340"/>
      <c r="Z570" s="340"/>
    </row>
    <row r="571" ht="15.75" customHeight="1">
      <c r="A571" s="340"/>
      <c r="B571" s="340"/>
      <c r="C571" s="340"/>
      <c r="D571" s="340"/>
      <c r="E571" s="340"/>
      <c r="F571" s="340"/>
      <c r="G571" s="340"/>
      <c r="H571" s="340"/>
      <c r="I571" s="340"/>
      <c r="J571" s="340"/>
      <c r="K571" s="340"/>
      <c r="L571" s="340"/>
      <c r="M571" s="340"/>
      <c r="N571" s="340"/>
      <c r="O571" s="340"/>
      <c r="P571" s="340"/>
      <c r="Q571" s="340"/>
      <c r="R571" s="340"/>
      <c r="S571" s="340"/>
      <c r="T571" s="340"/>
      <c r="U571" s="340"/>
      <c r="V571" s="340"/>
      <c r="W571" s="340"/>
      <c r="X571" s="340"/>
      <c r="Y571" s="340"/>
      <c r="Z571" s="340"/>
    </row>
    <row r="572" ht="15.75" customHeight="1">
      <c r="A572" s="340"/>
      <c r="B572" s="340"/>
      <c r="C572" s="340"/>
      <c r="D572" s="340"/>
      <c r="E572" s="340"/>
      <c r="F572" s="340"/>
      <c r="G572" s="340"/>
      <c r="H572" s="340"/>
      <c r="I572" s="340"/>
      <c r="J572" s="340"/>
      <c r="K572" s="340"/>
      <c r="L572" s="340"/>
      <c r="M572" s="340"/>
      <c r="N572" s="340"/>
      <c r="O572" s="340"/>
      <c r="P572" s="340"/>
      <c r="Q572" s="340"/>
      <c r="R572" s="340"/>
      <c r="S572" s="340"/>
      <c r="T572" s="340"/>
      <c r="U572" s="340"/>
      <c r="V572" s="340"/>
      <c r="W572" s="340"/>
      <c r="X572" s="340"/>
      <c r="Y572" s="340"/>
      <c r="Z572" s="340"/>
    </row>
    <row r="573" ht="15.75" customHeight="1">
      <c r="A573" s="340"/>
      <c r="B573" s="340"/>
      <c r="C573" s="340"/>
      <c r="D573" s="340"/>
      <c r="E573" s="340"/>
      <c r="F573" s="340"/>
      <c r="G573" s="340"/>
      <c r="H573" s="340"/>
      <c r="I573" s="340"/>
      <c r="J573" s="340"/>
      <c r="K573" s="340"/>
      <c r="L573" s="340"/>
      <c r="M573" s="340"/>
      <c r="N573" s="340"/>
      <c r="O573" s="340"/>
      <c r="P573" s="340"/>
      <c r="Q573" s="340"/>
      <c r="R573" s="340"/>
      <c r="S573" s="340"/>
      <c r="T573" s="340"/>
      <c r="U573" s="340"/>
      <c r="V573" s="340"/>
      <c r="W573" s="340"/>
      <c r="X573" s="340"/>
      <c r="Y573" s="340"/>
      <c r="Z573" s="340"/>
    </row>
    <row r="574" ht="15.75" customHeight="1">
      <c r="A574" s="340"/>
      <c r="B574" s="340"/>
      <c r="C574" s="340"/>
      <c r="D574" s="340"/>
      <c r="E574" s="340"/>
      <c r="F574" s="340"/>
      <c r="G574" s="340"/>
      <c r="H574" s="340"/>
      <c r="I574" s="340"/>
      <c r="J574" s="340"/>
      <c r="K574" s="340"/>
      <c r="L574" s="340"/>
      <c r="M574" s="340"/>
      <c r="N574" s="340"/>
      <c r="O574" s="340"/>
      <c r="P574" s="340"/>
      <c r="Q574" s="340"/>
      <c r="R574" s="340"/>
      <c r="S574" s="340"/>
      <c r="T574" s="340"/>
      <c r="U574" s="340"/>
      <c r="V574" s="340"/>
      <c r="W574" s="340"/>
      <c r="X574" s="340"/>
      <c r="Y574" s="340"/>
      <c r="Z574" s="340"/>
    </row>
    <row r="575" ht="15.75" customHeight="1">
      <c r="A575" s="340"/>
      <c r="B575" s="340"/>
      <c r="C575" s="340"/>
      <c r="D575" s="340"/>
      <c r="E575" s="340"/>
      <c r="F575" s="340"/>
      <c r="G575" s="340"/>
      <c r="H575" s="340"/>
      <c r="I575" s="340"/>
      <c r="J575" s="340"/>
      <c r="K575" s="340"/>
      <c r="L575" s="340"/>
      <c r="M575" s="340"/>
      <c r="N575" s="340"/>
      <c r="O575" s="340"/>
      <c r="P575" s="340"/>
      <c r="Q575" s="340"/>
      <c r="R575" s="340"/>
      <c r="S575" s="340"/>
      <c r="T575" s="340"/>
      <c r="U575" s="340"/>
      <c r="V575" s="340"/>
      <c r="W575" s="340"/>
      <c r="X575" s="340"/>
      <c r="Y575" s="340"/>
      <c r="Z575" s="340"/>
    </row>
    <row r="576" ht="15.75" customHeight="1">
      <c r="A576" s="340"/>
      <c r="B576" s="340"/>
      <c r="C576" s="340"/>
      <c r="D576" s="340"/>
      <c r="E576" s="340"/>
      <c r="F576" s="340"/>
      <c r="G576" s="340"/>
      <c r="H576" s="340"/>
      <c r="I576" s="340"/>
      <c r="J576" s="340"/>
      <c r="K576" s="340"/>
      <c r="L576" s="340"/>
      <c r="M576" s="340"/>
      <c r="N576" s="340"/>
      <c r="O576" s="340"/>
      <c r="P576" s="340"/>
      <c r="Q576" s="340"/>
      <c r="R576" s="340"/>
      <c r="S576" s="340"/>
      <c r="T576" s="340"/>
      <c r="U576" s="340"/>
      <c r="V576" s="340"/>
      <c r="W576" s="340"/>
      <c r="X576" s="340"/>
      <c r="Y576" s="340"/>
      <c r="Z576" s="340"/>
    </row>
    <row r="577" ht="15.75" customHeight="1">
      <c r="A577" s="340"/>
      <c r="B577" s="340"/>
      <c r="C577" s="340"/>
      <c r="D577" s="340"/>
      <c r="E577" s="340"/>
      <c r="F577" s="340"/>
      <c r="G577" s="340"/>
      <c r="H577" s="340"/>
      <c r="I577" s="340"/>
      <c r="J577" s="340"/>
      <c r="K577" s="340"/>
      <c r="L577" s="340"/>
      <c r="M577" s="340"/>
      <c r="N577" s="340"/>
      <c r="O577" s="340"/>
      <c r="P577" s="340"/>
      <c r="Q577" s="340"/>
      <c r="R577" s="340"/>
      <c r="S577" s="340"/>
      <c r="T577" s="340"/>
      <c r="U577" s="340"/>
      <c r="V577" s="340"/>
      <c r="W577" s="340"/>
      <c r="X577" s="340"/>
      <c r="Y577" s="340"/>
      <c r="Z577" s="340"/>
    </row>
    <row r="578" ht="15.75" customHeight="1">
      <c r="A578" s="340"/>
      <c r="B578" s="340"/>
      <c r="C578" s="340"/>
      <c r="D578" s="340"/>
      <c r="E578" s="340"/>
      <c r="F578" s="340"/>
      <c r="G578" s="340"/>
      <c r="H578" s="340"/>
      <c r="I578" s="340"/>
      <c r="J578" s="340"/>
      <c r="K578" s="340"/>
      <c r="L578" s="340"/>
      <c r="M578" s="340"/>
      <c r="N578" s="340"/>
      <c r="O578" s="340"/>
      <c r="P578" s="340"/>
      <c r="Q578" s="340"/>
      <c r="R578" s="340"/>
      <c r="S578" s="340"/>
      <c r="T578" s="340"/>
      <c r="U578" s="340"/>
      <c r="V578" s="340"/>
      <c r="W578" s="340"/>
      <c r="X578" s="340"/>
      <c r="Y578" s="340"/>
      <c r="Z578" s="340"/>
    </row>
    <row r="579" ht="15.75" customHeight="1">
      <c r="A579" s="340"/>
      <c r="B579" s="340"/>
      <c r="C579" s="340"/>
      <c r="D579" s="340"/>
      <c r="E579" s="340"/>
      <c r="F579" s="340"/>
      <c r="G579" s="340"/>
      <c r="H579" s="340"/>
      <c r="I579" s="340"/>
      <c r="J579" s="340"/>
      <c r="K579" s="340"/>
      <c r="L579" s="340"/>
      <c r="M579" s="340"/>
      <c r="N579" s="340"/>
      <c r="O579" s="340"/>
      <c r="P579" s="340"/>
      <c r="Q579" s="340"/>
      <c r="R579" s="340"/>
      <c r="S579" s="340"/>
      <c r="T579" s="340"/>
      <c r="U579" s="340"/>
      <c r="V579" s="340"/>
      <c r="W579" s="340"/>
      <c r="X579" s="340"/>
      <c r="Y579" s="340"/>
      <c r="Z579" s="340"/>
    </row>
    <row r="580" ht="15.75" customHeight="1">
      <c r="A580" s="340"/>
      <c r="B580" s="340"/>
      <c r="C580" s="340"/>
      <c r="D580" s="340"/>
      <c r="E580" s="340"/>
      <c r="F580" s="340"/>
      <c r="G580" s="340"/>
      <c r="H580" s="340"/>
      <c r="I580" s="340"/>
      <c r="J580" s="340"/>
      <c r="K580" s="340"/>
      <c r="L580" s="340"/>
      <c r="M580" s="340"/>
      <c r="N580" s="340"/>
      <c r="O580" s="340"/>
      <c r="P580" s="340"/>
      <c r="Q580" s="340"/>
      <c r="R580" s="340"/>
      <c r="S580" s="340"/>
      <c r="T580" s="340"/>
      <c r="U580" s="340"/>
      <c r="V580" s="340"/>
      <c r="W580" s="340"/>
      <c r="X580" s="340"/>
      <c r="Y580" s="340"/>
      <c r="Z580" s="340"/>
    </row>
    <row r="581" ht="15.75" customHeight="1">
      <c r="A581" s="340"/>
      <c r="B581" s="340"/>
      <c r="C581" s="340"/>
      <c r="D581" s="340"/>
      <c r="E581" s="340"/>
      <c r="F581" s="340"/>
      <c r="G581" s="340"/>
      <c r="H581" s="340"/>
      <c r="I581" s="340"/>
      <c r="J581" s="340"/>
      <c r="K581" s="340"/>
      <c r="L581" s="340"/>
      <c r="M581" s="340"/>
      <c r="N581" s="340"/>
      <c r="O581" s="340"/>
      <c r="P581" s="340"/>
      <c r="Q581" s="340"/>
      <c r="R581" s="340"/>
      <c r="S581" s="340"/>
      <c r="T581" s="340"/>
      <c r="U581" s="340"/>
      <c r="V581" s="340"/>
      <c r="W581" s="340"/>
      <c r="X581" s="340"/>
      <c r="Y581" s="340"/>
      <c r="Z581" s="340"/>
    </row>
    <row r="582" ht="15.75" customHeight="1">
      <c r="A582" s="340"/>
      <c r="B582" s="340"/>
      <c r="C582" s="340"/>
      <c r="D582" s="340"/>
      <c r="E582" s="340"/>
      <c r="F582" s="340"/>
      <c r="G582" s="340"/>
      <c r="H582" s="340"/>
      <c r="I582" s="340"/>
      <c r="J582" s="340"/>
      <c r="K582" s="340"/>
      <c r="L582" s="340"/>
      <c r="M582" s="340"/>
      <c r="N582" s="340"/>
      <c r="O582" s="340"/>
      <c r="P582" s="340"/>
      <c r="Q582" s="340"/>
      <c r="R582" s="340"/>
      <c r="S582" s="340"/>
      <c r="T582" s="340"/>
      <c r="U582" s="340"/>
      <c r="V582" s="340"/>
      <c r="W582" s="340"/>
      <c r="X582" s="340"/>
      <c r="Y582" s="340"/>
      <c r="Z582" s="340"/>
    </row>
    <row r="583" ht="15.75" customHeight="1">
      <c r="A583" s="340"/>
      <c r="B583" s="340"/>
      <c r="C583" s="340"/>
      <c r="D583" s="340"/>
      <c r="E583" s="340"/>
      <c r="F583" s="340"/>
      <c r="G583" s="340"/>
      <c r="H583" s="340"/>
      <c r="I583" s="340"/>
      <c r="J583" s="340"/>
      <c r="K583" s="340"/>
      <c r="L583" s="340"/>
      <c r="M583" s="340"/>
      <c r="N583" s="340"/>
      <c r="O583" s="340"/>
      <c r="P583" s="340"/>
      <c r="Q583" s="340"/>
      <c r="R583" s="340"/>
      <c r="S583" s="340"/>
      <c r="T583" s="340"/>
      <c r="U583" s="340"/>
      <c r="V583" s="340"/>
      <c r="W583" s="340"/>
      <c r="X583" s="340"/>
      <c r="Y583" s="340"/>
      <c r="Z583" s="340"/>
    </row>
    <row r="584" ht="15.75" customHeight="1">
      <c r="A584" s="340"/>
      <c r="B584" s="340"/>
      <c r="C584" s="340"/>
      <c r="D584" s="340"/>
      <c r="E584" s="340"/>
      <c r="F584" s="340"/>
      <c r="G584" s="340"/>
      <c r="H584" s="340"/>
      <c r="I584" s="340"/>
      <c r="J584" s="340"/>
      <c r="K584" s="340"/>
      <c r="L584" s="340"/>
      <c r="M584" s="340"/>
      <c r="N584" s="340"/>
      <c r="O584" s="340"/>
      <c r="P584" s="340"/>
      <c r="Q584" s="340"/>
      <c r="R584" s="340"/>
      <c r="S584" s="340"/>
      <c r="T584" s="340"/>
      <c r="U584" s="340"/>
      <c r="V584" s="340"/>
      <c r="W584" s="340"/>
      <c r="X584" s="340"/>
      <c r="Y584" s="340"/>
      <c r="Z584" s="340"/>
    </row>
    <row r="585" ht="15.75" customHeight="1">
      <c r="A585" s="340"/>
      <c r="B585" s="340"/>
      <c r="C585" s="340"/>
      <c r="D585" s="340"/>
      <c r="E585" s="340"/>
      <c r="F585" s="340"/>
      <c r="G585" s="340"/>
      <c r="H585" s="340"/>
      <c r="I585" s="340"/>
      <c r="J585" s="340"/>
      <c r="K585" s="340"/>
      <c r="L585" s="340"/>
      <c r="M585" s="340"/>
      <c r="N585" s="340"/>
      <c r="O585" s="340"/>
      <c r="P585" s="340"/>
      <c r="Q585" s="340"/>
      <c r="R585" s="340"/>
      <c r="S585" s="340"/>
      <c r="T585" s="340"/>
      <c r="U585" s="340"/>
      <c r="V585" s="340"/>
      <c r="W585" s="340"/>
      <c r="X585" s="340"/>
      <c r="Y585" s="340"/>
      <c r="Z585" s="340"/>
    </row>
    <row r="586" ht="15.75" customHeight="1">
      <c r="A586" s="340"/>
      <c r="B586" s="340"/>
      <c r="C586" s="340"/>
      <c r="D586" s="340"/>
      <c r="E586" s="340"/>
      <c r="F586" s="340"/>
      <c r="G586" s="340"/>
      <c r="H586" s="340"/>
      <c r="I586" s="340"/>
      <c r="J586" s="340"/>
      <c r="K586" s="340"/>
      <c r="L586" s="340"/>
      <c r="M586" s="340"/>
      <c r="N586" s="340"/>
      <c r="O586" s="340"/>
      <c r="P586" s="340"/>
      <c r="Q586" s="340"/>
      <c r="R586" s="340"/>
      <c r="S586" s="340"/>
      <c r="T586" s="340"/>
      <c r="U586" s="340"/>
      <c r="V586" s="340"/>
      <c r="W586" s="340"/>
      <c r="X586" s="340"/>
      <c r="Y586" s="340"/>
      <c r="Z586" s="340"/>
    </row>
    <row r="587" ht="15.75" customHeight="1">
      <c r="A587" s="340"/>
      <c r="B587" s="340"/>
      <c r="C587" s="340"/>
      <c r="D587" s="340"/>
      <c r="E587" s="340"/>
      <c r="F587" s="340"/>
      <c r="G587" s="340"/>
      <c r="H587" s="340"/>
      <c r="I587" s="340"/>
      <c r="J587" s="340"/>
      <c r="K587" s="340"/>
      <c r="L587" s="340"/>
      <c r="M587" s="340"/>
      <c r="N587" s="340"/>
      <c r="O587" s="340"/>
      <c r="P587" s="340"/>
      <c r="Q587" s="340"/>
      <c r="R587" s="340"/>
      <c r="S587" s="340"/>
      <c r="T587" s="340"/>
      <c r="U587" s="340"/>
      <c r="V587" s="340"/>
      <c r="W587" s="340"/>
      <c r="X587" s="340"/>
      <c r="Y587" s="340"/>
      <c r="Z587" s="340"/>
    </row>
    <row r="588" ht="15.75" customHeight="1">
      <c r="A588" s="340"/>
      <c r="B588" s="340"/>
      <c r="C588" s="340"/>
      <c r="D588" s="340"/>
      <c r="E588" s="340"/>
      <c r="F588" s="340"/>
      <c r="G588" s="340"/>
      <c r="H588" s="340"/>
      <c r="I588" s="340"/>
      <c r="J588" s="340"/>
      <c r="K588" s="340"/>
      <c r="L588" s="340"/>
      <c r="M588" s="340"/>
      <c r="N588" s="340"/>
      <c r="O588" s="340"/>
      <c r="P588" s="340"/>
      <c r="Q588" s="340"/>
      <c r="R588" s="340"/>
      <c r="S588" s="340"/>
      <c r="T588" s="340"/>
      <c r="U588" s="340"/>
      <c r="V588" s="340"/>
      <c r="W588" s="340"/>
      <c r="X588" s="340"/>
      <c r="Y588" s="340"/>
      <c r="Z588" s="340"/>
    </row>
    <row r="589" ht="15.75" customHeight="1">
      <c r="A589" s="340"/>
      <c r="B589" s="340"/>
      <c r="C589" s="340"/>
      <c r="D589" s="340"/>
      <c r="E589" s="340"/>
      <c r="F589" s="340"/>
      <c r="G589" s="340"/>
      <c r="H589" s="340"/>
      <c r="I589" s="340"/>
      <c r="J589" s="340"/>
      <c r="K589" s="340"/>
      <c r="L589" s="340"/>
      <c r="M589" s="340"/>
      <c r="N589" s="340"/>
      <c r="O589" s="340"/>
      <c r="P589" s="340"/>
      <c r="Q589" s="340"/>
      <c r="R589" s="340"/>
      <c r="S589" s="340"/>
      <c r="T589" s="340"/>
      <c r="U589" s="340"/>
      <c r="V589" s="340"/>
      <c r="W589" s="340"/>
      <c r="X589" s="340"/>
      <c r="Y589" s="340"/>
      <c r="Z589" s="340"/>
    </row>
    <row r="590" ht="15.75" customHeight="1">
      <c r="A590" s="340"/>
      <c r="B590" s="340"/>
      <c r="C590" s="340"/>
      <c r="D590" s="340"/>
      <c r="E590" s="340"/>
      <c r="F590" s="340"/>
      <c r="G590" s="340"/>
      <c r="H590" s="340"/>
      <c r="I590" s="340"/>
      <c r="J590" s="340"/>
      <c r="K590" s="340"/>
      <c r="L590" s="340"/>
      <c r="M590" s="340"/>
      <c r="N590" s="340"/>
      <c r="O590" s="340"/>
      <c r="P590" s="340"/>
      <c r="Q590" s="340"/>
      <c r="R590" s="340"/>
      <c r="S590" s="340"/>
      <c r="T590" s="340"/>
      <c r="U590" s="340"/>
      <c r="V590" s="340"/>
      <c r="W590" s="340"/>
      <c r="X590" s="340"/>
      <c r="Y590" s="340"/>
      <c r="Z590" s="340"/>
    </row>
    <row r="591" ht="15.75" customHeight="1">
      <c r="A591" s="340"/>
      <c r="B591" s="340"/>
      <c r="C591" s="340"/>
      <c r="D591" s="340"/>
      <c r="E591" s="340"/>
      <c r="F591" s="340"/>
      <c r="G591" s="340"/>
      <c r="H591" s="340"/>
      <c r="I591" s="340"/>
      <c r="J591" s="340"/>
      <c r="K591" s="340"/>
      <c r="L591" s="340"/>
      <c r="M591" s="340"/>
      <c r="N591" s="340"/>
      <c r="O591" s="340"/>
      <c r="P591" s="340"/>
      <c r="Q591" s="340"/>
      <c r="R591" s="340"/>
      <c r="S591" s="340"/>
      <c r="T591" s="340"/>
      <c r="U591" s="340"/>
      <c r="V591" s="340"/>
      <c r="W591" s="340"/>
      <c r="X591" s="340"/>
      <c r="Y591" s="340"/>
      <c r="Z591" s="340"/>
    </row>
    <row r="592" ht="15.75" customHeight="1">
      <c r="A592" s="340"/>
      <c r="B592" s="340"/>
      <c r="C592" s="340"/>
      <c r="D592" s="340"/>
      <c r="E592" s="340"/>
      <c r="F592" s="340"/>
      <c r="G592" s="340"/>
      <c r="H592" s="340"/>
      <c r="I592" s="340"/>
      <c r="J592" s="340"/>
      <c r="K592" s="340"/>
      <c r="L592" s="340"/>
      <c r="M592" s="340"/>
      <c r="N592" s="340"/>
      <c r="O592" s="340"/>
      <c r="P592" s="340"/>
      <c r="Q592" s="340"/>
      <c r="R592" s="340"/>
      <c r="S592" s="340"/>
      <c r="T592" s="340"/>
      <c r="U592" s="340"/>
      <c r="V592" s="340"/>
      <c r="W592" s="340"/>
      <c r="X592" s="340"/>
      <c r="Y592" s="340"/>
      <c r="Z592" s="340"/>
    </row>
    <row r="593" ht="15.75" customHeight="1">
      <c r="A593" s="340"/>
      <c r="B593" s="340"/>
      <c r="C593" s="340"/>
      <c r="D593" s="340"/>
      <c r="E593" s="340"/>
      <c r="F593" s="340"/>
      <c r="G593" s="340"/>
      <c r="H593" s="340"/>
      <c r="I593" s="340"/>
      <c r="J593" s="340"/>
      <c r="K593" s="340"/>
      <c r="L593" s="340"/>
      <c r="M593" s="340"/>
      <c r="N593" s="340"/>
      <c r="O593" s="340"/>
      <c r="P593" s="340"/>
      <c r="Q593" s="340"/>
      <c r="R593" s="340"/>
      <c r="S593" s="340"/>
      <c r="T593" s="340"/>
      <c r="U593" s="340"/>
      <c r="V593" s="340"/>
      <c r="W593" s="340"/>
      <c r="X593" s="340"/>
      <c r="Y593" s="340"/>
      <c r="Z593" s="340"/>
    </row>
    <row r="594" ht="15.75" customHeight="1">
      <c r="A594" s="340"/>
      <c r="B594" s="340"/>
      <c r="C594" s="340"/>
      <c r="D594" s="340"/>
      <c r="E594" s="340"/>
      <c r="F594" s="340"/>
      <c r="G594" s="340"/>
      <c r="H594" s="340"/>
      <c r="I594" s="340"/>
      <c r="J594" s="340"/>
      <c r="K594" s="340"/>
      <c r="L594" s="340"/>
      <c r="M594" s="340"/>
      <c r="N594" s="340"/>
      <c r="O594" s="340"/>
      <c r="P594" s="340"/>
      <c r="Q594" s="340"/>
      <c r="R594" s="340"/>
      <c r="S594" s="340"/>
      <c r="T594" s="340"/>
      <c r="U594" s="340"/>
      <c r="V594" s="340"/>
      <c r="W594" s="340"/>
      <c r="X594" s="340"/>
      <c r="Y594" s="340"/>
      <c r="Z594" s="340"/>
    </row>
    <row r="595" ht="15.75" customHeight="1">
      <c r="A595" s="340"/>
      <c r="B595" s="340"/>
      <c r="C595" s="340"/>
      <c r="D595" s="340"/>
      <c r="E595" s="340"/>
      <c r="F595" s="340"/>
      <c r="G595" s="340"/>
      <c r="H595" s="340"/>
      <c r="I595" s="340"/>
      <c r="J595" s="340"/>
      <c r="K595" s="340"/>
      <c r="L595" s="340"/>
      <c r="M595" s="340"/>
      <c r="N595" s="340"/>
      <c r="O595" s="340"/>
      <c r="P595" s="340"/>
      <c r="Q595" s="340"/>
      <c r="R595" s="340"/>
      <c r="S595" s="340"/>
      <c r="T595" s="340"/>
      <c r="U595" s="340"/>
      <c r="V595" s="340"/>
      <c r="W595" s="340"/>
      <c r="X595" s="340"/>
      <c r="Y595" s="340"/>
      <c r="Z595" s="340"/>
    </row>
    <row r="596" ht="15.75" customHeight="1">
      <c r="A596" s="340"/>
      <c r="B596" s="340"/>
      <c r="C596" s="340"/>
      <c r="D596" s="340"/>
      <c r="E596" s="340"/>
      <c r="F596" s="340"/>
      <c r="G596" s="340"/>
      <c r="H596" s="340"/>
      <c r="I596" s="340"/>
      <c r="J596" s="340"/>
      <c r="K596" s="340"/>
      <c r="L596" s="340"/>
      <c r="M596" s="340"/>
      <c r="N596" s="340"/>
      <c r="O596" s="340"/>
      <c r="P596" s="340"/>
      <c r="Q596" s="340"/>
      <c r="R596" s="340"/>
      <c r="S596" s="340"/>
      <c r="T596" s="340"/>
      <c r="U596" s="340"/>
      <c r="V596" s="340"/>
      <c r="W596" s="340"/>
      <c r="X596" s="340"/>
      <c r="Y596" s="340"/>
      <c r="Z596" s="340"/>
    </row>
    <row r="597" ht="15.75" customHeight="1">
      <c r="A597" s="340"/>
      <c r="B597" s="340"/>
      <c r="C597" s="340"/>
      <c r="D597" s="340"/>
      <c r="E597" s="340"/>
      <c r="F597" s="340"/>
      <c r="G597" s="340"/>
      <c r="H597" s="340"/>
      <c r="I597" s="340"/>
      <c r="J597" s="340"/>
      <c r="K597" s="340"/>
      <c r="L597" s="340"/>
      <c r="M597" s="340"/>
      <c r="N597" s="340"/>
      <c r="O597" s="340"/>
      <c r="P597" s="340"/>
      <c r="Q597" s="340"/>
      <c r="R597" s="340"/>
      <c r="S597" s="340"/>
      <c r="T597" s="340"/>
      <c r="U597" s="340"/>
      <c r="V597" s="340"/>
      <c r="W597" s="340"/>
      <c r="X597" s="340"/>
      <c r="Y597" s="340"/>
      <c r="Z597" s="340"/>
    </row>
    <row r="598" ht="15.75" customHeight="1">
      <c r="A598" s="340"/>
      <c r="B598" s="340"/>
      <c r="C598" s="340"/>
      <c r="D598" s="340"/>
      <c r="E598" s="340"/>
      <c r="F598" s="340"/>
      <c r="G598" s="340"/>
      <c r="H598" s="340"/>
      <c r="I598" s="340"/>
      <c r="J598" s="340"/>
      <c r="K598" s="340"/>
      <c r="L598" s="340"/>
      <c r="M598" s="340"/>
      <c r="N598" s="340"/>
      <c r="O598" s="340"/>
      <c r="P598" s="340"/>
      <c r="Q598" s="340"/>
      <c r="R598" s="340"/>
      <c r="S598" s="340"/>
      <c r="T598" s="340"/>
      <c r="U598" s="340"/>
      <c r="V598" s="340"/>
      <c r="W598" s="340"/>
      <c r="X598" s="340"/>
      <c r="Y598" s="340"/>
      <c r="Z598" s="340"/>
    </row>
    <row r="599" ht="15.75" customHeight="1">
      <c r="A599" s="340"/>
      <c r="B599" s="340"/>
      <c r="C599" s="340"/>
      <c r="D599" s="340"/>
      <c r="E599" s="340"/>
      <c r="F599" s="340"/>
      <c r="G599" s="340"/>
      <c r="H599" s="340"/>
      <c r="I599" s="340"/>
      <c r="J599" s="340"/>
      <c r="K599" s="340"/>
      <c r="L599" s="340"/>
      <c r="M599" s="340"/>
      <c r="N599" s="340"/>
      <c r="O599" s="340"/>
      <c r="P599" s="340"/>
      <c r="Q599" s="340"/>
      <c r="R599" s="340"/>
      <c r="S599" s="340"/>
      <c r="T599" s="340"/>
      <c r="U599" s="340"/>
      <c r="V599" s="340"/>
      <c r="W599" s="340"/>
      <c r="X599" s="340"/>
      <c r="Y599" s="340"/>
      <c r="Z599" s="340"/>
    </row>
    <row r="600" ht="15.75" customHeight="1">
      <c r="A600" s="340"/>
      <c r="B600" s="340"/>
      <c r="C600" s="340"/>
      <c r="D600" s="340"/>
      <c r="E600" s="340"/>
      <c r="F600" s="340"/>
      <c r="G600" s="340"/>
      <c r="H600" s="340"/>
      <c r="I600" s="340"/>
      <c r="J600" s="340"/>
      <c r="K600" s="340"/>
      <c r="L600" s="340"/>
      <c r="M600" s="340"/>
      <c r="N600" s="340"/>
      <c r="O600" s="340"/>
      <c r="P600" s="340"/>
      <c r="Q600" s="340"/>
      <c r="R600" s="340"/>
      <c r="S600" s="340"/>
      <c r="T600" s="340"/>
      <c r="U600" s="340"/>
      <c r="V600" s="340"/>
      <c r="W600" s="340"/>
      <c r="X600" s="340"/>
      <c r="Y600" s="340"/>
      <c r="Z600" s="340"/>
    </row>
    <row r="601" ht="15.75" customHeight="1">
      <c r="A601" s="340"/>
      <c r="B601" s="340"/>
      <c r="C601" s="340"/>
      <c r="D601" s="340"/>
      <c r="E601" s="340"/>
      <c r="F601" s="340"/>
      <c r="G601" s="340"/>
      <c r="H601" s="340"/>
      <c r="I601" s="340"/>
      <c r="J601" s="340"/>
      <c r="K601" s="340"/>
      <c r="L601" s="340"/>
      <c r="M601" s="340"/>
      <c r="N601" s="340"/>
      <c r="O601" s="340"/>
      <c r="P601" s="340"/>
      <c r="Q601" s="340"/>
      <c r="R601" s="340"/>
      <c r="S601" s="340"/>
      <c r="T601" s="340"/>
      <c r="U601" s="340"/>
      <c r="V601" s="340"/>
      <c r="W601" s="340"/>
      <c r="X601" s="340"/>
      <c r="Y601" s="340"/>
      <c r="Z601" s="340"/>
    </row>
    <row r="602" ht="15.75" customHeight="1">
      <c r="A602" s="340"/>
      <c r="B602" s="340"/>
      <c r="C602" s="340"/>
      <c r="D602" s="340"/>
      <c r="E602" s="340"/>
      <c r="F602" s="340"/>
      <c r="G602" s="340"/>
      <c r="H602" s="340"/>
      <c r="I602" s="340"/>
      <c r="J602" s="340"/>
      <c r="K602" s="340"/>
      <c r="L602" s="340"/>
      <c r="M602" s="340"/>
      <c r="N602" s="340"/>
      <c r="O602" s="340"/>
      <c r="P602" s="340"/>
      <c r="Q602" s="340"/>
      <c r="R602" s="340"/>
      <c r="S602" s="340"/>
      <c r="T602" s="340"/>
      <c r="U602" s="340"/>
      <c r="V602" s="340"/>
      <c r="W602" s="340"/>
      <c r="X602" s="340"/>
      <c r="Y602" s="340"/>
      <c r="Z602" s="340"/>
    </row>
    <row r="603" ht="15.75" customHeight="1">
      <c r="A603" s="340"/>
      <c r="B603" s="340"/>
      <c r="C603" s="340"/>
      <c r="D603" s="340"/>
      <c r="E603" s="340"/>
      <c r="F603" s="340"/>
      <c r="G603" s="340"/>
      <c r="H603" s="340"/>
      <c r="I603" s="340"/>
      <c r="J603" s="340"/>
      <c r="K603" s="340"/>
      <c r="L603" s="340"/>
      <c r="M603" s="340"/>
      <c r="N603" s="340"/>
      <c r="O603" s="340"/>
      <c r="P603" s="340"/>
      <c r="Q603" s="340"/>
      <c r="R603" s="340"/>
      <c r="S603" s="340"/>
      <c r="T603" s="340"/>
      <c r="U603" s="340"/>
      <c r="V603" s="340"/>
      <c r="W603" s="340"/>
      <c r="X603" s="340"/>
      <c r="Y603" s="340"/>
      <c r="Z603" s="340"/>
    </row>
    <row r="604" ht="15.75" customHeight="1">
      <c r="A604" s="340"/>
      <c r="B604" s="340"/>
      <c r="C604" s="340"/>
      <c r="D604" s="340"/>
      <c r="E604" s="340"/>
      <c r="F604" s="340"/>
      <c r="G604" s="340"/>
      <c r="H604" s="340"/>
      <c r="I604" s="340"/>
      <c r="J604" s="340"/>
      <c r="K604" s="340"/>
      <c r="L604" s="340"/>
      <c r="M604" s="340"/>
      <c r="N604" s="340"/>
      <c r="O604" s="340"/>
      <c r="P604" s="340"/>
      <c r="Q604" s="340"/>
      <c r="R604" s="340"/>
      <c r="S604" s="340"/>
      <c r="T604" s="340"/>
      <c r="U604" s="340"/>
      <c r="V604" s="340"/>
      <c r="W604" s="340"/>
      <c r="X604" s="340"/>
      <c r="Y604" s="340"/>
      <c r="Z604" s="340"/>
    </row>
    <row r="605" ht="15.75" customHeight="1">
      <c r="A605" s="340"/>
      <c r="B605" s="340"/>
      <c r="C605" s="340"/>
      <c r="D605" s="340"/>
      <c r="E605" s="340"/>
      <c r="F605" s="340"/>
      <c r="G605" s="340"/>
      <c r="H605" s="340"/>
      <c r="I605" s="340"/>
      <c r="J605" s="340"/>
      <c r="K605" s="340"/>
      <c r="L605" s="340"/>
      <c r="M605" s="340"/>
      <c r="N605" s="340"/>
      <c r="O605" s="340"/>
      <c r="P605" s="340"/>
      <c r="Q605" s="340"/>
      <c r="R605" s="340"/>
      <c r="S605" s="340"/>
      <c r="T605" s="340"/>
      <c r="U605" s="340"/>
      <c r="V605" s="340"/>
      <c r="W605" s="340"/>
      <c r="X605" s="340"/>
      <c r="Y605" s="340"/>
      <c r="Z605" s="340"/>
    </row>
    <row r="606" ht="15.75" customHeight="1">
      <c r="A606" s="340"/>
      <c r="B606" s="340"/>
      <c r="C606" s="340"/>
      <c r="D606" s="340"/>
      <c r="E606" s="340"/>
      <c r="F606" s="340"/>
      <c r="G606" s="340"/>
      <c r="H606" s="340"/>
      <c r="I606" s="340"/>
      <c r="J606" s="340"/>
      <c r="K606" s="340"/>
      <c r="L606" s="340"/>
      <c r="M606" s="340"/>
      <c r="N606" s="340"/>
      <c r="O606" s="340"/>
      <c r="P606" s="340"/>
      <c r="Q606" s="340"/>
      <c r="R606" s="340"/>
      <c r="S606" s="340"/>
      <c r="T606" s="340"/>
      <c r="U606" s="340"/>
      <c r="V606" s="340"/>
      <c r="W606" s="340"/>
      <c r="X606" s="340"/>
      <c r="Y606" s="340"/>
      <c r="Z606" s="340"/>
    </row>
    <row r="607" ht="15.75" customHeight="1">
      <c r="A607" s="340"/>
      <c r="B607" s="340"/>
      <c r="C607" s="340"/>
      <c r="D607" s="340"/>
      <c r="E607" s="340"/>
      <c r="F607" s="340"/>
      <c r="G607" s="340"/>
      <c r="H607" s="340"/>
      <c r="I607" s="340"/>
      <c r="J607" s="340"/>
      <c r="K607" s="340"/>
      <c r="L607" s="340"/>
      <c r="M607" s="340"/>
      <c r="N607" s="340"/>
      <c r="O607" s="340"/>
      <c r="P607" s="340"/>
      <c r="Q607" s="340"/>
      <c r="R607" s="340"/>
      <c r="S607" s="340"/>
      <c r="T607" s="340"/>
      <c r="U607" s="340"/>
      <c r="V607" s="340"/>
      <c r="W607" s="340"/>
      <c r="X607" s="340"/>
      <c r="Y607" s="340"/>
      <c r="Z607" s="340"/>
    </row>
    <row r="608" ht="15.75" customHeight="1">
      <c r="A608" s="340"/>
      <c r="B608" s="340"/>
      <c r="C608" s="340"/>
      <c r="D608" s="340"/>
      <c r="E608" s="340"/>
      <c r="F608" s="340"/>
      <c r="G608" s="340"/>
      <c r="H608" s="340"/>
      <c r="I608" s="340"/>
      <c r="J608" s="340"/>
      <c r="K608" s="340"/>
      <c r="L608" s="340"/>
      <c r="M608" s="340"/>
      <c r="N608" s="340"/>
      <c r="O608" s="340"/>
      <c r="P608" s="340"/>
      <c r="Q608" s="340"/>
      <c r="R608" s="340"/>
      <c r="S608" s="340"/>
      <c r="T608" s="340"/>
      <c r="U608" s="340"/>
      <c r="V608" s="340"/>
      <c r="W608" s="340"/>
      <c r="X608" s="340"/>
      <c r="Y608" s="340"/>
      <c r="Z608" s="340"/>
    </row>
    <row r="609" ht="15.75" customHeight="1">
      <c r="A609" s="340"/>
      <c r="B609" s="340"/>
      <c r="C609" s="340"/>
      <c r="D609" s="340"/>
      <c r="E609" s="340"/>
      <c r="F609" s="340"/>
      <c r="G609" s="340"/>
      <c r="H609" s="340"/>
      <c r="I609" s="340"/>
      <c r="J609" s="340"/>
      <c r="K609" s="340"/>
      <c r="L609" s="340"/>
      <c r="M609" s="340"/>
      <c r="N609" s="340"/>
      <c r="O609" s="340"/>
      <c r="P609" s="340"/>
      <c r="Q609" s="340"/>
      <c r="R609" s="340"/>
      <c r="S609" s="340"/>
      <c r="T609" s="340"/>
      <c r="U609" s="340"/>
      <c r="V609" s="340"/>
      <c r="W609" s="340"/>
      <c r="X609" s="340"/>
      <c r="Y609" s="340"/>
      <c r="Z609" s="340"/>
    </row>
    <row r="610" ht="15.75" customHeight="1">
      <c r="A610" s="340"/>
      <c r="B610" s="340"/>
      <c r="C610" s="340"/>
      <c r="D610" s="340"/>
      <c r="E610" s="340"/>
      <c r="F610" s="340"/>
      <c r="G610" s="340"/>
      <c r="H610" s="340"/>
      <c r="I610" s="340"/>
      <c r="J610" s="340"/>
      <c r="K610" s="340"/>
      <c r="L610" s="340"/>
      <c r="M610" s="340"/>
      <c r="N610" s="340"/>
      <c r="O610" s="340"/>
      <c r="P610" s="340"/>
      <c r="Q610" s="340"/>
      <c r="R610" s="340"/>
      <c r="S610" s="340"/>
      <c r="T610" s="340"/>
      <c r="U610" s="340"/>
      <c r="V610" s="340"/>
      <c r="W610" s="340"/>
      <c r="X610" s="340"/>
      <c r="Y610" s="340"/>
      <c r="Z610" s="340"/>
    </row>
    <row r="611" ht="15.75" customHeight="1">
      <c r="A611" s="340"/>
      <c r="B611" s="340"/>
      <c r="C611" s="340"/>
      <c r="D611" s="340"/>
      <c r="E611" s="340"/>
      <c r="F611" s="340"/>
      <c r="G611" s="340"/>
      <c r="H611" s="340"/>
      <c r="I611" s="340"/>
      <c r="J611" s="340"/>
      <c r="K611" s="340"/>
      <c r="L611" s="340"/>
      <c r="M611" s="340"/>
      <c r="N611" s="340"/>
      <c r="O611" s="340"/>
      <c r="P611" s="340"/>
      <c r="Q611" s="340"/>
      <c r="R611" s="340"/>
      <c r="S611" s="340"/>
      <c r="T611" s="340"/>
      <c r="U611" s="340"/>
      <c r="V611" s="340"/>
      <c r="W611" s="340"/>
      <c r="X611" s="340"/>
      <c r="Y611" s="340"/>
      <c r="Z611" s="340"/>
    </row>
    <row r="612" ht="15.75" customHeight="1">
      <c r="A612" s="340"/>
      <c r="B612" s="340"/>
      <c r="C612" s="340"/>
      <c r="D612" s="340"/>
      <c r="E612" s="340"/>
      <c r="F612" s="340"/>
      <c r="G612" s="340"/>
      <c r="H612" s="340"/>
      <c r="I612" s="340"/>
      <c r="J612" s="340"/>
      <c r="K612" s="340"/>
      <c r="L612" s="340"/>
      <c r="M612" s="340"/>
      <c r="N612" s="340"/>
      <c r="O612" s="340"/>
      <c r="P612" s="340"/>
      <c r="Q612" s="340"/>
      <c r="R612" s="340"/>
      <c r="S612" s="340"/>
      <c r="T612" s="340"/>
      <c r="U612" s="340"/>
      <c r="V612" s="340"/>
      <c r="W612" s="340"/>
      <c r="X612" s="340"/>
      <c r="Y612" s="340"/>
      <c r="Z612" s="340"/>
    </row>
    <row r="613" ht="15.75" customHeight="1">
      <c r="A613" s="340"/>
      <c r="B613" s="340"/>
      <c r="C613" s="340"/>
      <c r="D613" s="340"/>
      <c r="E613" s="340"/>
      <c r="F613" s="340"/>
      <c r="G613" s="340"/>
      <c r="H613" s="340"/>
      <c r="I613" s="340"/>
      <c r="J613" s="340"/>
      <c r="K613" s="340"/>
      <c r="L613" s="340"/>
      <c r="M613" s="340"/>
      <c r="N613" s="340"/>
      <c r="O613" s="340"/>
      <c r="P613" s="340"/>
      <c r="Q613" s="340"/>
      <c r="R613" s="340"/>
      <c r="S613" s="340"/>
      <c r="T613" s="340"/>
      <c r="U613" s="340"/>
      <c r="V613" s="340"/>
      <c r="W613" s="340"/>
      <c r="X613" s="340"/>
      <c r="Y613" s="340"/>
      <c r="Z613" s="340"/>
    </row>
    <row r="614" ht="15.75" customHeight="1">
      <c r="A614" s="340"/>
      <c r="B614" s="340"/>
      <c r="C614" s="340"/>
      <c r="D614" s="340"/>
      <c r="E614" s="340"/>
      <c r="F614" s="340"/>
      <c r="G614" s="340"/>
      <c r="H614" s="340"/>
      <c r="I614" s="340"/>
      <c r="J614" s="340"/>
      <c r="K614" s="340"/>
      <c r="L614" s="340"/>
      <c r="M614" s="340"/>
      <c r="N614" s="340"/>
      <c r="O614" s="340"/>
      <c r="P614" s="340"/>
      <c r="Q614" s="340"/>
      <c r="R614" s="340"/>
      <c r="S614" s="340"/>
      <c r="T614" s="340"/>
      <c r="U614" s="340"/>
      <c r="V614" s="340"/>
      <c r="W614" s="340"/>
      <c r="X614" s="340"/>
      <c r="Y614" s="340"/>
      <c r="Z614" s="340"/>
    </row>
    <row r="615" ht="15.75" customHeight="1">
      <c r="A615" s="340"/>
      <c r="B615" s="340"/>
      <c r="C615" s="340"/>
      <c r="D615" s="340"/>
      <c r="E615" s="340"/>
      <c r="F615" s="340"/>
      <c r="G615" s="340"/>
      <c r="H615" s="340"/>
      <c r="I615" s="340"/>
      <c r="J615" s="340"/>
      <c r="K615" s="340"/>
      <c r="L615" s="340"/>
      <c r="M615" s="340"/>
      <c r="N615" s="340"/>
      <c r="O615" s="340"/>
      <c r="P615" s="340"/>
      <c r="Q615" s="340"/>
      <c r="R615" s="340"/>
      <c r="S615" s="340"/>
      <c r="T615" s="340"/>
      <c r="U615" s="340"/>
      <c r="V615" s="340"/>
      <c r="W615" s="340"/>
      <c r="X615" s="340"/>
      <c r="Y615" s="340"/>
      <c r="Z615" s="340"/>
    </row>
    <row r="616" ht="15.75" customHeight="1">
      <c r="A616" s="340"/>
      <c r="B616" s="340"/>
      <c r="C616" s="340"/>
      <c r="D616" s="340"/>
      <c r="E616" s="340"/>
      <c r="F616" s="340"/>
      <c r="G616" s="340"/>
      <c r="H616" s="340"/>
      <c r="I616" s="340"/>
      <c r="J616" s="340"/>
      <c r="K616" s="340"/>
      <c r="L616" s="340"/>
      <c r="M616" s="340"/>
      <c r="N616" s="340"/>
      <c r="O616" s="340"/>
      <c r="P616" s="340"/>
      <c r="Q616" s="340"/>
      <c r="R616" s="340"/>
      <c r="S616" s="340"/>
      <c r="T616" s="340"/>
      <c r="U616" s="340"/>
      <c r="V616" s="340"/>
      <c r="W616" s="340"/>
      <c r="X616" s="340"/>
      <c r="Y616" s="340"/>
      <c r="Z616" s="340"/>
    </row>
    <row r="617" ht="15.75" customHeight="1">
      <c r="A617" s="340"/>
      <c r="B617" s="340"/>
      <c r="C617" s="340"/>
      <c r="D617" s="340"/>
      <c r="E617" s="340"/>
      <c r="F617" s="340"/>
      <c r="G617" s="340"/>
      <c r="H617" s="340"/>
      <c r="I617" s="340"/>
      <c r="J617" s="340"/>
      <c r="K617" s="340"/>
      <c r="L617" s="340"/>
      <c r="M617" s="340"/>
      <c r="N617" s="340"/>
      <c r="O617" s="340"/>
      <c r="P617" s="340"/>
      <c r="Q617" s="340"/>
      <c r="R617" s="340"/>
      <c r="S617" s="340"/>
      <c r="T617" s="340"/>
      <c r="U617" s="340"/>
      <c r="V617" s="340"/>
      <c r="W617" s="340"/>
      <c r="X617" s="340"/>
      <c r="Y617" s="340"/>
      <c r="Z617" s="340"/>
    </row>
    <row r="618" ht="15.75" customHeight="1">
      <c r="A618" s="340"/>
      <c r="B618" s="340"/>
      <c r="C618" s="340"/>
      <c r="D618" s="340"/>
      <c r="E618" s="340"/>
      <c r="F618" s="340"/>
      <c r="G618" s="340"/>
      <c r="H618" s="340"/>
      <c r="I618" s="340"/>
      <c r="J618" s="340"/>
      <c r="K618" s="340"/>
      <c r="L618" s="340"/>
      <c r="M618" s="340"/>
      <c r="N618" s="340"/>
      <c r="O618" s="340"/>
      <c r="P618" s="340"/>
      <c r="Q618" s="340"/>
      <c r="R618" s="340"/>
      <c r="S618" s="340"/>
      <c r="T618" s="340"/>
      <c r="U618" s="340"/>
      <c r="V618" s="340"/>
      <c r="W618" s="340"/>
      <c r="X618" s="340"/>
      <c r="Y618" s="340"/>
      <c r="Z618" s="340"/>
    </row>
    <row r="619" ht="15.75" customHeight="1">
      <c r="A619" s="340"/>
      <c r="B619" s="340"/>
      <c r="C619" s="340"/>
      <c r="D619" s="340"/>
      <c r="E619" s="340"/>
      <c r="F619" s="340"/>
      <c r="G619" s="340"/>
      <c r="H619" s="340"/>
      <c r="I619" s="340"/>
      <c r="J619" s="340"/>
      <c r="K619" s="340"/>
      <c r="L619" s="340"/>
      <c r="M619" s="340"/>
      <c r="N619" s="340"/>
      <c r="O619" s="340"/>
      <c r="P619" s="340"/>
      <c r="Q619" s="340"/>
      <c r="R619" s="340"/>
      <c r="S619" s="340"/>
      <c r="T619" s="340"/>
      <c r="U619" s="340"/>
      <c r="V619" s="340"/>
      <c r="W619" s="340"/>
      <c r="X619" s="340"/>
      <c r="Y619" s="340"/>
      <c r="Z619" s="340"/>
    </row>
    <row r="620" ht="15.75" customHeight="1">
      <c r="A620" s="340"/>
      <c r="B620" s="340"/>
      <c r="C620" s="340"/>
      <c r="D620" s="340"/>
      <c r="E620" s="340"/>
      <c r="F620" s="340"/>
      <c r="G620" s="340"/>
      <c r="H620" s="340"/>
      <c r="I620" s="340"/>
      <c r="J620" s="340"/>
      <c r="K620" s="340"/>
      <c r="L620" s="340"/>
      <c r="M620" s="340"/>
      <c r="N620" s="340"/>
      <c r="O620" s="340"/>
      <c r="P620" s="340"/>
      <c r="Q620" s="340"/>
      <c r="R620" s="340"/>
      <c r="S620" s="340"/>
      <c r="T620" s="340"/>
      <c r="U620" s="340"/>
      <c r="V620" s="340"/>
      <c r="W620" s="340"/>
      <c r="X620" s="340"/>
      <c r="Y620" s="340"/>
      <c r="Z620" s="340"/>
    </row>
    <row r="621" ht="15.75" customHeight="1">
      <c r="A621" s="340"/>
      <c r="B621" s="340"/>
      <c r="C621" s="340"/>
      <c r="D621" s="340"/>
      <c r="E621" s="340"/>
      <c r="F621" s="340"/>
      <c r="G621" s="340"/>
      <c r="H621" s="340"/>
      <c r="I621" s="340"/>
      <c r="J621" s="340"/>
      <c r="K621" s="340"/>
      <c r="L621" s="340"/>
      <c r="M621" s="340"/>
      <c r="N621" s="340"/>
      <c r="O621" s="340"/>
      <c r="P621" s="340"/>
      <c r="Q621" s="340"/>
      <c r="R621" s="340"/>
      <c r="S621" s="340"/>
      <c r="T621" s="340"/>
      <c r="U621" s="340"/>
      <c r="V621" s="340"/>
      <c r="W621" s="340"/>
      <c r="X621" s="340"/>
      <c r="Y621" s="340"/>
      <c r="Z621" s="340"/>
    </row>
    <row r="622" ht="15.75" customHeight="1">
      <c r="A622" s="340"/>
      <c r="B622" s="340"/>
      <c r="C622" s="340"/>
      <c r="D622" s="340"/>
      <c r="E622" s="340"/>
      <c r="F622" s="340"/>
      <c r="G622" s="340"/>
      <c r="H622" s="340"/>
      <c r="I622" s="340"/>
      <c r="J622" s="340"/>
      <c r="K622" s="340"/>
      <c r="L622" s="340"/>
      <c r="M622" s="340"/>
      <c r="N622" s="340"/>
      <c r="O622" s="340"/>
      <c r="P622" s="340"/>
      <c r="Q622" s="340"/>
      <c r="R622" s="340"/>
      <c r="S622" s="340"/>
      <c r="T622" s="340"/>
      <c r="U622" s="340"/>
      <c r="V622" s="340"/>
      <c r="W622" s="340"/>
      <c r="X622" s="340"/>
      <c r="Y622" s="340"/>
      <c r="Z622" s="340"/>
    </row>
    <row r="623" ht="15.75" customHeight="1">
      <c r="A623" s="340"/>
      <c r="B623" s="340"/>
      <c r="C623" s="340"/>
      <c r="D623" s="340"/>
      <c r="E623" s="340"/>
      <c r="F623" s="340"/>
      <c r="G623" s="340"/>
      <c r="H623" s="340"/>
      <c r="I623" s="340"/>
      <c r="J623" s="340"/>
      <c r="K623" s="340"/>
      <c r="L623" s="340"/>
      <c r="M623" s="340"/>
      <c r="N623" s="340"/>
      <c r="O623" s="340"/>
      <c r="P623" s="340"/>
      <c r="Q623" s="340"/>
      <c r="R623" s="340"/>
      <c r="S623" s="340"/>
      <c r="T623" s="340"/>
      <c r="U623" s="340"/>
      <c r="V623" s="340"/>
      <c r="W623" s="340"/>
      <c r="X623" s="340"/>
      <c r="Y623" s="340"/>
      <c r="Z623" s="340"/>
    </row>
    <row r="624" ht="15.75" customHeight="1">
      <c r="A624" s="340"/>
      <c r="B624" s="340"/>
      <c r="C624" s="340"/>
      <c r="D624" s="340"/>
      <c r="E624" s="340"/>
      <c r="F624" s="340"/>
      <c r="G624" s="340"/>
      <c r="H624" s="340"/>
      <c r="I624" s="340"/>
      <c r="J624" s="340"/>
      <c r="K624" s="340"/>
      <c r="L624" s="340"/>
      <c r="M624" s="340"/>
      <c r="N624" s="340"/>
      <c r="O624" s="340"/>
      <c r="P624" s="340"/>
      <c r="Q624" s="340"/>
      <c r="R624" s="340"/>
      <c r="S624" s="340"/>
      <c r="T624" s="340"/>
      <c r="U624" s="340"/>
      <c r="V624" s="340"/>
      <c r="W624" s="340"/>
      <c r="X624" s="340"/>
      <c r="Y624" s="340"/>
      <c r="Z624" s="340"/>
    </row>
    <row r="625" ht="15.75" customHeight="1">
      <c r="A625" s="340"/>
      <c r="B625" s="340"/>
      <c r="C625" s="340"/>
      <c r="D625" s="340"/>
      <c r="E625" s="340"/>
      <c r="F625" s="340"/>
      <c r="G625" s="340"/>
      <c r="H625" s="340"/>
      <c r="I625" s="340"/>
      <c r="J625" s="340"/>
      <c r="K625" s="340"/>
      <c r="L625" s="340"/>
      <c r="M625" s="340"/>
      <c r="N625" s="340"/>
      <c r="O625" s="340"/>
      <c r="P625" s="340"/>
      <c r="Q625" s="340"/>
      <c r="R625" s="340"/>
      <c r="S625" s="340"/>
      <c r="T625" s="340"/>
      <c r="U625" s="340"/>
      <c r="V625" s="340"/>
      <c r="W625" s="340"/>
      <c r="X625" s="340"/>
      <c r="Y625" s="340"/>
      <c r="Z625" s="340"/>
    </row>
    <row r="626" ht="15.75" customHeight="1">
      <c r="A626" s="340"/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N626" s="340"/>
      <c r="O626" s="340"/>
      <c r="P626" s="340"/>
      <c r="Q626" s="340"/>
      <c r="R626" s="340"/>
      <c r="S626" s="340"/>
      <c r="T626" s="340"/>
      <c r="U626" s="340"/>
      <c r="V626" s="340"/>
      <c r="W626" s="340"/>
      <c r="X626" s="340"/>
      <c r="Y626" s="340"/>
      <c r="Z626" s="340"/>
    </row>
    <row r="627" ht="15.75" customHeight="1">
      <c r="A627" s="340"/>
      <c r="B627" s="340"/>
      <c r="C627" s="340"/>
      <c r="D627" s="340"/>
      <c r="E627" s="340"/>
      <c r="F627" s="340"/>
      <c r="G627" s="340"/>
      <c r="H627" s="340"/>
      <c r="I627" s="340"/>
      <c r="J627" s="340"/>
      <c r="K627" s="340"/>
      <c r="L627" s="340"/>
      <c r="M627" s="340"/>
      <c r="N627" s="340"/>
      <c r="O627" s="340"/>
      <c r="P627" s="340"/>
      <c r="Q627" s="340"/>
      <c r="R627" s="340"/>
      <c r="S627" s="340"/>
      <c r="T627" s="340"/>
      <c r="U627" s="340"/>
      <c r="V627" s="340"/>
      <c r="W627" s="340"/>
      <c r="X627" s="340"/>
      <c r="Y627" s="340"/>
      <c r="Z627" s="340"/>
    </row>
    <row r="628" ht="15.75" customHeight="1">
      <c r="A628" s="340"/>
      <c r="B628" s="340"/>
      <c r="C628" s="340"/>
      <c r="D628" s="340"/>
      <c r="E628" s="340"/>
      <c r="F628" s="340"/>
      <c r="G628" s="340"/>
      <c r="H628" s="340"/>
      <c r="I628" s="340"/>
      <c r="J628" s="340"/>
      <c r="K628" s="340"/>
      <c r="L628" s="340"/>
      <c r="M628" s="340"/>
      <c r="N628" s="340"/>
      <c r="O628" s="340"/>
      <c r="P628" s="340"/>
      <c r="Q628" s="340"/>
      <c r="R628" s="340"/>
      <c r="S628" s="340"/>
      <c r="T628" s="340"/>
      <c r="U628" s="340"/>
      <c r="V628" s="340"/>
      <c r="W628" s="340"/>
      <c r="X628" s="340"/>
      <c r="Y628" s="340"/>
      <c r="Z628" s="340"/>
    </row>
    <row r="629" ht="15.75" customHeight="1">
      <c r="A629" s="340"/>
      <c r="B629" s="340"/>
      <c r="C629" s="340"/>
      <c r="D629" s="340"/>
      <c r="E629" s="340"/>
      <c r="F629" s="340"/>
      <c r="G629" s="340"/>
      <c r="H629" s="340"/>
      <c r="I629" s="340"/>
      <c r="J629" s="340"/>
      <c r="K629" s="340"/>
      <c r="L629" s="340"/>
      <c r="M629" s="340"/>
      <c r="N629" s="340"/>
      <c r="O629" s="340"/>
      <c r="P629" s="340"/>
      <c r="Q629" s="340"/>
      <c r="R629" s="340"/>
      <c r="S629" s="340"/>
      <c r="T629" s="340"/>
      <c r="U629" s="340"/>
      <c r="V629" s="340"/>
      <c r="W629" s="340"/>
      <c r="X629" s="340"/>
      <c r="Y629" s="340"/>
      <c r="Z629" s="340"/>
    </row>
    <row r="630" ht="15.75" customHeight="1">
      <c r="A630" s="340"/>
      <c r="B630" s="340"/>
      <c r="C630" s="340"/>
      <c r="D630" s="340"/>
      <c r="E630" s="340"/>
      <c r="F630" s="340"/>
      <c r="G630" s="340"/>
      <c r="H630" s="340"/>
      <c r="I630" s="340"/>
      <c r="J630" s="340"/>
      <c r="K630" s="340"/>
      <c r="L630" s="340"/>
      <c r="M630" s="340"/>
      <c r="N630" s="340"/>
      <c r="O630" s="340"/>
      <c r="P630" s="340"/>
      <c r="Q630" s="340"/>
      <c r="R630" s="340"/>
      <c r="S630" s="340"/>
      <c r="T630" s="340"/>
      <c r="U630" s="340"/>
      <c r="V630" s="340"/>
      <c r="W630" s="340"/>
      <c r="X630" s="340"/>
      <c r="Y630" s="340"/>
      <c r="Z630" s="340"/>
    </row>
    <row r="631" ht="15.75" customHeight="1">
      <c r="A631" s="340"/>
      <c r="B631" s="340"/>
      <c r="C631" s="340"/>
      <c r="D631" s="340"/>
      <c r="E631" s="340"/>
      <c r="F631" s="340"/>
      <c r="G631" s="340"/>
      <c r="H631" s="340"/>
      <c r="I631" s="340"/>
      <c r="J631" s="340"/>
      <c r="K631" s="340"/>
      <c r="L631" s="340"/>
      <c r="M631" s="340"/>
      <c r="N631" s="340"/>
      <c r="O631" s="340"/>
      <c r="P631" s="340"/>
      <c r="Q631" s="340"/>
      <c r="R631" s="340"/>
      <c r="S631" s="340"/>
      <c r="T631" s="340"/>
      <c r="U631" s="340"/>
      <c r="V631" s="340"/>
      <c r="W631" s="340"/>
      <c r="X631" s="340"/>
      <c r="Y631" s="340"/>
      <c r="Z631" s="340"/>
    </row>
    <row r="632" ht="15.75" customHeight="1">
      <c r="A632" s="340"/>
      <c r="B632" s="340"/>
      <c r="C632" s="340"/>
      <c r="D632" s="340"/>
      <c r="E632" s="340"/>
      <c r="F632" s="340"/>
      <c r="G632" s="340"/>
      <c r="H632" s="340"/>
      <c r="I632" s="340"/>
      <c r="J632" s="340"/>
      <c r="K632" s="340"/>
      <c r="L632" s="340"/>
      <c r="M632" s="340"/>
      <c r="N632" s="340"/>
      <c r="O632" s="340"/>
      <c r="P632" s="340"/>
      <c r="Q632" s="340"/>
      <c r="R632" s="340"/>
      <c r="S632" s="340"/>
      <c r="T632" s="340"/>
      <c r="U632" s="340"/>
      <c r="V632" s="340"/>
      <c r="W632" s="340"/>
      <c r="X632" s="340"/>
      <c r="Y632" s="340"/>
      <c r="Z632" s="340"/>
    </row>
    <row r="633" ht="15.75" customHeight="1">
      <c r="A633" s="340"/>
      <c r="B633" s="340"/>
      <c r="C633" s="340"/>
      <c r="D633" s="340"/>
      <c r="E633" s="340"/>
      <c r="F633" s="340"/>
      <c r="G633" s="340"/>
      <c r="H633" s="340"/>
      <c r="I633" s="340"/>
      <c r="J633" s="340"/>
      <c r="K633" s="340"/>
      <c r="L633" s="340"/>
      <c r="M633" s="340"/>
      <c r="N633" s="340"/>
      <c r="O633" s="340"/>
      <c r="P633" s="340"/>
      <c r="Q633" s="340"/>
      <c r="R633" s="340"/>
      <c r="S633" s="340"/>
      <c r="T633" s="340"/>
      <c r="U633" s="340"/>
      <c r="V633" s="340"/>
      <c r="W633" s="340"/>
      <c r="X633" s="340"/>
      <c r="Y633" s="340"/>
      <c r="Z633" s="340"/>
    </row>
    <row r="634" ht="15.75" customHeight="1">
      <c r="A634" s="340"/>
      <c r="B634" s="340"/>
      <c r="C634" s="340"/>
      <c r="D634" s="340"/>
      <c r="E634" s="340"/>
      <c r="F634" s="340"/>
      <c r="G634" s="340"/>
      <c r="H634" s="340"/>
      <c r="I634" s="340"/>
      <c r="J634" s="340"/>
      <c r="K634" s="340"/>
      <c r="L634" s="340"/>
      <c r="M634" s="340"/>
      <c r="N634" s="340"/>
      <c r="O634" s="340"/>
      <c r="P634" s="340"/>
      <c r="Q634" s="340"/>
      <c r="R634" s="340"/>
      <c r="S634" s="340"/>
      <c r="T634" s="340"/>
      <c r="U634" s="340"/>
      <c r="V634" s="340"/>
      <c r="W634" s="340"/>
      <c r="X634" s="340"/>
      <c r="Y634" s="340"/>
      <c r="Z634" s="340"/>
    </row>
    <row r="635" ht="15.75" customHeight="1">
      <c r="A635" s="340"/>
      <c r="B635" s="340"/>
      <c r="C635" s="340"/>
      <c r="D635" s="340"/>
      <c r="E635" s="340"/>
      <c r="F635" s="340"/>
      <c r="G635" s="340"/>
      <c r="H635" s="340"/>
      <c r="I635" s="340"/>
      <c r="J635" s="340"/>
      <c r="K635" s="340"/>
      <c r="L635" s="340"/>
      <c r="M635" s="340"/>
      <c r="N635" s="340"/>
      <c r="O635" s="340"/>
      <c r="P635" s="340"/>
      <c r="Q635" s="340"/>
      <c r="R635" s="340"/>
      <c r="S635" s="340"/>
      <c r="T635" s="340"/>
      <c r="U635" s="340"/>
      <c r="V635" s="340"/>
      <c r="W635" s="340"/>
      <c r="X635" s="340"/>
      <c r="Y635" s="340"/>
      <c r="Z635" s="340"/>
    </row>
    <row r="636" ht="15.75" customHeight="1">
      <c r="A636" s="340"/>
      <c r="B636" s="340"/>
      <c r="C636" s="340"/>
      <c r="D636" s="340"/>
      <c r="E636" s="340"/>
      <c r="F636" s="340"/>
      <c r="G636" s="340"/>
      <c r="H636" s="340"/>
      <c r="I636" s="340"/>
      <c r="J636" s="340"/>
      <c r="K636" s="340"/>
      <c r="L636" s="340"/>
      <c r="M636" s="340"/>
      <c r="N636" s="340"/>
      <c r="O636" s="340"/>
      <c r="P636" s="340"/>
      <c r="Q636" s="340"/>
      <c r="R636" s="340"/>
      <c r="S636" s="340"/>
      <c r="T636" s="340"/>
      <c r="U636" s="340"/>
      <c r="V636" s="340"/>
      <c r="W636" s="340"/>
      <c r="X636" s="340"/>
      <c r="Y636" s="340"/>
      <c r="Z636" s="340"/>
    </row>
    <row r="637" ht="15.75" customHeight="1">
      <c r="A637" s="340"/>
      <c r="B637" s="340"/>
      <c r="C637" s="340"/>
      <c r="D637" s="340"/>
      <c r="E637" s="340"/>
      <c r="F637" s="340"/>
      <c r="G637" s="340"/>
      <c r="H637" s="340"/>
      <c r="I637" s="340"/>
      <c r="J637" s="340"/>
      <c r="K637" s="340"/>
      <c r="L637" s="340"/>
      <c r="M637" s="340"/>
      <c r="N637" s="340"/>
      <c r="O637" s="340"/>
      <c r="P637" s="340"/>
      <c r="Q637" s="340"/>
      <c r="R637" s="340"/>
      <c r="S637" s="340"/>
      <c r="T637" s="340"/>
      <c r="U637" s="340"/>
      <c r="V637" s="340"/>
      <c r="W637" s="340"/>
      <c r="X637" s="340"/>
      <c r="Y637" s="340"/>
      <c r="Z637" s="340"/>
    </row>
    <row r="638" ht="15.75" customHeight="1">
      <c r="A638" s="340"/>
      <c r="B638" s="340"/>
      <c r="C638" s="340"/>
      <c r="D638" s="340"/>
      <c r="E638" s="340"/>
      <c r="F638" s="340"/>
      <c r="G638" s="340"/>
      <c r="H638" s="340"/>
      <c r="I638" s="340"/>
      <c r="J638" s="340"/>
      <c r="K638" s="340"/>
      <c r="L638" s="340"/>
      <c r="M638" s="340"/>
      <c r="N638" s="340"/>
      <c r="O638" s="340"/>
      <c r="P638" s="340"/>
      <c r="Q638" s="340"/>
      <c r="R638" s="340"/>
      <c r="S638" s="340"/>
      <c r="T638" s="340"/>
      <c r="U638" s="340"/>
      <c r="V638" s="340"/>
      <c r="W638" s="340"/>
      <c r="X638" s="340"/>
      <c r="Y638" s="340"/>
      <c r="Z638" s="340"/>
    </row>
    <row r="639" ht="15.75" customHeight="1">
      <c r="A639" s="340"/>
      <c r="B639" s="340"/>
      <c r="C639" s="340"/>
      <c r="D639" s="340"/>
      <c r="E639" s="340"/>
      <c r="F639" s="340"/>
      <c r="G639" s="340"/>
      <c r="H639" s="340"/>
      <c r="I639" s="340"/>
      <c r="J639" s="340"/>
      <c r="K639" s="340"/>
      <c r="L639" s="340"/>
      <c r="M639" s="340"/>
      <c r="N639" s="340"/>
      <c r="O639" s="340"/>
      <c r="P639" s="340"/>
      <c r="Q639" s="340"/>
      <c r="R639" s="340"/>
      <c r="S639" s="340"/>
      <c r="T639" s="340"/>
      <c r="U639" s="340"/>
      <c r="V639" s="340"/>
      <c r="W639" s="340"/>
      <c r="X639" s="340"/>
      <c r="Y639" s="340"/>
      <c r="Z639" s="340"/>
    </row>
    <row r="640" ht="15.75" customHeight="1">
      <c r="A640" s="340"/>
      <c r="B640" s="340"/>
      <c r="C640" s="340"/>
      <c r="D640" s="340"/>
      <c r="E640" s="340"/>
      <c r="F640" s="340"/>
      <c r="G640" s="340"/>
      <c r="H640" s="340"/>
      <c r="I640" s="340"/>
      <c r="J640" s="340"/>
      <c r="K640" s="340"/>
      <c r="L640" s="340"/>
      <c r="M640" s="340"/>
      <c r="N640" s="340"/>
      <c r="O640" s="340"/>
      <c r="P640" s="340"/>
      <c r="Q640" s="340"/>
      <c r="R640" s="340"/>
      <c r="S640" s="340"/>
      <c r="T640" s="340"/>
      <c r="U640" s="340"/>
      <c r="V640" s="340"/>
      <c r="W640" s="340"/>
      <c r="X640" s="340"/>
      <c r="Y640" s="340"/>
      <c r="Z640" s="340"/>
    </row>
    <row r="641" ht="15.75" customHeight="1">
      <c r="A641" s="340"/>
      <c r="B641" s="340"/>
      <c r="C641" s="340"/>
      <c r="D641" s="340"/>
      <c r="E641" s="340"/>
      <c r="F641" s="340"/>
      <c r="G641" s="340"/>
      <c r="H641" s="340"/>
      <c r="I641" s="340"/>
      <c r="J641" s="340"/>
      <c r="K641" s="340"/>
      <c r="L641" s="340"/>
      <c r="M641" s="340"/>
      <c r="N641" s="340"/>
      <c r="O641" s="340"/>
      <c r="P641" s="340"/>
      <c r="Q641" s="340"/>
      <c r="R641" s="340"/>
      <c r="S641" s="340"/>
      <c r="T641" s="340"/>
      <c r="U641" s="340"/>
      <c r="V641" s="340"/>
      <c r="W641" s="340"/>
      <c r="X641" s="340"/>
      <c r="Y641" s="340"/>
      <c r="Z641" s="340"/>
    </row>
    <row r="642" ht="15.75" customHeight="1">
      <c r="A642" s="340"/>
      <c r="B642" s="340"/>
      <c r="C642" s="340"/>
      <c r="D642" s="340"/>
      <c r="E642" s="340"/>
      <c r="F642" s="340"/>
      <c r="G642" s="340"/>
      <c r="H642" s="340"/>
      <c r="I642" s="340"/>
      <c r="J642" s="340"/>
      <c r="K642" s="340"/>
      <c r="L642" s="340"/>
      <c r="M642" s="340"/>
      <c r="N642" s="340"/>
      <c r="O642" s="340"/>
      <c r="P642" s="340"/>
      <c r="Q642" s="340"/>
      <c r="R642" s="340"/>
      <c r="S642" s="340"/>
      <c r="T642" s="340"/>
      <c r="U642" s="340"/>
      <c r="V642" s="340"/>
      <c r="W642" s="340"/>
      <c r="X642" s="340"/>
      <c r="Y642" s="340"/>
      <c r="Z642" s="340"/>
    </row>
    <row r="643" ht="15.75" customHeight="1">
      <c r="A643" s="340"/>
      <c r="B643" s="340"/>
      <c r="C643" s="340"/>
      <c r="D643" s="340"/>
      <c r="E643" s="340"/>
      <c r="F643" s="340"/>
      <c r="G643" s="340"/>
      <c r="H643" s="340"/>
      <c r="I643" s="340"/>
      <c r="J643" s="340"/>
      <c r="K643" s="340"/>
      <c r="L643" s="340"/>
      <c r="M643" s="340"/>
      <c r="N643" s="340"/>
      <c r="O643" s="340"/>
      <c r="P643" s="340"/>
      <c r="Q643" s="340"/>
      <c r="R643" s="340"/>
      <c r="S643" s="340"/>
      <c r="T643" s="340"/>
      <c r="U643" s="340"/>
      <c r="V643" s="340"/>
      <c r="W643" s="340"/>
      <c r="X643" s="340"/>
      <c r="Y643" s="340"/>
      <c r="Z643" s="340"/>
    </row>
    <row r="644" ht="15.75" customHeight="1">
      <c r="A644" s="340"/>
      <c r="B644" s="340"/>
      <c r="C644" s="340"/>
      <c r="D644" s="340"/>
      <c r="E644" s="340"/>
      <c r="F644" s="340"/>
      <c r="G644" s="340"/>
      <c r="H644" s="340"/>
      <c r="I644" s="340"/>
      <c r="J644" s="340"/>
      <c r="K644" s="340"/>
      <c r="L644" s="340"/>
      <c r="M644" s="340"/>
      <c r="N644" s="340"/>
      <c r="O644" s="340"/>
      <c r="P644" s="340"/>
      <c r="Q644" s="340"/>
      <c r="R644" s="340"/>
      <c r="S644" s="340"/>
      <c r="T644" s="340"/>
      <c r="U644" s="340"/>
      <c r="V644" s="340"/>
      <c r="W644" s="340"/>
      <c r="X644" s="340"/>
      <c r="Y644" s="340"/>
      <c r="Z644" s="340"/>
    </row>
    <row r="645" ht="15.75" customHeight="1">
      <c r="A645" s="340"/>
      <c r="B645" s="340"/>
      <c r="C645" s="340"/>
      <c r="D645" s="340"/>
      <c r="E645" s="340"/>
      <c r="F645" s="340"/>
      <c r="G645" s="340"/>
      <c r="H645" s="340"/>
      <c r="I645" s="340"/>
      <c r="J645" s="340"/>
      <c r="K645" s="340"/>
      <c r="L645" s="340"/>
      <c r="M645" s="340"/>
      <c r="N645" s="340"/>
      <c r="O645" s="340"/>
      <c r="P645" s="340"/>
      <c r="Q645" s="340"/>
      <c r="R645" s="340"/>
      <c r="S645" s="340"/>
      <c r="T645" s="340"/>
      <c r="U645" s="340"/>
      <c r="V645" s="340"/>
      <c r="W645" s="340"/>
      <c r="X645" s="340"/>
      <c r="Y645" s="340"/>
      <c r="Z645" s="340"/>
    </row>
    <row r="646" ht="15.75" customHeight="1">
      <c r="A646" s="340"/>
      <c r="B646" s="340"/>
      <c r="C646" s="340"/>
      <c r="D646" s="340"/>
      <c r="E646" s="340"/>
      <c r="F646" s="340"/>
      <c r="G646" s="340"/>
      <c r="H646" s="340"/>
      <c r="I646" s="340"/>
      <c r="J646" s="340"/>
      <c r="K646" s="340"/>
      <c r="L646" s="340"/>
      <c r="M646" s="340"/>
      <c r="N646" s="340"/>
      <c r="O646" s="340"/>
      <c r="P646" s="340"/>
      <c r="Q646" s="340"/>
      <c r="R646" s="340"/>
      <c r="S646" s="340"/>
      <c r="T646" s="340"/>
      <c r="U646" s="340"/>
      <c r="V646" s="340"/>
      <c r="W646" s="340"/>
      <c r="X646" s="340"/>
      <c r="Y646" s="340"/>
      <c r="Z646" s="340"/>
    </row>
    <row r="647" ht="15.75" customHeight="1">
      <c r="A647" s="340"/>
      <c r="B647" s="340"/>
      <c r="C647" s="340"/>
      <c r="D647" s="340"/>
      <c r="E647" s="340"/>
      <c r="F647" s="340"/>
      <c r="G647" s="340"/>
      <c r="H647" s="340"/>
      <c r="I647" s="340"/>
      <c r="J647" s="340"/>
      <c r="K647" s="340"/>
      <c r="L647" s="340"/>
      <c r="M647" s="340"/>
      <c r="N647" s="340"/>
      <c r="O647" s="340"/>
      <c r="P647" s="340"/>
      <c r="Q647" s="340"/>
      <c r="R647" s="340"/>
      <c r="S647" s="340"/>
      <c r="T647" s="340"/>
      <c r="U647" s="340"/>
      <c r="V647" s="340"/>
      <c r="W647" s="340"/>
      <c r="X647" s="340"/>
      <c r="Y647" s="340"/>
      <c r="Z647" s="340"/>
    </row>
    <row r="648" ht="15.75" customHeight="1">
      <c r="A648" s="340"/>
      <c r="B648" s="340"/>
      <c r="C648" s="340"/>
      <c r="D648" s="340"/>
      <c r="E648" s="340"/>
      <c r="F648" s="340"/>
      <c r="G648" s="340"/>
      <c r="H648" s="340"/>
      <c r="I648" s="340"/>
      <c r="J648" s="340"/>
      <c r="K648" s="340"/>
      <c r="L648" s="340"/>
      <c r="M648" s="340"/>
      <c r="N648" s="340"/>
      <c r="O648" s="340"/>
      <c r="P648" s="340"/>
      <c r="Q648" s="340"/>
      <c r="R648" s="340"/>
      <c r="S648" s="340"/>
      <c r="T648" s="340"/>
      <c r="U648" s="340"/>
      <c r="V648" s="340"/>
      <c r="W648" s="340"/>
      <c r="X648" s="340"/>
      <c r="Y648" s="340"/>
      <c r="Z648" s="340"/>
    </row>
    <row r="649" ht="15.75" customHeight="1">
      <c r="A649" s="340"/>
      <c r="B649" s="340"/>
      <c r="C649" s="340"/>
      <c r="D649" s="340"/>
      <c r="E649" s="340"/>
      <c r="F649" s="340"/>
      <c r="G649" s="340"/>
      <c r="H649" s="340"/>
      <c r="I649" s="340"/>
      <c r="J649" s="340"/>
      <c r="K649" s="340"/>
      <c r="L649" s="340"/>
      <c r="M649" s="340"/>
      <c r="N649" s="340"/>
      <c r="O649" s="340"/>
      <c r="P649" s="340"/>
      <c r="Q649" s="340"/>
      <c r="R649" s="340"/>
      <c r="S649" s="340"/>
      <c r="T649" s="340"/>
      <c r="U649" s="340"/>
      <c r="V649" s="340"/>
      <c r="W649" s="340"/>
      <c r="X649" s="340"/>
      <c r="Y649" s="340"/>
      <c r="Z649" s="340"/>
    </row>
    <row r="650" ht="15.75" customHeight="1">
      <c r="A650" s="340"/>
      <c r="B650" s="340"/>
      <c r="C650" s="340"/>
      <c r="D650" s="340"/>
      <c r="E650" s="340"/>
      <c r="F650" s="340"/>
      <c r="G650" s="340"/>
      <c r="H650" s="340"/>
      <c r="I650" s="340"/>
      <c r="J650" s="340"/>
      <c r="K650" s="340"/>
      <c r="L650" s="340"/>
      <c r="M650" s="340"/>
      <c r="N650" s="340"/>
      <c r="O650" s="340"/>
      <c r="P650" s="340"/>
      <c r="Q650" s="340"/>
      <c r="R650" s="340"/>
      <c r="S650" s="340"/>
      <c r="T650" s="340"/>
      <c r="U650" s="340"/>
      <c r="V650" s="340"/>
      <c r="W650" s="340"/>
      <c r="X650" s="340"/>
      <c r="Y650" s="340"/>
      <c r="Z650" s="340"/>
    </row>
    <row r="651" ht="15.75" customHeight="1">
      <c r="A651" s="340"/>
      <c r="B651" s="340"/>
      <c r="C651" s="340"/>
      <c r="D651" s="340"/>
      <c r="E651" s="340"/>
      <c r="F651" s="340"/>
      <c r="G651" s="340"/>
      <c r="H651" s="340"/>
      <c r="I651" s="340"/>
      <c r="J651" s="340"/>
      <c r="K651" s="340"/>
      <c r="L651" s="340"/>
      <c r="M651" s="340"/>
      <c r="N651" s="340"/>
      <c r="O651" s="340"/>
      <c r="P651" s="340"/>
      <c r="Q651" s="340"/>
      <c r="R651" s="340"/>
      <c r="S651" s="340"/>
      <c r="T651" s="340"/>
      <c r="U651" s="340"/>
      <c r="V651" s="340"/>
      <c r="W651" s="340"/>
      <c r="X651" s="340"/>
      <c r="Y651" s="340"/>
      <c r="Z651" s="340"/>
    </row>
    <row r="652" ht="15.75" customHeight="1">
      <c r="A652" s="340"/>
      <c r="B652" s="340"/>
      <c r="C652" s="340"/>
      <c r="D652" s="340"/>
      <c r="E652" s="340"/>
      <c r="F652" s="340"/>
      <c r="G652" s="340"/>
      <c r="H652" s="340"/>
      <c r="I652" s="340"/>
      <c r="J652" s="340"/>
      <c r="K652" s="340"/>
      <c r="L652" s="340"/>
      <c r="M652" s="340"/>
      <c r="N652" s="340"/>
      <c r="O652" s="340"/>
      <c r="P652" s="340"/>
      <c r="Q652" s="340"/>
      <c r="R652" s="340"/>
      <c r="S652" s="340"/>
      <c r="T652" s="340"/>
      <c r="U652" s="340"/>
      <c r="V652" s="340"/>
      <c r="W652" s="340"/>
      <c r="X652" s="340"/>
      <c r="Y652" s="340"/>
      <c r="Z652" s="340"/>
    </row>
    <row r="653" ht="15.75" customHeight="1">
      <c r="A653" s="340"/>
      <c r="B653" s="340"/>
      <c r="C653" s="340"/>
      <c r="D653" s="340"/>
      <c r="E653" s="340"/>
      <c r="F653" s="340"/>
      <c r="G653" s="340"/>
      <c r="H653" s="340"/>
      <c r="I653" s="340"/>
      <c r="J653" s="340"/>
      <c r="K653" s="340"/>
      <c r="L653" s="340"/>
      <c r="M653" s="340"/>
      <c r="N653" s="340"/>
      <c r="O653" s="340"/>
      <c r="P653" s="340"/>
      <c r="Q653" s="340"/>
      <c r="R653" s="340"/>
      <c r="S653" s="340"/>
      <c r="T653" s="340"/>
      <c r="U653" s="340"/>
      <c r="V653" s="340"/>
      <c r="W653" s="340"/>
      <c r="X653" s="340"/>
      <c r="Y653" s="340"/>
      <c r="Z653" s="340"/>
    </row>
    <row r="654" ht="15.75" customHeight="1">
      <c r="A654" s="340"/>
      <c r="B654" s="340"/>
      <c r="C654" s="340"/>
      <c r="D654" s="340"/>
      <c r="E654" s="340"/>
      <c r="F654" s="340"/>
      <c r="G654" s="340"/>
      <c r="H654" s="340"/>
      <c r="I654" s="340"/>
      <c r="J654" s="340"/>
      <c r="K654" s="340"/>
      <c r="L654" s="340"/>
      <c r="M654" s="340"/>
      <c r="N654" s="340"/>
      <c r="O654" s="340"/>
      <c r="P654" s="340"/>
      <c r="Q654" s="340"/>
      <c r="R654" s="340"/>
      <c r="S654" s="340"/>
      <c r="T654" s="340"/>
      <c r="U654" s="340"/>
      <c r="V654" s="340"/>
      <c r="W654" s="340"/>
      <c r="X654" s="340"/>
      <c r="Y654" s="340"/>
      <c r="Z654" s="340"/>
    </row>
    <row r="655" ht="15.75" customHeight="1">
      <c r="A655" s="340"/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40"/>
      <c r="M655" s="340"/>
      <c r="N655" s="340"/>
      <c r="O655" s="340"/>
      <c r="P655" s="340"/>
      <c r="Q655" s="340"/>
      <c r="R655" s="340"/>
      <c r="S655" s="340"/>
      <c r="T655" s="340"/>
      <c r="U655" s="340"/>
      <c r="V655" s="340"/>
      <c r="W655" s="340"/>
      <c r="X655" s="340"/>
      <c r="Y655" s="340"/>
      <c r="Z655" s="340"/>
    </row>
    <row r="656" ht="15.75" customHeight="1">
      <c r="A656" s="340"/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40"/>
      <c r="M656" s="340"/>
      <c r="N656" s="340"/>
      <c r="O656" s="340"/>
      <c r="P656" s="340"/>
      <c r="Q656" s="340"/>
      <c r="R656" s="340"/>
      <c r="S656" s="340"/>
      <c r="T656" s="340"/>
      <c r="U656" s="340"/>
      <c r="V656" s="340"/>
      <c r="W656" s="340"/>
      <c r="X656" s="340"/>
      <c r="Y656" s="340"/>
      <c r="Z656" s="340"/>
    </row>
    <row r="657" ht="15.75" customHeight="1">
      <c r="A657" s="340"/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40"/>
      <c r="M657" s="340"/>
      <c r="N657" s="340"/>
      <c r="O657" s="340"/>
      <c r="P657" s="340"/>
      <c r="Q657" s="340"/>
      <c r="R657" s="340"/>
      <c r="S657" s="340"/>
      <c r="T657" s="340"/>
      <c r="U657" s="340"/>
      <c r="V657" s="340"/>
      <c r="W657" s="340"/>
      <c r="X657" s="340"/>
      <c r="Y657" s="340"/>
      <c r="Z657" s="340"/>
    </row>
    <row r="658" ht="15.75" customHeight="1">
      <c r="A658" s="340"/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40"/>
      <c r="M658" s="340"/>
      <c r="N658" s="340"/>
      <c r="O658" s="340"/>
      <c r="P658" s="340"/>
      <c r="Q658" s="340"/>
      <c r="R658" s="340"/>
      <c r="S658" s="340"/>
      <c r="T658" s="340"/>
      <c r="U658" s="340"/>
      <c r="V658" s="340"/>
      <c r="W658" s="340"/>
      <c r="X658" s="340"/>
      <c r="Y658" s="340"/>
      <c r="Z658" s="340"/>
    </row>
    <row r="659" ht="15.75" customHeight="1">
      <c r="A659" s="340"/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40"/>
      <c r="M659" s="340"/>
      <c r="N659" s="340"/>
      <c r="O659" s="340"/>
      <c r="P659" s="340"/>
      <c r="Q659" s="340"/>
      <c r="R659" s="340"/>
      <c r="S659" s="340"/>
      <c r="T659" s="340"/>
      <c r="U659" s="340"/>
      <c r="V659" s="340"/>
      <c r="W659" s="340"/>
      <c r="X659" s="340"/>
      <c r="Y659" s="340"/>
      <c r="Z659" s="340"/>
    </row>
    <row r="660" ht="15.75" customHeight="1">
      <c r="A660" s="340"/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40"/>
      <c r="M660" s="340"/>
      <c r="N660" s="340"/>
      <c r="O660" s="340"/>
      <c r="P660" s="340"/>
      <c r="Q660" s="340"/>
      <c r="R660" s="340"/>
      <c r="S660" s="340"/>
      <c r="T660" s="340"/>
      <c r="U660" s="340"/>
      <c r="V660" s="340"/>
      <c r="W660" s="340"/>
      <c r="X660" s="340"/>
      <c r="Y660" s="340"/>
      <c r="Z660" s="340"/>
    </row>
    <row r="661" ht="15.75" customHeight="1">
      <c r="A661" s="340"/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40"/>
      <c r="M661" s="340"/>
      <c r="N661" s="340"/>
      <c r="O661" s="340"/>
      <c r="P661" s="340"/>
      <c r="Q661" s="340"/>
      <c r="R661" s="340"/>
      <c r="S661" s="340"/>
      <c r="T661" s="340"/>
      <c r="U661" s="340"/>
      <c r="V661" s="340"/>
      <c r="W661" s="340"/>
      <c r="X661" s="340"/>
      <c r="Y661" s="340"/>
      <c r="Z661" s="340"/>
    </row>
    <row r="662" ht="15.75" customHeight="1">
      <c r="A662" s="340"/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40"/>
      <c r="M662" s="340"/>
      <c r="N662" s="340"/>
      <c r="O662" s="340"/>
      <c r="P662" s="340"/>
      <c r="Q662" s="340"/>
      <c r="R662" s="340"/>
      <c r="S662" s="340"/>
      <c r="T662" s="340"/>
      <c r="U662" s="340"/>
      <c r="V662" s="340"/>
      <c r="W662" s="340"/>
      <c r="X662" s="340"/>
      <c r="Y662" s="340"/>
      <c r="Z662" s="340"/>
    </row>
    <row r="663" ht="15.75" customHeight="1">
      <c r="A663" s="340"/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40"/>
      <c r="M663" s="340"/>
      <c r="N663" s="340"/>
      <c r="O663" s="340"/>
      <c r="P663" s="340"/>
      <c r="Q663" s="340"/>
      <c r="R663" s="340"/>
      <c r="S663" s="340"/>
      <c r="T663" s="340"/>
      <c r="U663" s="340"/>
      <c r="V663" s="340"/>
      <c r="W663" s="340"/>
      <c r="X663" s="340"/>
      <c r="Y663" s="340"/>
      <c r="Z663" s="340"/>
    </row>
    <row r="664" ht="15.75" customHeight="1">
      <c r="A664" s="340"/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40"/>
      <c r="M664" s="340"/>
      <c r="N664" s="340"/>
      <c r="O664" s="340"/>
      <c r="P664" s="340"/>
      <c r="Q664" s="340"/>
      <c r="R664" s="340"/>
      <c r="S664" s="340"/>
      <c r="T664" s="340"/>
      <c r="U664" s="340"/>
      <c r="V664" s="340"/>
      <c r="W664" s="340"/>
      <c r="X664" s="340"/>
      <c r="Y664" s="340"/>
      <c r="Z664" s="340"/>
    </row>
    <row r="665" ht="15.75" customHeight="1">
      <c r="A665" s="340"/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40"/>
      <c r="M665" s="340"/>
      <c r="N665" s="340"/>
      <c r="O665" s="340"/>
      <c r="P665" s="340"/>
      <c r="Q665" s="340"/>
      <c r="R665" s="340"/>
      <c r="S665" s="340"/>
      <c r="T665" s="340"/>
      <c r="U665" s="340"/>
      <c r="V665" s="340"/>
      <c r="W665" s="340"/>
      <c r="X665" s="340"/>
      <c r="Y665" s="340"/>
      <c r="Z665" s="340"/>
    </row>
    <row r="666" ht="15.75" customHeight="1">
      <c r="A666" s="340"/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40"/>
      <c r="M666" s="340"/>
      <c r="N666" s="340"/>
      <c r="O666" s="340"/>
      <c r="P666" s="340"/>
      <c r="Q666" s="340"/>
      <c r="R666" s="340"/>
      <c r="S666" s="340"/>
      <c r="T666" s="340"/>
      <c r="U666" s="340"/>
      <c r="V666" s="340"/>
      <c r="W666" s="340"/>
      <c r="X666" s="340"/>
      <c r="Y666" s="340"/>
      <c r="Z666" s="340"/>
    </row>
    <row r="667" ht="15.75" customHeight="1">
      <c r="A667" s="340"/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40"/>
      <c r="M667" s="340"/>
      <c r="N667" s="340"/>
      <c r="O667" s="340"/>
      <c r="P667" s="340"/>
      <c r="Q667" s="340"/>
      <c r="R667" s="340"/>
      <c r="S667" s="340"/>
      <c r="T667" s="340"/>
      <c r="U667" s="340"/>
      <c r="V667" s="340"/>
      <c r="W667" s="340"/>
      <c r="X667" s="340"/>
      <c r="Y667" s="340"/>
      <c r="Z667" s="340"/>
    </row>
    <row r="668" ht="15.75" customHeight="1">
      <c r="A668" s="340"/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40"/>
      <c r="M668" s="340"/>
      <c r="N668" s="340"/>
      <c r="O668" s="340"/>
      <c r="P668" s="340"/>
      <c r="Q668" s="340"/>
      <c r="R668" s="340"/>
      <c r="S668" s="340"/>
      <c r="T668" s="340"/>
      <c r="U668" s="340"/>
      <c r="V668" s="340"/>
      <c r="W668" s="340"/>
      <c r="X668" s="340"/>
      <c r="Y668" s="340"/>
      <c r="Z668" s="340"/>
    </row>
    <row r="669" ht="15.75" customHeight="1">
      <c r="A669" s="340"/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40"/>
      <c r="M669" s="340"/>
      <c r="N669" s="340"/>
      <c r="O669" s="340"/>
      <c r="P669" s="340"/>
      <c r="Q669" s="340"/>
      <c r="R669" s="340"/>
      <c r="S669" s="340"/>
      <c r="T669" s="340"/>
      <c r="U669" s="340"/>
      <c r="V669" s="340"/>
      <c r="W669" s="340"/>
      <c r="X669" s="340"/>
      <c r="Y669" s="340"/>
      <c r="Z669" s="340"/>
    </row>
    <row r="670" ht="15.75" customHeight="1">
      <c r="A670" s="340"/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40"/>
      <c r="M670" s="340"/>
      <c r="N670" s="340"/>
      <c r="O670" s="340"/>
      <c r="P670" s="340"/>
      <c r="Q670" s="340"/>
      <c r="R670" s="340"/>
      <c r="S670" s="340"/>
      <c r="T670" s="340"/>
      <c r="U670" s="340"/>
      <c r="V670" s="340"/>
      <c r="W670" s="340"/>
      <c r="X670" s="340"/>
      <c r="Y670" s="340"/>
      <c r="Z670" s="340"/>
    </row>
    <row r="671" ht="15.75" customHeight="1">
      <c r="A671" s="340"/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40"/>
      <c r="M671" s="340"/>
      <c r="N671" s="340"/>
      <c r="O671" s="340"/>
      <c r="P671" s="340"/>
      <c r="Q671" s="340"/>
      <c r="R671" s="340"/>
      <c r="S671" s="340"/>
      <c r="T671" s="340"/>
      <c r="U671" s="340"/>
      <c r="V671" s="340"/>
      <c r="W671" s="340"/>
      <c r="X671" s="340"/>
      <c r="Y671" s="340"/>
      <c r="Z671" s="340"/>
    </row>
    <row r="672" ht="15.75" customHeight="1">
      <c r="A672" s="340"/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40"/>
      <c r="M672" s="340"/>
      <c r="N672" s="340"/>
      <c r="O672" s="340"/>
      <c r="P672" s="340"/>
      <c r="Q672" s="340"/>
      <c r="R672" s="340"/>
      <c r="S672" s="340"/>
      <c r="T672" s="340"/>
      <c r="U672" s="340"/>
      <c r="V672" s="340"/>
      <c r="W672" s="340"/>
      <c r="X672" s="340"/>
      <c r="Y672" s="340"/>
      <c r="Z672" s="340"/>
    </row>
    <row r="673" ht="15.75" customHeight="1">
      <c r="A673" s="340"/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40"/>
      <c r="M673" s="340"/>
      <c r="N673" s="340"/>
      <c r="O673" s="340"/>
      <c r="P673" s="340"/>
      <c r="Q673" s="340"/>
      <c r="R673" s="340"/>
      <c r="S673" s="340"/>
      <c r="T673" s="340"/>
      <c r="U673" s="340"/>
      <c r="V673" s="340"/>
      <c r="W673" s="340"/>
      <c r="X673" s="340"/>
      <c r="Y673" s="340"/>
      <c r="Z673" s="340"/>
    </row>
    <row r="674" ht="15.75" customHeight="1">
      <c r="A674" s="340"/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40"/>
      <c r="M674" s="340"/>
      <c r="N674" s="340"/>
      <c r="O674" s="340"/>
      <c r="P674" s="340"/>
      <c r="Q674" s="340"/>
      <c r="R674" s="340"/>
      <c r="S674" s="340"/>
      <c r="T674" s="340"/>
      <c r="U674" s="340"/>
      <c r="V674" s="340"/>
      <c r="W674" s="340"/>
      <c r="X674" s="340"/>
      <c r="Y674" s="340"/>
      <c r="Z674" s="340"/>
    </row>
    <row r="675" ht="15.75" customHeight="1">
      <c r="A675" s="340"/>
      <c r="B675" s="340"/>
      <c r="C675" s="340"/>
      <c r="D675" s="340"/>
      <c r="E675" s="340"/>
      <c r="F675" s="340"/>
      <c r="G675" s="340"/>
      <c r="H675" s="340"/>
      <c r="I675" s="340"/>
      <c r="J675" s="340"/>
      <c r="K675" s="340"/>
      <c r="L675" s="340"/>
      <c r="M675" s="340"/>
      <c r="N675" s="340"/>
      <c r="O675" s="340"/>
      <c r="P675" s="340"/>
      <c r="Q675" s="340"/>
      <c r="R675" s="340"/>
      <c r="S675" s="340"/>
      <c r="T675" s="340"/>
      <c r="U675" s="340"/>
      <c r="V675" s="340"/>
      <c r="W675" s="340"/>
      <c r="X675" s="340"/>
      <c r="Y675" s="340"/>
      <c r="Z675" s="340"/>
    </row>
    <row r="676" ht="15.75" customHeight="1">
      <c r="A676" s="340"/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40"/>
      <c r="M676" s="340"/>
      <c r="N676" s="340"/>
      <c r="O676" s="340"/>
      <c r="P676" s="340"/>
      <c r="Q676" s="340"/>
      <c r="R676" s="340"/>
      <c r="S676" s="340"/>
      <c r="T676" s="340"/>
      <c r="U676" s="340"/>
      <c r="V676" s="340"/>
      <c r="W676" s="340"/>
      <c r="X676" s="340"/>
      <c r="Y676" s="340"/>
      <c r="Z676" s="340"/>
    </row>
    <row r="677" ht="15.75" customHeight="1">
      <c r="A677" s="340"/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40"/>
      <c r="M677" s="340"/>
      <c r="N677" s="340"/>
      <c r="O677" s="340"/>
      <c r="P677" s="340"/>
      <c r="Q677" s="340"/>
      <c r="R677" s="340"/>
      <c r="S677" s="340"/>
      <c r="T677" s="340"/>
      <c r="U677" s="340"/>
      <c r="V677" s="340"/>
      <c r="W677" s="340"/>
      <c r="X677" s="340"/>
      <c r="Y677" s="340"/>
      <c r="Z677" s="340"/>
    </row>
    <row r="678" ht="15.75" customHeight="1">
      <c r="A678" s="340"/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40"/>
      <c r="M678" s="340"/>
      <c r="N678" s="340"/>
      <c r="O678" s="340"/>
      <c r="P678" s="340"/>
      <c r="Q678" s="340"/>
      <c r="R678" s="340"/>
      <c r="S678" s="340"/>
      <c r="T678" s="340"/>
      <c r="U678" s="340"/>
      <c r="V678" s="340"/>
      <c r="W678" s="340"/>
      <c r="X678" s="340"/>
      <c r="Y678" s="340"/>
      <c r="Z678" s="340"/>
    </row>
    <row r="679" ht="15.75" customHeight="1">
      <c r="A679" s="340"/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40"/>
      <c r="M679" s="340"/>
      <c r="N679" s="340"/>
      <c r="O679" s="340"/>
      <c r="P679" s="340"/>
      <c r="Q679" s="340"/>
      <c r="R679" s="340"/>
      <c r="S679" s="340"/>
      <c r="T679" s="340"/>
      <c r="U679" s="340"/>
      <c r="V679" s="340"/>
      <c r="W679" s="340"/>
      <c r="X679" s="340"/>
      <c r="Y679" s="340"/>
      <c r="Z679" s="340"/>
    </row>
    <row r="680" ht="15.75" customHeight="1">
      <c r="A680" s="340"/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40"/>
      <c r="M680" s="340"/>
      <c r="N680" s="340"/>
      <c r="O680" s="340"/>
      <c r="P680" s="340"/>
      <c r="Q680" s="340"/>
      <c r="R680" s="340"/>
      <c r="S680" s="340"/>
      <c r="T680" s="340"/>
      <c r="U680" s="340"/>
      <c r="V680" s="340"/>
      <c r="W680" s="340"/>
      <c r="X680" s="340"/>
      <c r="Y680" s="340"/>
      <c r="Z680" s="340"/>
    </row>
    <row r="681" ht="15.75" customHeight="1">
      <c r="A681" s="340"/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40"/>
      <c r="M681" s="340"/>
      <c r="N681" s="340"/>
      <c r="O681" s="340"/>
      <c r="P681" s="340"/>
      <c r="Q681" s="340"/>
      <c r="R681" s="340"/>
      <c r="S681" s="340"/>
      <c r="T681" s="340"/>
      <c r="U681" s="340"/>
      <c r="V681" s="340"/>
      <c r="W681" s="340"/>
      <c r="X681" s="340"/>
      <c r="Y681" s="340"/>
      <c r="Z681" s="340"/>
    </row>
    <row r="682" ht="15.75" customHeight="1">
      <c r="A682" s="340"/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40"/>
      <c r="M682" s="340"/>
      <c r="N682" s="340"/>
      <c r="O682" s="340"/>
      <c r="P682" s="340"/>
      <c r="Q682" s="340"/>
      <c r="R682" s="340"/>
      <c r="S682" s="340"/>
      <c r="T682" s="340"/>
      <c r="U682" s="340"/>
      <c r="V682" s="340"/>
      <c r="W682" s="340"/>
      <c r="X682" s="340"/>
      <c r="Y682" s="340"/>
      <c r="Z682" s="340"/>
    </row>
    <row r="683" ht="15.75" customHeight="1">
      <c r="A683" s="340"/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40"/>
      <c r="M683" s="340"/>
      <c r="N683" s="340"/>
      <c r="O683" s="340"/>
      <c r="P683" s="340"/>
      <c r="Q683" s="340"/>
      <c r="R683" s="340"/>
      <c r="S683" s="340"/>
      <c r="T683" s="340"/>
      <c r="U683" s="340"/>
      <c r="V683" s="340"/>
      <c r="W683" s="340"/>
      <c r="X683" s="340"/>
      <c r="Y683" s="340"/>
      <c r="Z683" s="340"/>
    </row>
    <row r="684" ht="15.75" customHeight="1">
      <c r="A684" s="340"/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40"/>
      <c r="M684" s="340"/>
      <c r="N684" s="340"/>
      <c r="O684" s="340"/>
      <c r="P684" s="340"/>
      <c r="Q684" s="340"/>
      <c r="R684" s="340"/>
      <c r="S684" s="340"/>
      <c r="T684" s="340"/>
      <c r="U684" s="340"/>
      <c r="V684" s="340"/>
      <c r="W684" s="340"/>
      <c r="X684" s="340"/>
      <c r="Y684" s="340"/>
      <c r="Z684" s="340"/>
    </row>
    <row r="685" ht="15.75" customHeight="1">
      <c r="A685" s="340"/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40"/>
      <c r="M685" s="340"/>
      <c r="N685" s="340"/>
      <c r="O685" s="340"/>
      <c r="P685" s="340"/>
      <c r="Q685" s="340"/>
      <c r="R685" s="340"/>
      <c r="S685" s="340"/>
      <c r="T685" s="340"/>
      <c r="U685" s="340"/>
      <c r="V685" s="340"/>
      <c r="W685" s="340"/>
      <c r="X685" s="340"/>
      <c r="Y685" s="340"/>
      <c r="Z685" s="340"/>
    </row>
    <row r="686" ht="15.75" customHeight="1">
      <c r="A686" s="340"/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40"/>
      <c r="M686" s="340"/>
      <c r="N686" s="340"/>
      <c r="O686" s="340"/>
      <c r="P686" s="340"/>
      <c r="Q686" s="340"/>
      <c r="R686" s="340"/>
      <c r="S686" s="340"/>
      <c r="T686" s="340"/>
      <c r="U686" s="340"/>
      <c r="V686" s="340"/>
      <c r="W686" s="340"/>
      <c r="X686" s="340"/>
      <c r="Y686" s="340"/>
      <c r="Z686" s="340"/>
    </row>
    <row r="687" ht="15.75" customHeight="1">
      <c r="A687" s="340"/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40"/>
      <c r="M687" s="340"/>
      <c r="N687" s="340"/>
      <c r="O687" s="340"/>
      <c r="P687" s="340"/>
      <c r="Q687" s="340"/>
      <c r="R687" s="340"/>
      <c r="S687" s="340"/>
      <c r="T687" s="340"/>
      <c r="U687" s="340"/>
      <c r="V687" s="340"/>
      <c r="W687" s="340"/>
      <c r="X687" s="340"/>
      <c r="Y687" s="340"/>
      <c r="Z687" s="340"/>
    </row>
    <row r="688" ht="15.75" customHeight="1">
      <c r="A688" s="340"/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40"/>
      <c r="M688" s="340"/>
      <c r="N688" s="340"/>
      <c r="O688" s="340"/>
      <c r="P688" s="340"/>
      <c r="Q688" s="340"/>
      <c r="R688" s="340"/>
      <c r="S688" s="340"/>
      <c r="T688" s="340"/>
      <c r="U688" s="340"/>
      <c r="V688" s="340"/>
      <c r="W688" s="340"/>
      <c r="X688" s="340"/>
      <c r="Y688" s="340"/>
      <c r="Z688" s="340"/>
    </row>
    <row r="689" ht="15.75" customHeight="1">
      <c r="A689" s="340"/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40"/>
      <c r="M689" s="340"/>
      <c r="N689" s="340"/>
      <c r="O689" s="340"/>
      <c r="P689" s="340"/>
      <c r="Q689" s="340"/>
      <c r="R689" s="340"/>
      <c r="S689" s="340"/>
      <c r="T689" s="340"/>
      <c r="U689" s="340"/>
      <c r="V689" s="340"/>
      <c r="W689" s="340"/>
      <c r="X689" s="340"/>
      <c r="Y689" s="340"/>
      <c r="Z689" s="340"/>
    </row>
    <row r="690" ht="15.75" customHeight="1">
      <c r="A690" s="340"/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40"/>
      <c r="M690" s="340"/>
      <c r="N690" s="340"/>
      <c r="O690" s="340"/>
      <c r="P690" s="340"/>
      <c r="Q690" s="340"/>
      <c r="R690" s="340"/>
      <c r="S690" s="340"/>
      <c r="T690" s="340"/>
      <c r="U690" s="340"/>
      <c r="V690" s="340"/>
      <c r="W690" s="340"/>
      <c r="X690" s="340"/>
      <c r="Y690" s="340"/>
      <c r="Z690" s="340"/>
    </row>
    <row r="691" ht="15.75" customHeight="1">
      <c r="A691" s="340"/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40"/>
      <c r="M691" s="340"/>
      <c r="N691" s="340"/>
      <c r="O691" s="340"/>
      <c r="P691" s="340"/>
      <c r="Q691" s="340"/>
      <c r="R691" s="340"/>
      <c r="S691" s="340"/>
      <c r="T691" s="340"/>
      <c r="U691" s="340"/>
      <c r="V691" s="340"/>
      <c r="W691" s="340"/>
      <c r="X691" s="340"/>
      <c r="Y691" s="340"/>
      <c r="Z691" s="340"/>
    </row>
    <row r="692" ht="15.75" customHeight="1">
      <c r="A692" s="340"/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40"/>
      <c r="M692" s="340"/>
      <c r="N692" s="340"/>
      <c r="O692" s="340"/>
      <c r="P692" s="340"/>
      <c r="Q692" s="340"/>
      <c r="R692" s="340"/>
      <c r="S692" s="340"/>
      <c r="T692" s="340"/>
      <c r="U692" s="340"/>
      <c r="V692" s="340"/>
      <c r="W692" s="340"/>
      <c r="X692" s="340"/>
      <c r="Y692" s="340"/>
      <c r="Z692" s="340"/>
    </row>
    <row r="693" ht="15.75" customHeight="1">
      <c r="A693" s="340"/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40"/>
      <c r="M693" s="340"/>
      <c r="N693" s="340"/>
      <c r="O693" s="340"/>
      <c r="P693" s="340"/>
      <c r="Q693" s="340"/>
      <c r="R693" s="340"/>
      <c r="S693" s="340"/>
      <c r="T693" s="340"/>
      <c r="U693" s="340"/>
      <c r="V693" s="340"/>
      <c r="W693" s="340"/>
      <c r="X693" s="340"/>
      <c r="Y693" s="340"/>
      <c r="Z693" s="340"/>
    </row>
    <row r="694" ht="15.75" customHeight="1">
      <c r="A694" s="340"/>
      <c r="B694" s="340"/>
      <c r="C694" s="340"/>
      <c r="D694" s="340"/>
      <c r="E694" s="340"/>
      <c r="F694" s="340"/>
      <c r="G694" s="340"/>
      <c r="H694" s="340"/>
      <c r="I694" s="340"/>
      <c r="J694" s="340"/>
      <c r="K694" s="340"/>
      <c r="L694" s="340"/>
      <c r="M694" s="340"/>
      <c r="N694" s="340"/>
      <c r="O694" s="340"/>
      <c r="P694" s="340"/>
      <c r="Q694" s="340"/>
      <c r="R694" s="340"/>
      <c r="S694" s="340"/>
      <c r="T694" s="340"/>
      <c r="U694" s="340"/>
      <c r="V694" s="340"/>
      <c r="W694" s="340"/>
      <c r="X694" s="340"/>
      <c r="Y694" s="340"/>
      <c r="Z694" s="340"/>
    </row>
    <row r="695" ht="15.75" customHeight="1">
      <c r="A695" s="340"/>
      <c r="B695" s="340"/>
      <c r="C695" s="340"/>
      <c r="D695" s="340"/>
      <c r="E695" s="340"/>
      <c r="F695" s="340"/>
      <c r="G695" s="340"/>
      <c r="H695" s="340"/>
      <c r="I695" s="340"/>
      <c r="J695" s="340"/>
      <c r="K695" s="340"/>
      <c r="L695" s="340"/>
      <c r="M695" s="340"/>
      <c r="N695" s="340"/>
      <c r="O695" s="340"/>
      <c r="P695" s="340"/>
      <c r="Q695" s="340"/>
      <c r="R695" s="340"/>
      <c r="S695" s="340"/>
      <c r="T695" s="340"/>
      <c r="U695" s="340"/>
      <c r="V695" s="340"/>
      <c r="W695" s="340"/>
      <c r="X695" s="340"/>
      <c r="Y695" s="340"/>
      <c r="Z695" s="340"/>
    </row>
    <row r="696" ht="15.75" customHeight="1">
      <c r="A696" s="340"/>
      <c r="B696" s="340"/>
      <c r="C696" s="340"/>
      <c r="D696" s="340"/>
      <c r="E696" s="340"/>
      <c r="F696" s="340"/>
      <c r="G696" s="340"/>
      <c r="H696" s="340"/>
      <c r="I696" s="340"/>
      <c r="J696" s="340"/>
      <c r="K696" s="340"/>
      <c r="L696" s="340"/>
      <c r="M696" s="340"/>
      <c r="N696" s="340"/>
      <c r="O696" s="340"/>
      <c r="P696" s="340"/>
      <c r="Q696" s="340"/>
      <c r="R696" s="340"/>
      <c r="S696" s="340"/>
      <c r="T696" s="340"/>
      <c r="U696" s="340"/>
      <c r="V696" s="340"/>
      <c r="W696" s="340"/>
      <c r="X696" s="340"/>
      <c r="Y696" s="340"/>
      <c r="Z696" s="340"/>
    </row>
    <row r="697" ht="15.75" customHeight="1">
      <c r="A697" s="340"/>
      <c r="B697" s="340"/>
      <c r="C697" s="340"/>
      <c r="D697" s="340"/>
      <c r="E697" s="340"/>
      <c r="F697" s="340"/>
      <c r="G697" s="340"/>
      <c r="H697" s="340"/>
      <c r="I697" s="340"/>
      <c r="J697" s="340"/>
      <c r="K697" s="340"/>
      <c r="L697" s="340"/>
      <c r="M697" s="340"/>
      <c r="N697" s="340"/>
      <c r="O697" s="340"/>
      <c r="P697" s="340"/>
      <c r="Q697" s="340"/>
      <c r="R697" s="340"/>
      <c r="S697" s="340"/>
      <c r="T697" s="340"/>
      <c r="U697" s="340"/>
      <c r="V697" s="340"/>
      <c r="W697" s="340"/>
      <c r="X697" s="340"/>
      <c r="Y697" s="340"/>
      <c r="Z697" s="340"/>
    </row>
    <row r="698" ht="15.75" customHeight="1">
      <c r="A698" s="340"/>
      <c r="B698" s="340"/>
      <c r="C698" s="340"/>
      <c r="D698" s="340"/>
      <c r="E698" s="340"/>
      <c r="F698" s="340"/>
      <c r="G698" s="340"/>
      <c r="H698" s="340"/>
      <c r="I698" s="340"/>
      <c r="J698" s="340"/>
      <c r="K698" s="340"/>
      <c r="L698" s="340"/>
      <c r="M698" s="340"/>
      <c r="N698" s="340"/>
      <c r="O698" s="340"/>
      <c r="P698" s="340"/>
      <c r="Q698" s="340"/>
      <c r="R698" s="340"/>
      <c r="S698" s="340"/>
      <c r="T698" s="340"/>
      <c r="U698" s="340"/>
      <c r="V698" s="340"/>
      <c r="W698" s="340"/>
      <c r="X698" s="340"/>
      <c r="Y698" s="340"/>
      <c r="Z698" s="340"/>
    </row>
    <row r="699" ht="15.75" customHeight="1">
      <c r="A699" s="340"/>
      <c r="B699" s="340"/>
      <c r="C699" s="340"/>
      <c r="D699" s="340"/>
      <c r="E699" s="340"/>
      <c r="F699" s="340"/>
      <c r="G699" s="340"/>
      <c r="H699" s="340"/>
      <c r="I699" s="340"/>
      <c r="J699" s="340"/>
      <c r="K699" s="340"/>
      <c r="L699" s="340"/>
      <c r="M699" s="340"/>
      <c r="N699" s="340"/>
      <c r="O699" s="340"/>
      <c r="P699" s="340"/>
      <c r="Q699" s="340"/>
      <c r="R699" s="340"/>
      <c r="S699" s="340"/>
      <c r="T699" s="340"/>
      <c r="U699" s="340"/>
      <c r="V699" s="340"/>
      <c r="W699" s="340"/>
      <c r="X699" s="340"/>
      <c r="Y699" s="340"/>
      <c r="Z699" s="340"/>
    </row>
    <row r="700" ht="15.75" customHeight="1">
      <c r="A700" s="340"/>
      <c r="B700" s="340"/>
      <c r="C700" s="340"/>
      <c r="D700" s="340"/>
      <c r="E700" s="340"/>
      <c r="F700" s="340"/>
      <c r="G700" s="340"/>
      <c r="H700" s="340"/>
      <c r="I700" s="340"/>
      <c r="J700" s="340"/>
      <c r="K700" s="340"/>
      <c r="L700" s="340"/>
      <c r="M700" s="340"/>
      <c r="N700" s="340"/>
      <c r="O700" s="340"/>
      <c r="P700" s="340"/>
      <c r="Q700" s="340"/>
      <c r="R700" s="340"/>
      <c r="S700" s="340"/>
      <c r="T700" s="340"/>
      <c r="U700" s="340"/>
      <c r="V700" s="340"/>
      <c r="W700" s="340"/>
      <c r="X700" s="340"/>
      <c r="Y700" s="340"/>
      <c r="Z700" s="340"/>
    </row>
    <row r="701" ht="15.75" customHeight="1">
      <c r="A701" s="340"/>
      <c r="B701" s="340"/>
      <c r="C701" s="340"/>
      <c r="D701" s="340"/>
      <c r="E701" s="340"/>
      <c r="F701" s="340"/>
      <c r="G701" s="340"/>
      <c r="H701" s="340"/>
      <c r="I701" s="340"/>
      <c r="J701" s="340"/>
      <c r="K701" s="340"/>
      <c r="L701" s="340"/>
      <c r="M701" s="340"/>
      <c r="N701" s="340"/>
      <c r="O701" s="340"/>
      <c r="P701" s="340"/>
      <c r="Q701" s="340"/>
      <c r="R701" s="340"/>
      <c r="S701" s="340"/>
      <c r="T701" s="340"/>
      <c r="U701" s="340"/>
      <c r="V701" s="340"/>
      <c r="W701" s="340"/>
      <c r="X701" s="340"/>
      <c r="Y701" s="340"/>
      <c r="Z701" s="340"/>
    </row>
    <row r="702" ht="15.75" customHeight="1">
      <c r="A702" s="340"/>
      <c r="B702" s="340"/>
      <c r="C702" s="340"/>
      <c r="D702" s="340"/>
      <c r="E702" s="340"/>
      <c r="F702" s="340"/>
      <c r="G702" s="340"/>
      <c r="H702" s="340"/>
      <c r="I702" s="340"/>
      <c r="J702" s="340"/>
      <c r="K702" s="340"/>
      <c r="L702" s="340"/>
      <c r="M702" s="340"/>
      <c r="N702" s="340"/>
      <c r="O702" s="340"/>
      <c r="P702" s="340"/>
      <c r="Q702" s="340"/>
      <c r="R702" s="340"/>
      <c r="S702" s="340"/>
      <c r="T702" s="340"/>
      <c r="U702" s="340"/>
      <c r="V702" s="340"/>
      <c r="W702" s="340"/>
      <c r="X702" s="340"/>
      <c r="Y702" s="340"/>
      <c r="Z702" s="340"/>
    </row>
    <row r="703" ht="15.75" customHeight="1">
      <c r="A703" s="340"/>
      <c r="B703" s="340"/>
      <c r="C703" s="340"/>
      <c r="D703" s="340"/>
      <c r="E703" s="340"/>
      <c r="F703" s="340"/>
      <c r="G703" s="340"/>
      <c r="H703" s="340"/>
      <c r="I703" s="340"/>
      <c r="J703" s="340"/>
      <c r="K703" s="340"/>
      <c r="L703" s="340"/>
      <c r="M703" s="340"/>
      <c r="N703" s="340"/>
      <c r="O703" s="340"/>
      <c r="P703" s="340"/>
      <c r="Q703" s="340"/>
      <c r="R703" s="340"/>
      <c r="S703" s="340"/>
      <c r="T703" s="340"/>
      <c r="U703" s="340"/>
      <c r="V703" s="340"/>
      <c r="W703" s="340"/>
      <c r="X703" s="340"/>
      <c r="Y703" s="340"/>
      <c r="Z703" s="340"/>
    </row>
    <row r="704" ht="15.75" customHeight="1">
      <c r="A704" s="340"/>
      <c r="B704" s="340"/>
      <c r="C704" s="340"/>
      <c r="D704" s="340"/>
      <c r="E704" s="340"/>
      <c r="F704" s="340"/>
      <c r="G704" s="340"/>
      <c r="H704" s="340"/>
      <c r="I704" s="340"/>
      <c r="J704" s="340"/>
      <c r="K704" s="340"/>
      <c r="L704" s="340"/>
      <c r="M704" s="340"/>
      <c r="N704" s="340"/>
      <c r="O704" s="340"/>
      <c r="P704" s="340"/>
      <c r="Q704" s="340"/>
      <c r="R704" s="340"/>
      <c r="S704" s="340"/>
      <c r="T704" s="340"/>
      <c r="U704" s="340"/>
      <c r="V704" s="340"/>
      <c r="W704" s="340"/>
      <c r="X704" s="340"/>
      <c r="Y704" s="340"/>
      <c r="Z704" s="340"/>
    </row>
    <row r="705" ht="15.75" customHeight="1">
      <c r="A705" s="340"/>
      <c r="B705" s="340"/>
      <c r="C705" s="340"/>
      <c r="D705" s="340"/>
      <c r="E705" s="340"/>
      <c r="F705" s="340"/>
      <c r="G705" s="340"/>
      <c r="H705" s="340"/>
      <c r="I705" s="340"/>
      <c r="J705" s="340"/>
      <c r="K705" s="340"/>
      <c r="L705" s="340"/>
      <c r="M705" s="340"/>
      <c r="N705" s="340"/>
      <c r="O705" s="340"/>
      <c r="P705" s="340"/>
      <c r="Q705" s="340"/>
      <c r="R705" s="340"/>
      <c r="S705" s="340"/>
      <c r="T705" s="340"/>
      <c r="U705" s="340"/>
      <c r="V705" s="340"/>
      <c r="W705" s="340"/>
      <c r="X705" s="340"/>
      <c r="Y705" s="340"/>
      <c r="Z705" s="340"/>
    </row>
    <row r="706" ht="15.75" customHeight="1">
      <c r="A706" s="340"/>
      <c r="B706" s="340"/>
      <c r="C706" s="340"/>
      <c r="D706" s="340"/>
      <c r="E706" s="340"/>
      <c r="F706" s="340"/>
      <c r="G706" s="340"/>
      <c r="H706" s="340"/>
      <c r="I706" s="340"/>
      <c r="J706" s="340"/>
      <c r="K706" s="340"/>
      <c r="L706" s="340"/>
      <c r="M706" s="340"/>
      <c r="N706" s="340"/>
      <c r="O706" s="340"/>
      <c r="P706" s="340"/>
      <c r="Q706" s="340"/>
      <c r="R706" s="340"/>
      <c r="S706" s="340"/>
      <c r="T706" s="340"/>
      <c r="U706" s="340"/>
      <c r="V706" s="340"/>
      <c r="W706" s="340"/>
      <c r="X706" s="340"/>
      <c r="Y706" s="340"/>
      <c r="Z706" s="340"/>
    </row>
    <row r="707" ht="15.75" customHeight="1">
      <c r="A707" s="340"/>
      <c r="B707" s="340"/>
      <c r="C707" s="340"/>
      <c r="D707" s="340"/>
      <c r="E707" s="340"/>
      <c r="F707" s="340"/>
      <c r="G707" s="340"/>
      <c r="H707" s="340"/>
      <c r="I707" s="340"/>
      <c r="J707" s="340"/>
      <c r="K707" s="340"/>
      <c r="L707" s="340"/>
      <c r="M707" s="340"/>
      <c r="N707" s="340"/>
      <c r="O707" s="340"/>
      <c r="P707" s="340"/>
      <c r="Q707" s="340"/>
      <c r="R707" s="340"/>
      <c r="S707" s="340"/>
      <c r="T707" s="340"/>
      <c r="U707" s="340"/>
      <c r="V707" s="340"/>
      <c r="W707" s="340"/>
      <c r="X707" s="340"/>
      <c r="Y707" s="340"/>
      <c r="Z707" s="340"/>
    </row>
    <row r="708" ht="15.75" customHeight="1">
      <c r="A708" s="340"/>
      <c r="B708" s="340"/>
      <c r="C708" s="340"/>
      <c r="D708" s="340"/>
      <c r="E708" s="340"/>
      <c r="F708" s="340"/>
      <c r="G708" s="340"/>
      <c r="H708" s="340"/>
      <c r="I708" s="340"/>
      <c r="J708" s="340"/>
      <c r="K708" s="340"/>
      <c r="L708" s="340"/>
      <c r="M708" s="340"/>
      <c r="N708" s="340"/>
      <c r="O708" s="340"/>
      <c r="P708" s="340"/>
      <c r="Q708" s="340"/>
      <c r="R708" s="340"/>
      <c r="S708" s="340"/>
      <c r="T708" s="340"/>
      <c r="U708" s="340"/>
      <c r="V708" s="340"/>
      <c r="W708" s="340"/>
      <c r="X708" s="340"/>
      <c r="Y708" s="340"/>
      <c r="Z708" s="340"/>
    </row>
    <row r="709" ht="15.75" customHeight="1">
      <c r="A709" s="340"/>
      <c r="B709" s="340"/>
      <c r="C709" s="340"/>
      <c r="D709" s="340"/>
      <c r="E709" s="340"/>
      <c r="F709" s="340"/>
      <c r="G709" s="340"/>
      <c r="H709" s="340"/>
      <c r="I709" s="340"/>
      <c r="J709" s="340"/>
      <c r="K709" s="340"/>
      <c r="L709" s="340"/>
      <c r="M709" s="340"/>
      <c r="N709" s="340"/>
      <c r="O709" s="340"/>
      <c r="P709" s="340"/>
      <c r="Q709" s="340"/>
      <c r="R709" s="340"/>
      <c r="S709" s="340"/>
      <c r="T709" s="340"/>
      <c r="U709" s="340"/>
      <c r="V709" s="340"/>
      <c r="W709" s="340"/>
      <c r="X709" s="340"/>
      <c r="Y709" s="340"/>
      <c r="Z709" s="340"/>
    </row>
    <row r="710" ht="15.75" customHeight="1">
      <c r="A710" s="340"/>
      <c r="B710" s="340"/>
      <c r="C710" s="340"/>
      <c r="D710" s="340"/>
      <c r="E710" s="340"/>
      <c r="F710" s="340"/>
      <c r="G710" s="340"/>
      <c r="H710" s="340"/>
      <c r="I710" s="340"/>
      <c r="J710" s="340"/>
      <c r="K710" s="340"/>
      <c r="L710" s="340"/>
      <c r="M710" s="340"/>
      <c r="N710" s="340"/>
      <c r="O710" s="340"/>
      <c r="P710" s="340"/>
      <c r="Q710" s="340"/>
      <c r="R710" s="340"/>
      <c r="S710" s="340"/>
      <c r="T710" s="340"/>
      <c r="U710" s="340"/>
      <c r="V710" s="340"/>
      <c r="W710" s="340"/>
      <c r="X710" s="340"/>
      <c r="Y710" s="340"/>
      <c r="Z710" s="340"/>
    </row>
    <row r="711" ht="15.75" customHeight="1">
      <c r="A711" s="340"/>
      <c r="B711" s="340"/>
      <c r="C711" s="340"/>
      <c r="D711" s="340"/>
      <c r="E711" s="340"/>
      <c r="F711" s="340"/>
      <c r="G711" s="340"/>
      <c r="H711" s="340"/>
      <c r="I711" s="340"/>
      <c r="J711" s="340"/>
      <c r="K711" s="340"/>
      <c r="L711" s="340"/>
      <c r="M711" s="340"/>
      <c r="N711" s="340"/>
      <c r="O711" s="340"/>
      <c r="P711" s="340"/>
      <c r="Q711" s="340"/>
      <c r="R711" s="340"/>
      <c r="S711" s="340"/>
      <c r="T711" s="340"/>
      <c r="U711" s="340"/>
      <c r="V711" s="340"/>
      <c r="W711" s="340"/>
      <c r="X711" s="340"/>
      <c r="Y711" s="340"/>
      <c r="Z711" s="340"/>
    </row>
    <row r="712" ht="15.75" customHeight="1">
      <c r="A712" s="340"/>
      <c r="B712" s="340"/>
      <c r="C712" s="340"/>
      <c r="D712" s="340"/>
      <c r="E712" s="340"/>
      <c r="F712" s="340"/>
      <c r="G712" s="340"/>
      <c r="H712" s="340"/>
      <c r="I712" s="340"/>
      <c r="J712" s="340"/>
      <c r="K712" s="340"/>
      <c r="L712" s="340"/>
      <c r="M712" s="340"/>
      <c r="N712" s="340"/>
      <c r="O712" s="340"/>
      <c r="P712" s="340"/>
      <c r="Q712" s="340"/>
      <c r="R712" s="340"/>
      <c r="S712" s="340"/>
      <c r="T712" s="340"/>
      <c r="U712" s="340"/>
      <c r="V712" s="340"/>
      <c r="W712" s="340"/>
      <c r="X712" s="340"/>
      <c r="Y712" s="340"/>
      <c r="Z712" s="340"/>
    </row>
    <row r="713" ht="15.75" customHeight="1">
      <c r="A713" s="340"/>
      <c r="B713" s="340"/>
      <c r="C713" s="340"/>
      <c r="D713" s="340"/>
      <c r="E713" s="340"/>
      <c r="F713" s="340"/>
      <c r="G713" s="340"/>
      <c r="H713" s="340"/>
      <c r="I713" s="340"/>
      <c r="J713" s="340"/>
      <c r="K713" s="340"/>
      <c r="L713" s="340"/>
      <c r="M713" s="340"/>
      <c r="N713" s="340"/>
      <c r="O713" s="340"/>
      <c r="P713" s="340"/>
      <c r="Q713" s="340"/>
      <c r="R713" s="340"/>
      <c r="S713" s="340"/>
      <c r="T713" s="340"/>
      <c r="U713" s="340"/>
      <c r="V713" s="340"/>
      <c r="W713" s="340"/>
      <c r="X713" s="340"/>
      <c r="Y713" s="340"/>
      <c r="Z713" s="340"/>
    </row>
    <row r="714" ht="15.75" customHeight="1">
      <c r="A714" s="340"/>
      <c r="B714" s="340"/>
      <c r="C714" s="340"/>
      <c r="D714" s="340"/>
      <c r="E714" s="340"/>
      <c r="F714" s="340"/>
      <c r="G714" s="340"/>
      <c r="H714" s="340"/>
      <c r="I714" s="340"/>
      <c r="J714" s="340"/>
      <c r="K714" s="340"/>
      <c r="L714" s="340"/>
      <c r="M714" s="340"/>
      <c r="N714" s="340"/>
      <c r="O714" s="340"/>
      <c r="P714" s="340"/>
      <c r="Q714" s="340"/>
      <c r="R714" s="340"/>
      <c r="S714" s="340"/>
      <c r="T714" s="340"/>
      <c r="U714" s="340"/>
      <c r="V714" s="340"/>
      <c r="W714" s="340"/>
      <c r="X714" s="340"/>
      <c r="Y714" s="340"/>
      <c r="Z714" s="340"/>
    </row>
    <row r="715" ht="15.75" customHeight="1">
      <c r="A715" s="340"/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N715" s="340"/>
      <c r="O715" s="340"/>
      <c r="P715" s="340"/>
      <c r="Q715" s="340"/>
      <c r="R715" s="340"/>
      <c r="S715" s="340"/>
      <c r="T715" s="340"/>
      <c r="U715" s="340"/>
      <c r="V715" s="340"/>
      <c r="W715" s="340"/>
      <c r="X715" s="340"/>
      <c r="Y715" s="340"/>
      <c r="Z715" s="340"/>
    </row>
    <row r="716" ht="15.75" customHeight="1">
      <c r="A716" s="340"/>
      <c r="B716" s="340"/>
      <c r="C716" s="340"/>
      <c r="D716" s="340"/>
      <c r="E716" s="340"/>
      <c r="F716" s="340"/>
      <c r="G716" s="340"/>
      <c r="H716" s="340"/>
      <c r="I716" s="340"/>
      <c r="J716" s="340"/>
      <c r="K716" s="340"/>
      <c r="L716" s="340"/>
      <c r="M716" s="340"/>
      <c r="N716" s="340"/>
      <c r="O716" s="340"/>
      <c r="P716" s="340"/>
      <c r="Q716" s="340"/>
      <c r="R716" s="340"/>
      <c r="S716" s="340"/>
      <c r="T716" s="340"/>
      <c r="U716" s="340"/>
      <c r="V716" s="340"/>
      <c r="W716" s="340"/>
      <c r="X716" s="340"/>
      <c r="Y716" s="340"/>
      <c r="Z716" s="340"/>
    </row>
    <row r="717" ht="15.75" customHeight="1">
      <c r="A717" s="340"/>
      <c r="B717" s="340"/>
      <c r="C717" s="340"/>
      <c r="D717" s="340"/>
      <c r="E717" s="340"/>
      <c r="F717" s="340"/>
      <c r="G717" s="340"/>
      <c r="H717" s="340"/>
      <c r="I717" s="340"/>
      <c r="J717" s="340"/>
      <c r="K717" s="340"/>
      <c r="L717" s="340"/>
      <c r="M717" s="340"/>
      <c r="N717" s="340"/>
      <c r="O717" s="340"/>
      <c r="P717" s="340"/>
      <c r="Q717" s="340"/>
      <c r="R717" s="340"/>
      <c r="S717" s="340"/>
      <c r="T717" s="340"/>
      <c r="U717" s="340"/>
      <c r="V717" s="340"/>
      <c r="W717" s="340"/>
      <c r="X717" s="340"/>
      <c r="Y717" s="340"/>
      <c r="Z717" s="340"/>
    </row>
    <row r="718" ht="15.75" customHeight="1">
      <c r="A718" s="340"/>
      <c r="B718" s="340"/>
      <c r="C718" s="340"/>
      <c r="D718" s="340"/>
      <c r="E718" s="340"/>
      <c r="F718" s="340"/>
      <c r="G718" s="340"/>
      <c r="H718" s="340"/>
      <c r="I718" s="340"/>
      <c r="J718" s="340"/>
      <c r="K718" s="340"/>
      <c r="L718" s="340"/>
      <c r="M718" s="340"/>
      <c r="N718" s="340"/>
      <c r="O718" s="340"/>
      <c r="P718" s="340"/>
      <c r="Q718" s="340"/>
      <c r="R718" s="340"/>
      <c r="S718" s="340"/>
      <c r="T718" s="340"/>
      <c r="U718" s="340"/>
      <c r="V718" s="340"/>
      <c r="W718" s="340"/>
      <c r="X718" s="340"/>
      <c r="Y718" s="340"/>
      <c r="Z718" s="340"/>
    </row>
    <row r="719" ht="15.75" customHeight="1">
      <c r="A719" s="340"/>
      <c r="B719" s="340"/>
      <c r="C719" s="340"/>
      <c r="D719" s="340"/>
      <c r="E719" s="340"/>
      <c r="F719" s="340"/>
      <c r="G719" s="340"/>
      <c r="H719" s="340"/>
      <c r="I719" s="340"/>
      <c r="J719" s="340"/>
      <c r="K719" s="340"/>
      <c r="L719" s="340"/>
      <c r="M719" s="340"/>
      <c r="N719" s="340"/>
      <c r="O719" s="340"/>
      <c r="P719" s="340"/>
      <c r="Q719" s="340"/>
      <c r="R719" s="340"/>
      <c r="S719" s="340"/>
      <c r="T719" s="340"/>
      <c r="U719" s="340"/>
      <c r="V719" s="340"/>
      <c r="W719" s="340"/>
      <c r="X719" s="340"/>
      <c r="Y719" s="340"/>
      <c r="Z719" s="340"/>
    </row>
    <row r="720" ht="15.75" customHeight="1">
      <c r="A720" s="340"/>
      <c r="B720" s="340"/>
      <c r="C720" s="340"/>
      <c r="D720" s="340"/>
      <c r="E720" s="340"/>
      <c r="F720" s="340"/>
      <c r="G720" s="340"/>
      <c r="H720" s="340"/>
      <c r="I720" s="340"/>
      <c r="J720" s="340"/>
      <c r="K720" s="340"/>
      <c r="L720" s="340"/>
      <c r="M720" s="340"/>
      <c r="N720" s="340"/>
      <c r="O720" s="340"/>
      <c r="P720" s="340"/>
      <c r="Q720" s="340"/>
      <c r="R720" s="340"/>
      <c r="S720" s="340"/>
      <c r="T720" s="340"/>
      <c r="U720" s="340"/>
      <c r="V720" s="340"/>
      <c r="W720" s="340"/>
      <c r="X720" s="340"/>
      <c r="Y720" s="340"/>
      <c r="Z720" s="340"/>
    </row>
    <row r="721" ht="15.75" customHeight="1">
      <c r="A721" s="340"/>
      <c r="B721" s="340"/>
      <c r="C721" s="340"/>
      <c r="D721" s="340"/>
      <c r="E721" s="340"/>
      <c r="F721" s="340"/>
      <c r="G721" s="340"/>
      <c r="H721" s="340"/>
      <c r="I721" s="340"/>
      <c r="J721" s="340"/>
      <c r="K721" s="340"/>
      <c r="L721" s="340"/>
      <c r="M721" s="340"/>
      <c r="N721" s="340"/>
      <c r="O721" s="340"/>
      <c r="P721" s="340"/>
      <c r="Q721" s="340"/>
      <c r="R721" s="340"/>
      <c r="S721" s="340"/>
      <c r="T721" s="340"/>
      <c r="U721" s="340"/>
      <c r="V721" s="340"/>
      <c r="W721" s="340"/>
      <c r="X721" s="340"/>
      <c r="Y721" s="340"/>
      <c r="Z721" s="340"/>
    </row>
    <row r="722" ht="15.75" customHeight="1">
      <c r="A722" s="340"/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40"/>
      <c r="M722" s="340"/>
      <c r="N722" s="340"/>
      <c r="O722" s="340"/>
      <c r="P722" s="340"/>
      <c r="Q722" s="340"/>
      <c r="R722" s="340"/>
      <c r="S722" s="340"/>
      <c r="T722" s="340"/>
      <c r="U722" s="340"/>
      <c r="V722" s="340"/>
      <c r="W722" s="340"/>
      <c r="X722" s="340"/>
      <c r="Y722" s="340"/>
      <c r="Z722" s="340"/>
    </row>
    <row r="723" ht="15.75" customHeight="1">
      <c r="A723" s="340"/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40"/>
      <c r="M723" s="340"/>
      <c r="N723" s="340"/>
      <c r="O723" s="340"/>
      <c r="P723" s="340"/>
      <c r="Q723" s="340"/>
      <c r="R723" s="340"/>
      <c r="S723" s="340"/>
      <c r="T723" s="340"/>
      <c r="U723" s="340"/>
      <c r="V723" s="340"/>
      <c r="W723" s="340"/>
      <c r="X723" s="340"/>
      <c r="Y723" s="340"/>
      <c r="Z723" s="340"/>
    </row>
    <row r="724" ht="15.75" customHeight="1">
      <c r="A724" s="340"/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40"/>
      <c r="M724" s="340"/>
      <c r="N724" s="340"/>
      <c r="O724" s="340"/>
      <c r="P724" s="340"/>
      <c r="Q724" s="340"/>
      <c r="R724" s="340"/>
      <c r="S724" s="340"/>
      <c r="T724" s="340"/>
      <c r="U724" s="340"/>
      <c r="V724" s="340"/>
      <c r="W724" s="340"/>
      <c r="X724" s="340"/>
      <c r="Y724" s="340"/>
      <c r="Z724" s="340"/>
    </row>
    <row r="725" ht="15.75" customHeight="1">
      <c r="A725" s="340"/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40"/>
      <c r="M725" s="340"/>
      <c r="N725" s="340"/>
      <c r="O725" s="340"/>
      <c r="P725" s="340"/>
      <c r="Q725" s="340"/>
      <c r="R725" s="340"/>
      <c r="S725" s="340"/>
      <c r="T725" s="340"/>
      <c r="U725" s="340"/>
      <c r="V725" s="340"/>
      <c r="W725" s="340"/>
      <c r="X725" s="340"/>
      <c r="Y725" s="340"/>
      <c r="Z725" s="340"/>
    </row>
    <row r="726" ht="15.75" customHeight="1">
      <c r="A726" s="340"/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40"/>
      <c r="M726" s="340"/>
      <c r="N726" s="340"/>
      <c r="O726" s="340"/>
      <c r="P726" s="340"/>
      <c r="Q726" s="340"/>
      <c r="R726" s="340"/>
      <c r="S726" s="340"/>
      <c r="T726" s="340"/>
      <c r="U726" s="340"/>
      <c r="V726" s="340"/>
      <c r="W726" s="340"/>
      <c r="X726" s="340"/>
      <c r="Y726" s="340"/>
      <c r="Z726" s="340"/>
    </row>
    <row r="727" ht="15.75" customHeight="1">
      <c r="A727" s="340"/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40"/>
      <c r="M727" s="340"/>
      <c r="N727" s="340"/>
      <c r="O727" s="340"/>
      <c r="P727" s="340"/>
      <c r="Q727" s="340"/>
      <c r="R727" s="340"/>
      <c r="S727" s="340"/>
      <c r="T727" s="340"/>
      <c r="U727" s="340"/>
      <c r="V727" s="340"/>
      <c r="W727" s="340"/>
      <c r="X727" s="340"/>
      <c r="Y727" s="340"/>
      <c r="Z727" s="340"/>
    </row>
    <row r="728" ht="15.75" customHeight="1">
      <c r="A728" s="340"/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40"/>
      <c r="M728" s="340"/>
      <c r="N728" s="340"/>
      <c r="O728" s="340"/>
      <c r="P728" s="340"/>
      <c r="Q728" s="340"/>
      <c r="R728" s="340"/>
      <c r="S728" s="340"/>
      <c r="T728" s="340"/>
      <c r="U728" s="340"/>
      <c r="V728" s="340"/>
      <c r="W728" s="340"/>
      <c r="X728" s="340"/>
      <c r="Y728" s="340"/>
      <c r="Z728" s="340"/>
    </row>
    <row r="729" ht="15.75" customHeight="1">
      <c r="A729" s="340"/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40"/>
      <c r="M729" s="340"/>
      <c r="N729" s="340"/>
      <c r="O729" s="340"/>
      <c r="P729" s="340"/>
      <c r="Q729" s="340"/>
      <c r="R729" s="340"/>
      <c r="S729" s="340"/>
      <c r="T729" s="340"/>
      <c r="U729" s="340"/>
      <c r="V729" s="340"/>
      <c r="W729" s="340"/>
      <c r="X729" s="340"/>
      <c r="Y729" s="340"/>
      <c r="Z729" s="340"/>
    </row>
    <row r="730" ht="15.75" customHeight="1">
      <c r="A730" s="340"/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40"/>
      <c r="M730" s="340"/>
      <c r="N730" s="340"/>
      <c r="O730" s="340"/>
      <c r="P730" s="340"/>
      <c r="Q730" s="340"/>
      <c r="R730" s="340"/>
      <c r="S730" s="340"/>
      <c r="T730" s="340"/>
      <c r="U730" s="340"/>
      <c r="V730" s="340"/>
      <c r="W730" s="340"/>
      <c r="X730" s="340"/>
      <c r="Y730" s="340"/>
      <c r="Z730" s="340"/>
    </row>
    <row r="731" ht="15.75" customHeight="1">
      <c r="A731" s="340"/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40"/>
      <c r="M731" s="340"/>
      <c r="N731" s="340"/>
      <c r="O731" s="340"/>
      <c r="P731" s="340"/>
      <c r="Q731" s="340"/>
      <c r="R731" s="340"/>
      <c r="S731" s="340"/>
      <c r="T731" s="340"/>
      <c r="U731" s="340"/>
      <c r="V731" s="340"/>
      <c r="W731" s="340"/>
      <c r="X731" s="340"/>
      <c r="Y731" s="340"/>
      <c r="Z731" s="340"/>
    </row>
    <row r="732" ht="15.75" customHeight="1">
      <c r="A732" s="340"/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40"/>
      <c r="M732" s="340"/>
      <c r="N732" s="340"/>
      <c r="O732" s="340"/>
      <c r="P732" s="340"/>
      <c r="Q732" s="340"/>
      <c r="R732" s="340"/>
      <c r="S732" s="340"/>
      <c r="T732" s="340"/>
      <c r="U732" s="340"/>
      <c r="V732" s="340"/>
      <c r="W732" s="340"/>
      <c r="X732" s="340"/>
      <c r="Y732" s="340"/>
      <c r="Z732" s="340"/>
    </row>
    <row r="733" ht="15.75" customHeight="1">
      <c r="A733" s="340"/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40"/>
      <c r="M733" s="340"/>
      <c r="N733" s="340"/>
      <c r="O733" s="340"/>
      <c r="P733" s="340"/>
      <c r="Q733" s="340"/>
      <c r="R733" s="340"/>
      <c r="S733" s="340"/>
      <c r="T733" s="340"/>
      <c r="U733" s="340"/>
      <c r="V733" s="340"/>
      <c r="W733" s="340"/>
      <c r="X733" s="340"/>
      <c r="Y733" s="340"/>
      <c r="Z733" s="340"/>
    </row>
    <row r="734" ht="15.75" customHeight="1">
      <c r="A734" s="340"/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40"/>
      <c r="M734" s="340"/>
      <c r="N734" s="340"/>
      <c r="O734" s="340"/>
      <c r="P734" s="340"/>
      <c r="Q734" s="340"/>
      <c r="R734" s="340"/>
      <c r="S734" s="340"/>
      <c r="T734" s="340"/>
      <c r="U734" s="340"/>
      <c r="V734" s="340"/>
      <c r="W734" s="340"/>
      <c r="X734" s="340"/>
      <c r="Y734" s="340"/>
      <c r="Z734" s="340"/>
    </row>
    <row r="735" ht="15.75" customHeight="1">
      <c r="A735" s="340"/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40"/>
      <c r="M735" s="340"/>
      <c r="N735" s="340"/>
      <c r="O735" s="340"/>
      <c r="P735" s="340"/>
      <c r="Q735" s="340"/>
      <c r="R735" s="340"/>
      <c r="S735" s="340"/>
      <c r="T735" s="340"/>
      <c r="U735" s="340"/>
      <c r="V735" s="340"/>
      <c r="W735" s="340"/>
      <c r="X735" s="340"/>
      <c r="Y735" s="340"/>
      <c r="Z735" s="340"/>
    </row>
    <row r="736" ht="15.75" customHeight="1">
      <c r="A736" s="340"/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40"/>
      <c r="M736" s="340"/>
      <c r="N736" s="340"/>
      <c r="O736" s="340"/>
      <c r="P736" s="340"/>
      <c r="Q736" s="340"/>
      <c r="R736" s="340"/>
      <c r="S736" s="340"/>
      <c r="T736" s="340"/>
      <c r="U736" s="340"/>
      <c r="V736" s="340"/>
      <c r="W736" s="340"/>
      <c r="X736" s="340"/>
      <c r="Y736" s="340"/>
      <c r="Z736" s="340"/>
    </row>
    <row r="737" ht="15.75" customHeight="1">
      <c r="A737" s="340"/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40"/>
      <c r="M737" s="340"/>
      <c r="N737" s="340"/>
      <c r="O737" s="340"/>
      <c r="P737" s="340"/>
      <c r="Q737" s="340"/>
      <c r="R737" s="340"/>
      <c r="S737" s="340"/>
      <c r="T737" s="340"/>
      <c r="U737" s="340"/>
      <c r="V737" s="340"/>
      <c r="W737" s="340"/>
      <c r="X737" s="340"/>
      <c r="Y737" s="340"/>
      <c r="Z737" s="340"/>
    </row>
    <row r="738" ht="15.75" customHeight="1">
      <c r="A738" s="340"/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40"/>
      <c r="M738" s="340"/>
      <c r="N738" s="340"/>
      <c r="O738" s="340"/>
      <c r="P738" s="340"/>
      <c r="Q738" s="340"/>
      <c r="R738" s="340"/>
      <c r="S738" s="340"/>
      <c r="T738" s="340"/>
      <c r="U738" s="340"/>
      <c r="V738" s="340"/>
      <c r="W738" s="340"/>
      <c r="X738" s="340"/>
      <c r="Y738" s="340"/>
      <c r="Z738" s="340"/>
    </row>
    <row r="739" ht="15.75" customHeight="1">
      <c r="A739" s="340"/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40"/>
      <c r="M739" s="340"/>
      <c r="N739" s="340"/>
      <c r="O739" s="340"/>
      <c r="P739" s="340"/>
      <c r="Q739" s="340"/>
      <c r="R739" s="340"/>
      <c r="S739" s="340"/>
      <c r="T739" s="340"/>
      <c r="U739" s="340"/>
      <c r="V739" s="340"/>
      <c r="W739" s="340"/>
      <c r="X739" s="340"/>
      <c r="Y739" s="340"/>
      <c r="Z739" s="340"/>
    </row>
    <row r="740" ht="15.75" customHeight="1">
      <c r="A740" s="340"/>
      <c r="B740" s="340"/>
      <c r="C740" s="340"/>
      <c r="D740" s="340"/>
      <c r="E740" s="340"/>
      <c r="F740" s="340"/>
      <c r="G740" s="340"/>
      <c r="H740" s="340"/>
      <c r="I740" s="340"/>
      <c r="J740" s="340"/>
      <c r="K740" s="340"/>
      <c r="L740" s="340"/>
      <c r="M740" s="340"/>
      <c r="N740" s="340"/>
      <c r="O740" s="340"/>
      <c r="P740" s="340"/>
      <c r="Q740" s="340"/>
      <c r="R740" s="340"/>
      <c r="S740" s="340"/>
      <c r="T740" s="340"/>
      <c r="U740" s="340"/>
      <c r="V740" s="340"/>
      <c r="W740" s="340"/>
      <c r="X740" s="340"/>
      <c r="Y740" s="340"/>
      <c r="Z740" s="340"/>
    </row>
    <row r="741" ht="15.75" customHeight="1">
      <c r="A741" s="340"/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40"/>
      <c r="M741" s="340"/>
      <c r="N741" s="340"/>
      <c r="O741" s="340"/>
      <c r="P741" s="340"/>
      <c r="Q741" s="340"/>
      <c r="R741" s="340"/>
      <c r="S741" s="340"/>
      <c r="T741" s="340"/>
      <c r="U741" s="340"/>
      <c r="V741" s="340"/>
      <c r="W741" s="340"/>
      <c r="X741" s="340"/>
      <c r="Y741" s="340"/>
      <c r="Z741" s="340"/>
    </row>
    <row r="742" ht="15.75" customHeight="1">
      <c r="A742" s="340"/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40"/>
      <c r="M742" s="340"/>
      <c r="N742" s="340"/>
      <c r="O742" s="340"/>
      <c r="P742" s="340"/>
      <c r="Q742" s="340"/>
      <c r="R742" s="340"/>
      <c r="S742" s="340"/>
      <c r="T742" s="340"/>
      <c r="U742" s="340"/>
      <c r="V742" s="340"/>
      <c r="W742" s="340"/>
      <c r="X742" s="340"/>
      <c r="Y742" s="340"/>
      <c r="Z742" s="340"/>
    </row>
    <row r="743" ht="15.75" customHeight="1">
      <c r="A743" s="340"/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40"/>
      <c r="M743" s="340"/>
      <c r="N743" s="340"/>
      <c r="O743" s="340"/>
      <c r="P743" s="340"/>
      <c r="Q743" s="340"/>
      <c r="R743" s="340"/>
      <c r="S743" s="340"/>
      <c r="T743" s="340"/>
      <c r="U743" s="340"/>
      <c r="V743" s="340"/>
      <c r="W743" s="340"/>
      <c r="X743" s="340"/>
      <c r="Y743" s="340"/>
      <c r="Z743" s="340"/>
    </row>
    <row r="744" ht="15.75" customHeight="1">
      <c r="A744" s="340"/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40"/>
      <c r="M744" s="340"/>
      <c r="N744" s="340"/>
      <c r="O744" s="340"/>
      <c r="P744" s="340"/>
      <c r="Q744" s="340"/>
      <c r="R744" s="340"/>
      <c r="S744" s="340"/>
      <c r="T744" s="340"/>
      <c r="U744" s="340"/>
      <c r="V744" s="340"/>
      <c r="W744" s="340"/>
      <c r="X744" s="340"/>
      <c r="Y744" s="340"/>
      <c r="Z744" s="340"/>
    </row>
    <row r="745" ht="15.75" customHeight="1">
      <c r="A745" s="340"/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40"/>
      <c r="M745" s="340"/>
      <c r="N745" s="340"/>
      <c r="O745" s="340"/>
      <c r="P745" s="340"/>
      <c r="Q745" s="340"/>
      <c r="R745" s="340"/>
      <c r="S745" s="340"/>
      <c r="T745" s="340"/>
      <c r="U745" s="340"/>
      <c r="V745" s="340"/>
      <c r="W745" s="340"/>
      <c r="X745" s="340"/>
      <c r="Y745" s="340"/>
      <c r="Z745" s="340"/>
    </row>
    <row r="746" ht="15.75" customHeight="1">
      <c r="A746" s="340"/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40"/>
      <c r="M746" s="340"/>
      <c r="N746" s="340"/>
      <c r="O746" s="340"/>
      <c r="P746" s="340"/>
      <c r="Q746" s="340"/>
      <c r="R746" s="340"/>
      <c r="S746" s="340"/>
      <c r="T746" s="340"/>
      <c r="U746" s="340"/>
      <c r="V746" s="340"/>
      <c r="W746" s="340"/>
      <c r="X746" s="340"/>
      <c r="Y746" s="340"/>
      <c r="Z746" s="340"/>
    </row>
    <row r="747" ht="15.75" customHeight="1">
      <c r="A747" s="340"/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40"/>
      <c r="M747" s="340"/>
      <c r="N747" s="340"/>
      <c r="O747" s="340"/>
      <c r="P747" s="340"/>
      <c r="Q747" s="340"/>
      <c r="R747" s="340"/>
      <c r="S747" s="340"/>
      <c r="T747" s="340"/>
      <c r="U747" s="340"/>
      <c r="V747" s="340"/>
      <c r="W747" s="340"/>
      <c r="X747" s="340"/>
      <c r="Y747" s="340"/>
      <c r="Z747" s="340"/>
    </row>
    <row r="748" ht="15.75" customHeight="1">
      <c r="A748" s="340"/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40"/>
      <c r="M748" s="340"/>
      <c r="N748" s="340"/>
      <c r="O748" s="340"/>
      <c r="P748" s="340"/>
      <c r="Q748" s="340"/>
      <c r="R748" s="340"/>
      <c r="S748" s="340"/>
      <c r="T748" s="340"/>
      <c r="U748" s="340"/>
      <c r="V748" s="340"/>
      <c r="W748" s="340"/>
      <c r="X748" s="340"/>
      <c r="Y748" s="340"/>
      <c r="Z748" s="340"/>
    </row>
    <row r="749" ht="15.75" customHeight="1">
      <c r="A749" s="340"/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40"/>
      <c r="M749" s="340"/>
      <c r="N749" s="340"/>
      <c r="O749" s="340"/>
      <c r="P749" s="340"/>
      <c r="Q749" s="340"/>
      <c r="R749" s="340"/>
      <c r="S749" s="340"/>
      <c r="T749" s="340"/>
      <c r="U749" s="340"/>
      <c r="V749" s="340"/>
      <c r="W749" s="340"/>
      <c r="X749" s="340"/>
      <c r="Y749" s="340"/>
      <c r="Z749" s="340"/>
    </row>
    <row r="750" ht="15.75" customHeight="1">
      <c r="A750" s="340"/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40"/>
      <c r="M750" s="340"/>
      <c r="N750" s="340"/>
      <c r="O750" s="340"/>
      <c r="P750" s="340"/>
      <c r="Q750" s="340"/>
      <c r="R750" s="340"/>
      <c r="S750" s="340"/>
      <c r="T750" s="340"/>
      <c r="U750" s="340"/>
      <c r="V750" s="340"/>
      <c r="W750" s="340"/>
      <c r="X750" s="340"/>
      <c r="Y750" s="340"/>
      <c r="Z750" s="340"/>
    </row>
    <row r="751" ht="15.75" customHeight="1">
      <c r="A751" s="340"/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40"/>
      <c r="M751" s="340"/>
      <c r="N751" s="340"/>
      <c r="O751" s="340"/>
      <c r="P751" s="340"/>
      <c r="Q751" s="340"/>
      <c r="R751" s="340"/>
      <c r="S751" s="340"/>
      <c r="T751" s="340"/>
      <c r="U751" s="340"/>
      <c r="V751" s="340"/>
      <c r="W751" s="340"/>
      <c r="X751" s="340"/>
      <c r="Y751" s="340"/>
      <c r="Z751" s="340"/>
    </row>
    <row r="752" ht="15.75" customHeight="1">
      <c r="A752" s="340"/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40"/>
      <c r="M752" s="340"/>
      <c r="N752" s="340"/>
      <c r="O752" s="340"/>
      <c r="P752" s="340"/>
      <c r="Q752" s="340"/>
      <c r="R752" s="340"/>
      <c r="S752" s="340"/>
      <c r="T752" s="340"/>
      <c r="U752" s="340"/>
      <c r="V752" s="340"/>
      <c r="W752" s="340"/>
      <c r="X752" s="340"/>
      <c r="Y752" s="340"/>
      <c r="Z752" s="340"/>
    </row>
    <row r="753" ht="15.75" customHeight="1">
      <c r="A753" s="340"/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40"/>
      <c r="M753" s="340"/>
      <c r="N753" s="340"/>
      <c r="O753" s="340"/>
      <c r="P753" s="340"/>
      <c r="Q753" s="340"/>
      <c r="R753" s="340"/>
      <c r="S753" s="340"/>
      <c r="T753" s="340"/>
      <c r="U753" s="340"/>
      <c r="V753" s="340"/>
      <c r="W753" s="340"/>
      <c r="X753" s="340"/>
      <c r="Y753" s="340"/>
      <c r="Z753" s="340"/>
    </row>
    <row r="754" ht="15.75" customHeight="1">
      <c r="A754" s="340"/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40"/>
      <c r="M754" s="340"/>
      <c r="N754" s="340"/>
      <c r="O754" s="340"/>
      <c r="P754" s="340"/>
      <c r="Q754" s="340"/>
      <c r="R754" s="340"/>
      <c r="S754" s="340"/>
      <c r="T754" s="340"/>
      <c r="U754" s="340"/>
      <c r="V754" s="340"/>
      <c r="W754" s="340"/>
      <c r="X754" s="340"/>
      <c r="Y754" s="340"/>
      <c r="Z754" s="340"/>
    </row>
    <row r="755" ht="15.75" customHeight="1">
      <c r="A755" s="340"/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40"/>
      <c r="M755" s="340"/>
      <c r="N755" s="340"/>
      <c r="O755" s="340"/>
      <c r="P755" s="340"/>
      <c r="Q755" s="340"/>
      <c r="R755" s="340"/>
      <c r="S755" s="340"/>
      <c r="T755" s="340"/>
      <c r="U755" s="340"/>
      <c r="V755" s="340"/>
      <c r="W755" s="340"/>
      <c r="X755" s="340"/>
      <c r="Y755" s="340"/>
      <c r="Z755" s="340"/>
    </row>
    <row r="756" ht="15.75" customHeight="1">
      <c r="A756" s="340"/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40"/>
      <c r="M756" s="340"/>
      <c r="N756" s="340"/>
      <c r="O756" s="340"/>
      <c r="P756" s="340"/>
      <c r="Q756" s="340"/>
      <c r="R756" s="340"/>
      <c r="S756" s="340"/>
      <c r="T756" s="340"/>
      <c r="U756" s="340"/>
      <c r="V756" s="340"/>
      <c r="W756" s="340"/>
      <c r="X756" s="340"/>
      <c r="Y756" s="340"/>
      <c r="Z756" s="340"/>
    </row>
    <row r="757" ht="15.75" customHeight="1">
      <c r="A757" s="340"/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40"/>
      <c r="M757" s="340"/>
      <c r="N757" s="340"/>
      <c r="O757" s="340"/>
      <c r="P757" s="340"/>
      <c r="Q757" s="340"/>
      <c r="R757" s="340"/>
      <c r="S757" s="340"/>
      <c r="T757" s="340"/>
      <c r="U757" s="340"/>
      <c r="V757" s="340"/>
      <c r="W757" s="340"/>
      <c r="X757" s="340"/>
      <c r="Y757" s="340"/>
      <c r="Z757" s="340"/>
    </row>
    <row r="758" ht="15.75" customHeight="1">
      <c r="A758" s="340"/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40"/>
      <c r="M758" s="340"/>
      <c r="N758" s="340"/>
      <c r="O758" s="340"/>
      <c r="P758" s="340"/>
      <c r="Q758" s="340"/>
      <c r="R758" s="340"/>
      <c r="S758" s="340"/>
      <c r="T758" s="340"/>
      <c r="U758" s="340"/>
      <c r="V758" s="340"/>
      <c r="W758" s="340"/>
      <c r="X758" s="340"/>
      <c r="Y758" s="340"/>
      <c r="Z758" s="340"/>
    </row>
    <row r="759" ht="15.75" customHeight="1">
      <c r="A759" s="340"/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40"/>
      <c r="M759" s="340"/>
      <c r="N759" s="340"/>
      <c r="O759" s="340"/>
      <c r="P759" s="340"/>
      <c r="Q759" s="340"/>
      <c r="R759" s="340"/>
      <c r="S759" s="340"/>
      <c r="T759" s="340"/>
      <c r="U759" s="340"/>
      <c r="V759" s="340"/>
      <c r="W759" s="340"/>
      <c r="X759" s="340"/>
      <c r="Y759" s="340"/>
      <c r="Z759" s="340"/>
    </row>
    <row r="760" ht="15.75" customHeight="1">
      <c r="A760" s="340"/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40"/>
      <c r="M760" s="340"/>
      <c r="N760" s="340"/>
      <c r="O760" s="340"/>
      <c r="P760" s="340"/>
      <c r="Q760" s="340"/>
      <c r="R760" s="340"/>
      <c r="S760" s="340"/>
      <c r="T760" s="340"/>
      <c r="U760" s="340"/>
      <c r="V760" s="340"/>
      <c r="W760" s="340"/>
      <c r="X760" s="340"/>
      <c r="Y760" s="340"/>
      <c r="Z760" s="340"/>
    </row>
    <row r="761" ht="15.75" customHeight="1">
      <c r="A761" s="340"/>
      <c r="B761" s="340"/>
      <c r="C761" s="340"/>
      <c r="D761" s="340"/>
      <c r="E761" s="340"/>
      <c r="F761" s="340"/>
      <c r="G761" s="340"/>
      <c r="H761" s="340"/>
      <c r="I761" s="340"/>
      <c r="J761" s="340"/>
      <c r="K761" s="340"/>
      <c r="L761" s="340"/>
      <c r="M761" s="340"/>
      <c r="N761" s="340"/>
      <c r="O761" s="340"/>
      <c r="P761" s="340"/>
      <c r="Q761" s="340"/>
      <c r="R761" s="340"/>
      <c r="S761" s="340"/>
      <c r="T761" s="340"/>
      <c r="U761" s="340"/>
      <c r="V761" s="340"/>
      <c r="W761" s="340"/>
      <c r="X761" s="340"/>
      <c r="Y761" s="340"/>
      <c r="Z761" s="340"/>
    </row>
    <row r="762" ht="15.75" customHeight="1">
      <c r="A762" s="340"/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40"/>
      <c r="M762" s="340"/>
      <c r="N762" s="340"/>
      <c r="O762" s="340"/>
      <c r="P762" s="340"/>
      <c r="Q762" s="340"/>
      <c r="R762" s="340"/>
      <c r="S762" s="340"/>
      <c r="T762" s="340"/>
      <c r="U762" s="340"/>
      <c r="V762" s="340"/>
      <c r="W762" s="340"/>
      <c r="X762" s="340"/>
      <c r="Y762" s="340"/>
      <c r="Z762" s="340"/>
    </row>
    <row r="763" ht="15.75" customHeight="1">
      <c r="A763" s="340"/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40"/>
      <c r="M763" s="340"/>
      <c r="N763" s="340"/>
      <c r="O763" s="340"/>
      <c r="P763" s="340"/>
      <c r="Q763" s="340"/>
      <c r="R763" s="340"/>
      <c r="S763" s="340"/>
      <c r="T763" s="340"/>
      <c r="U763" s="340"/>
      <c r="V763" s="340"/>
      <c r="W763" s="340"/>
      <c r="X763" s="340"/>
      <c r="Y763" s="340"/>
      <c r="Z763" s="340"/>
    </row>
    <row r="764" ht="15.75" customHeight="1">
      <c r="A764" s="340"/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40"/>
      <c r="M764" s="340"/>
      <c r="N764" s="340"/>
      <c r="O764" s="340"/>
      <c r="P764" s="340"/>
      <c r="Q764" s="340"/>
      <c r="R764" s="340"/>
      <c r="S764" s="340"/>
      <c r="T764" s="340"/>
      <c r="U764" s="340"/>
      <c r="V764" s="340"/>
      <c r="W764" s="340"/>
      <c r="X764" s="340"/>
      <c r="Y764" s="340"/>
      <c r="Z764" s="340"/>
    </row>
    <row r="765" ht="15.75" customHeight="1">
      <c r="A765" s="340"/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40"/>
      <c r="M765" s="340"/>
      <c r="N765" s="340"/>
      <c r="O765" s="340"/>
      <c r="P765" s="340"/>
      <c r="Q765" s="340"/>
      <c r="R765" s="340"/>
      <c r="S765" s="340"/>
      <c r="T765" s="340"/>
      <c r="U765" s="340"/>
      <c r="V765" s="340"/>
      <c r="W765" s="340"/>
      <c r="X765" s="340"/>
      <c r="Y765" s="340"/>
      <c r="Z765" s="340"/>
    </row>
    <row r="766" ht="15.75" customHeight="1">
      <c r="A766" s="340"/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40"/>
      <c r="M766" s="340"/>
      <c r="N766" s="340"/>
      <c r="O766" s="340"/>
      <c r="P766" s="340"/>
      <c r="Q766" s="340"/>
      <c r="R766" s="340"/>
      <c r="S766" s="340"/>
      <c r="T766" s="340"/>
      <c r="U766" s="340"/>
      <c r="V766" s="340"/>
      <c r="W766" s="340"/>
      <c r="X766" s="340"/>
      <c r="Y766" s="340"/>
      <c r="Z766" s="340"/>
    </row>
    <row r="767" ht="15.75" customHeight="1">
      <c r="A767" s="340"/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40"/>
      <c r="M767" s="340"/>
      <c r="N767" s="340"/>
      <c r="O767" s="340"/>
      <c r="P767" s="340"/>
      <c r="Q767" s="340"/>
      <c r="R767" s="340"/>
      <c r="S767" s="340"/>
      <c r="T767" s="340"/>
      <c r="U767" s="340"/>
      <c r="V767" s="340"/>
      <c r="W767" s="340"/>
      <c r="X767" s="340"/>
      <c r="Y767" s="340"/>
      <c r="Z767" s="340"/>
    </row>
    <row r="768" ht="15.75" customHeight="1">
      <c r="A768" s="340"/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40"/>
      <c r="M768" s="340"/>
      <c r="N768" s="340"/>
      <c r="O768" s="340"/>
      <c r="P768" s="340"/>
      <c r="Q768" s="340"/>
      <c r="R768" s="340"/>
      <c r="S768" s="340"/>
      <c r="T768" s="340"/>
      <c r="U768" s="340"/>
      <c r="V768" s="340"/>
      <c r="W768" s="340"/>
      <c r="X768" s="340"/>
      <c r="Y768" s="340"/>
      <c r="Z768" s="340"/>
    </row>
    <row r="769" ht="15.75" customHeight="1">
      <c r="A769" s="340"/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40"/>
      <c r="M769" s="340"/>
      <c r="N769" s="340"/>
      <c r="O769" s="340"/>
      <c r="P769" s="340"/>
      <c r="Q769" s="340"/>
      <c r="R769" s="340"/>
      <c r="S769" s="340"/>
      <c r="T769" s="340"/>
      <c r="U769" s="340"/>
      <c r="V769" s="340"/>
      <c r="W769" s="340"/>
      <c r="X769" s="340"/>
      <c r="Y769" s="340"/>
      <c r="Z769" s="340"/>
    </row>
    <row r="770" ht="15.75" customHeight="1">
      <c r="A770" s="340"/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40"/>
      <c r="M770" s="340"/>
      <c r="N770" s="340"/>
      <c r="O770" s="340"/>
      <c r="P770" s="340"/>
      <c r="Q770" s="340"/>
      <c r="R770" s="340"/>
      <c r="S770" s="340"/>
      <c r="T770" s="340"/>
      <c r="U770" s="340"/>
      <c r="V770" s="340"/>
      <c r="W770" s="340"/>
      <c r="X770" s="340"/>
      <c r="Y770" s="340"/>
      <c r="Z770" s="340"/>
    </row>
    <row r="771" ht="15.75" customHeight="1">
      <c r="A771" s="340"/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40"/>
      <c r="M771" s="340"/>
      <c r="N771" s="340"/>
      <c r="O771" s="340"/>
      <c r="P771" s="340"/>
      <c r="Q771" s="340"/>
      <c r="R771" s="340"/>
      <c r="S771" s="340"/>
      <c r="T771" s="340"/>
      <c r="U771" s="340"/>
      <c r="V771" s="340"/>
      <c r="W771" s="340"/>
      <c r="X771" s="340"/>
      <c r="Y771" s="340"/>
      <c r="Z771" s="340"/>
    </row>
    <row r="772" ht="15.75" customHeight="1">
      <c r="A772" s="340"/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40"/>
      <c r="M772" s="340"/>
      <c r="N772" s="340"/>
      <c r="O772" s="340"/>
      <c r="P772" s="340"/>
      <c r="Q772" s="340"/>
      <c r="R772" s="340"/>
      <c r="S772" s="340"/>
      <c r="T772" s="340"/>
      <c r="U772" s="340"/>
      <c r="V772" s="340"/>
      <c r="W772" s="340"/>
      <c r="X772" s="340"/>
      <c r="Y772" s="340"/>
      <c r="Z772" s="340"/>
    </row>
    <row r="773" ht="15.75" customHeight="1">
      <c r="A773" s="340"/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40"/>
      <c r="M773" s="340"/>
      <c r="N773" s="340"/>
      <c r="O773" s="340"/>
      <c r="P773" s="340"/>
      <c r="Q773" s="340"/>
      <c r="R773" s="340"/>
      <c r="S773" s="340"/>
      <c r="T773" s="340"/>
      <c r="U773" s="340"/>
      <c r="V773" s="340"/>
      <c r="W773" s="340"/>
      <c r="X773" s="340"/>
      <c r="Y773" s="340"/>
      <c r="Z773" s="340"/>
    </row>
    <row r="774" ht="15.75" customHeight="1">
      <c r="A774" s="340"/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40"/>
      <c r="M774" s="340"/>
      <c r="N774" s="340"/>
      <c r="O774" s="340"/>
      <c r="P774" s="340"/>
      <c r="Q774" s="340"/>
      <c r="R774" s="340"/>
      <c r="S774" s="340"/>
      <c r="T774" s="340"/>
      <c r="U774" s="340"/>
      <c r="V774" s="340"/>
      <c r="W774" s="340"/>
      <c r="X774" s="340"/>
      <c r="Y774" s="340"/>
      <c r="Z774" s="340"/>
    </row>
    <row r="775" ht="15.75" customHeight="1">
      <c r="A775" s="340"/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40"/>
      <c r="M775" s="340"/>
      <c r="N775" s="340"/>
      <c r="O775" s="340"/>
      <c r="P775" s="340"/>
      <c r="Q775" s="340"/>
      <c r="R775" s="340"/>
      <c r="S775" s="340"/>
      <c r="T775" s="340"/>
      <c r="U775" s="340"/>
      <c r="V775" s="340"/>
      <c r="W775" s="340"/>
      <c r="X775" s="340"/>
      <c r="Y775" s="340"/>
      <c r="Z775" s="340"/>
    </row>
    <row r="776" ht="15.75" customHeight="1">
      <c r="A776" s="340"/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40"/>
      <c r="M776" s="340"/>
      <c r="N776" s="340"/>
      <c r="O776" s="340"/>
      <c r="P776" s="340"/>
      <c r="Q776" s="340"/>
      <c r="R776" s="340"/>
      <c r="S776" s="340"/>
      <c r="T776" s="340"/>
      <c r="U776" s="340"/>
      <c r="V776" s="340"/>
      <c r="W776" s="340"/>
      <c r="X776" s="340"/>
      <c r="Y776" s="340"/>
      <c r="Z776" s="340"/>
    </row>
    <row r="777" ht="15.75" customHeight="1">
      <c r="A777" s="340"/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40"/>
      <c r="M777" s="340"/>
      <c r="N777" s="340"/>
      <c r="O777" s="340"/>
      <c r="P777" s="340"/>
      <c r="Q777" s="340"/>
      <c r="R777" s="340"/>
      <c r="S777" s="340"/>
      <c r="T777" s="340"/>
      <c r="U777" s="340"/>
      <c r="V777" s="340"/>
      <c r="W777" s="340"/>
      <c r="X777" s="340"/>
      <c r="Y777" s="340"/>
      <c r="Z777" s="340"/>
    </row>
    <row r="778" ht="15.75" customHeight="1">
      <c r="A778" s="340"/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40"/>
      <c r="M778" s="340"/>
      <c r="N778" s="340"/>
      <c r="O778" s="340"/>
      <c r="P778" s="340"/>
      <c r="Q778" s="340"/>
      <c r="R778" s="340"/>
      <c r="S778" s="340"/>
      <c r="T778" s="340"/>
      <c r="U778" s="340"/>
      <c r="V778" s="340"/>
      <c r="W778" s="340"/>
      <c r="X778" s="340"/>
      <c r="Y778" s="340"/>
      <c r="Z778" s="340"/>
    </row>
    <row r="779" ht="15.75" customHeight="1">
      <c r="A779" s="340"/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40"/>
      <c r="M779" s="340"/>
      <c r="N779" s="340"/>
      <c r="O779" s="340"/>
      <c r="P779" s="340"/>
      <c r="Q779" s="340"/>
      <c r="R779" s="340"/>
      <c r="S779" s="340"/>
      <c r="T779" s="340"/>
      <c r="U779" s="340"/>
      <c r="V779" s="340"/>
      <c r="W779" s="340"/>
      <c r="X779" s="340"/>
      <c r="Y779" s="340"/>
      <c r="Z779" s="340"/>
    </row>
    <row r="780" ht="15.75" customHeight="1">
      <c r="A780" s="340"/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40"/>
      <c r="M780" s="340"/>
      <c r="N780" s="340"/>
      <c r="O780" s="340"/>
      <c r="P780" s="340"/>
      <c r="Q780" s="340"/>
      <c r="R780" s="340"/>
      <c r="S780" s="340"/>
      <c r="T780" s="340"/>
      <c r="U780" s="340"/>
      <c r="V780" s="340"/>
      <c r="W780" s="340"/>
      <c r="X780" s="340"/>
      <c r="Y780" s="340"/>
      <c r="Z780" s="340"/>
    </row>
    <row r="781" ht="15.75" customHeight="1">
      <c r="A781" s="340"/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40"/>
      <c r="M781" s="340"/>
      <c r="N781" s="340"/>
      <c r="O781" s="340"/>
      <c r="P781" s="340"/>
      <c r="Q781" s="340"/>
      <c r="R781" s="340"/>
      <c r="S781" s="340"/>
      <c r="T781" s="340"/>
      <c r="U781" s="340"/>
      <c r="V781" s="340"/>
      <c r="W781" s="340"/>
      <c r="X781" s="340"/>
      <c r="Y781" s="340"/>
      <c r="Z781" s="340"/>
    </row>
    <row r="782" ht="15.75" customHeight="1">
      <c r="A782" s="340"/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40"/>
      <c r="M782" s="340"/>
      <c r="N782" s="340"/>
      <c r="O782" s="340"/>
      <c r="P782" s="340"/>
      <c r="Q782" s="340"/>
      <c r="R782" s="340"/>
      <c r="S782" s="340"/>
      <c r="T782" s="340"/>
      <c r="U782" s="340"/>
      <c r="V782" s="340"/>
      <c r="W782" s="340"/>
      <c r="X782" s="340"/>
      <c r="Y782" s="340"/>
      <c r="Z782" s="340"/>
    </row>
    <row r="783" ht="15.75" customHeight="1">
      <c r="A783" s="340"/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40"/>
      <c r="M783" s="340"/>
      <c r="N783" s="340"/>
      <c r="O783" s="340"/>
      <c r="P783" s="340"/>
      <c r="Q783" s="340"/>
      <c r="R783" s="340"/>
      <c r="S783" s="340"/>
      <c r="T783" s="340"/>
      <c r="U783" s="340"/>
      <c r="V783" s="340"/>
      <c r="W783" s="340"/>
      <c r="X783" s="340"/>
      <c r="Y783" s="340"/>
      <c r="Z783" s="340"/>
    </row>
    <row r="784" ht="15.75" customHeight="1">
      <c r="A784" s="340"/>
      <c r="B784" s="340"/>
      <c r="C784" s="340"/>
      <c r="D784" s="340"/>
      <c r="E784" s="340"/>
      <c r="F784" s="340"/>
      <c r="G784" s="340"/>
      <c r="H784" s="340"/>
      <c r="I784" s="340"/>
      <c r="J784" s="340"/>
      <c r="K784" s="340"/>
      <c r="L784" s="340"/>
      <c r="M784" s="340"/>
      <c r="N784" s="340"/>
      <c r="O784" s="340"/>
      <c r="P784" s="340"/>
      <c r="Q784" s="340"/>
      <c r="R784" s="340"/>
      <c r="S784" s="340"/>
      <c r="T784" s="340"/>
      <c r="U784" s="340"/>
      <c r="V784" s="340"/>
      <c r="W784" s="340"/>
      <c r="X784" s="340"/>
      <c r="Y784" s="340"/>
      <c r="Z784" s="340"/>
    </row>
    <row r="785" ht="15.75" customHeight="1">
      <c r="A785" s="340"/>
      <c r="B785" s="340"/>
      <c r="C785" s="340"/>
      <c r="D785" s="340"/>
      <c r="E785" s="340"/>
      <c r="F785" s="340"/>
      <c r="G785" s="340"/>
      <c r="H785" s="340"/>
      <c r="I785" s="340"/>
      <c r="J785" s="340"/>
      <c r="K785" s="340"/>
      <c r="L785" s="340"/>
      <c r="M785" s="340"/>
      <c r="N785" s="340"/>
      <c r="O785" s="340"/>
      <c r="P785" s="340"/>
      <c r="Q785" s="340"/>
      <c r="R785" s="340"/>
      <c r="S785" s="340"/>
      <c r="T785" s="340"/>
      <c r="U785" s="340"/>
      <c r="V785" s="340"/>
      <c r="W785" s="340"/>
      <c r="X785" s="340"/>
      <c r="Y785" s="340"/>
      <c r="Z785" s="340"/>
    </row>
    <row r="786" ht="15.75" customHeight="1">
      <c r="A786" s="340"/>
      <c r="B786" s="340"/>
      <c r="C786" s="340"/>
      <c r="D786" s="340"/>
      <c r="E786" s="340"/>
      <c r="F786" s="340"/>
      <c r="G786" s="340"/>
      <c r="H786" s="340"/>
      <c r="I786" s="340"/>
      <c r="J786" s="340"/>
      <c r="K786" s="340"/>
      <c r="L786" s="340"/>
      <c r="M786" s="340"/>
      <c r="N786" s="340"/>
      <c r="O786" s="340"/>
      <c r="P786" s="340"/>
      <c r="Q786" s="340"/>
      <c r="R786" s="340"/>
      <c r="S786" s="340"/>
      <c r="T786" s="340"/>
      <c r="U786" s="340"/>
      <c r="V786" s="340"/>
      <c r="W786" s="340"/>
      <c r="X786" s="340"/>
      <c r="Y786" s="340"/>
      <c r="Z786" s="340"/>
    </row>
    <row r="787" ht="15.75" customHeight="1">
      <c r="A787" s="340"/>
      <c r="B787" s="340"/>
      <c r="C787" s="340"/>
      <c r="D787" s="340"/>
      <c r="E787" s="340"/>
      <c r="F787" s="340"/>
      <c r="G787" s="340"/>
      <c r="H787" s="340"/>
      <c r="I787" s="340"/>
      <c r="J787" s="340"/>
      <c r="K787" s="340"/>
      <c r="L787" s="340"/>
      <c r="M787" s="340"/>
      <c r="N787" s="340"/>
      <c r="O787" s="340"/>
      <c r="P787" s="340"/>
      <c r="Q787" s="340"/>
      <c r="R787" s="340"/>
      <c r="S787" s="340"/>
      <c r="T787" s="340"/>
      <c r="U787" s="340"/>
      <c r="V787" s="340"/>
      <c r="W787" s="340"/>
      <c r="X787" s="340"/>
      <c r="Y787" s="340"/>
      <c r="Z787" s="340"/>
    </row>
    <row r="788" ht="15.75" customHeight="1">
      <c r="A788" s="340"/>
      <c r="B788" s="340"/>
      <c r="C788" s="340"/>
      <c r="D788" s="340"/>
      <c r="E788" s="340"/>
      <c r="F788" s="340"/>
      <c r="G788" s="340"/>
      <c r="H788" s="340"/>
      <c r="I788" s="340"/>
      <c r="J788" s="340"/>
      <c r="K788" s="340"/>
      <c r="L788" s="340"/>
      <c r="M788" s="340"/>
      <c r="N788" s="340"/>
      <c r="O788" s="340"/>
      <c r="P788" s="340"/>
      <c r="Q788" s="340"/>
      <c r="R788" s="340"/>
      <c r="S788" s="340"/>
      <c r="T788" s="340"/>
      <c r="U788" s="340"/>
      <c r="V788" s="340"/>
      <c r="W788" s="340"/>
      <c r="X788" s="340"/>
      <c r="Y788" s="340"/>
      <c r="Z788" s="340"/>
    </row>
    <row r="789" ht="15.75" customHeight="1">
      <c r="A789" s="340"/>
      <c r="B789" s="340"/>
      <c r="C789" s="340"/>
      <c r="D789" s="340"/>
      <c r="E789" s="340"/>
      <c r="F789" s="340"/>
      <c r="G789" s="340"/>
      <c r="H789" s="340"/>
      <c r="I789" s="340"/>
      <c r="J789" s="340"/>
      <c r="K789" s="340"/>
      <c r="L789" s="340"/>
      <c r="M789" s="340"/>
      <c r="N789" s="340"/>
      <c r="O789" s="340"/>
      <c r="P789" s="340"/>
      <c r="Q789" s="340"/>
      <c r="R789" s="340"/>
      <c r="S789" s="340"/>
      <c r="T789" s="340"/>
      <c r="U789" s="340"/>
      <c r="V789" s="340"/>
      <c r="W789" s="340"/>
      <c r="X789" s="340"/>
      <c r="Y789" s="340"/>
      <c r="Z789" s="340"/>
    </row>
    <row r="790" ht="15.75" customHeight="1">
      <c r="A790" s="340"/>
      <c r="B790" s="340"/>
      <c r="C790" s="340"/>
      <c r="D790" s="340"/>
      <c r="E790" s="340"/>
      <c r="F790" s="340"/>
      <c r="G790" s="340"/>
      <c r="H790" s="340"/>
      <c r="I790" s="340"/>
      <c r="J790" s="340"/>
      <c r="K790" s="340"/>
      <c r="L790" s="340"/>
      <c r="M790" s="340"/>
      <c r="N790" s="340"/>
      <c r="O790" s="340"/>
      <c r="P790" s="340"/>
      <c r="Q790" s="340"/>
      <c r="R790" s="340"/>
      <c r="S790" s="340"/>
      <c r="T790" s="340"/>
      <c r="U790" s="340"/>
      <c r="V790" s="340"/>
      <c r="W790" s="340"/>
      <c r="X790" s="340"/>
      <c r="Y790" s="340"/>
      <c r="Z790" s="340"/>
    </row>
    <row r="791" ht="15.75" customHeight="1">
      <c r="A791" s="340"/>
      <c r="B791" s="340"/>
      <c r="C791" s="340"/>
      <c r="D791" s="340"/>
      <c r="E791" s="340"/>
      <c r="F791" s="340"/>
      <c r="G791" s="340"/>
      <c r="H791" s="340"/>
      <c r="I791" s="340"/>
      <c r="J791" s="340"/>
      <c r="K791" s="340"/>
      <c r="L791" s="340"/>
      <c r="M791" s="340"/>
      <c r="N791" s="340"/>
      <c r="O791" s="340"/>
      <c r="P791" s="340"/>
      <c r="Q791" s="340"/>
      <c r="R791" s="340"/>
      <c r="S791" s="340"/>
      <c r="T791" s="340"/>
      <c r="U791" s="340"/>
      <c r="V791" s="340"/>
      <c r="W791" s="340"/>
      <c r="X791" s="340"/>
      <c r="Y791" s="340"/>
      <c r="Z791" s="340"/>
    </row>
    <row r="792" ht="15.75" customHeight="1">
      <c r="A792" s="340"/>
      <c r="B792" s="340"/>
      <c r="C792" s="340"/>
      <c r="D792" s="340"/>
      <c r="E792" s="340"/>
      <c r="F792" s="340"/>
      <c r="G792" s="340"/>
      <c r="H792" s="340"/>
      <c r="I792" s="340"/>
      <c r="J792" s="340"/>
      <c r="K792" s="340"/>
      <c r="L792" s="340"/>
      <c r="M792" s="340"/>
      <c r="N792" s="340"/>
      <c r="O792" s="340"/>
      <c r="P792" s="340"/>
      <c r="Q792" s="340"/>
      <c r="R792" s="340"/>
      <c r="S792" s="340"/>
      <c r="T792" s="340"/>
      <c r="U792" s="340"/>
      <c r="V792" s="340"/>
      <c r="W792" s="340"/>
      <c r="X792" s="340"/>
      <c r="Y792" s="340"/>
      <c r="Z792" s="340"/>
    </row>
    <row r="793" ht="15.75" customHeight="1">
      <c r="A793" s="340"/>
      <c r="B793" s="340"/>
      <c r="C793" s="340"/>
      <c r="D793" s="340"/>
      <c r="E793" s="340"/>
      <c r="F793" s="340"/>
      <c r="G793" s="340"/>
      <c r="H793" s="340"/>
      <c r="I793" s="340"/>
      <c r="J793" s="340"/>
      <c r="K793" s="340"/>
      <c r="L793" s="340"/>
      <c r="M793" s="340"/>
      <c r="N793" s="340"/>
      <c r="O793" s="340"/>
      <c r="P793" s="340"/>
      <c r="Q793" s="340"/>
      <c r="R793" s="340"/>
      <c r="S793" s="340"/>
      <c r="T793" s="340"/>
      <c r="U793" s="340"/>
      <c r="V793" s="340"/>
      <c r="W793" s="340"/>
      <c r="X793" s="340"/>
      <c r="Y793" s="340"/>
      <c r="Z793" s="340"/>
    </row>
    <row r="794" ht="15.75" customHeight="1">
      <c r="A794" s="340"/>
      <c r="B794" s="340"/>
      <c r="C794" s="340"/>
      <c r="D794" s="340"/>
      <c r="E794" s="340"/>
      <c r="F794" s="340"/>
      <c r="G794" s="340"/>
      <c r="H794" s="340"/>
      <c r="I794" s="340"/>
      <c r="J794" s="340"/>
      <c r="K794" s="340"/>
      <c r="L794" s="340"/>
      <c r="M794" s="340"/>
      <c r="N794" s="340"/>
      <c r="O794" s="340"/>
      <c r="P794" s="340"/>
      <c r="Q794" s="340"/>
      <c r="R794" s="340"/>
      <c r="S794" s="340"/>
      <c r="T794" s="340"/>
      <c r="U794" s="340"/>
      <c r="V794" s="340"/>
      <c r="W794" s="340"/>
      <c r="X794" s="340"/>
      <c r="Y794" s="340"/>
      <c r="Z794" s="340"/>
    </row>
    <row r="795" ht="15.75" customHeight="1">
      <c r="A795" s="340"/>
      <c r="B795" s="340"/>
      <c r="C795" s="340"/>
      <c r="D795" s="340"/>
      <c r="E795" s="340"/>
      <c r="F795" s="340"/>
      <c r="G795" s="340"/>
      <c r="H795" s="340"/>
      <c r="I795" s="340"/>
      <c r="J795" s="340"/>
      <c r="K795" s="340"/>
      <c r="L795" s="340"/>
      <c r="M795" s="340"/>
      <c r="N795" s="340"/>
      <c r="O795" s="340"/>
      <c r="P795" s="340"/>
      <c r="Q795" s="340"/>
      <c r="R795" s="340"/>
      <c r="S795" s="340"/>
      <c r="T795" s="340"/>
      <c r="U795" s="340"/>
      <c r="V795" s="340"/>
      <c r="W795" s="340"/>
      <c r="X795" s="340"/>
      <c r="Y795" s="340"/>
      <c r="Z795" s="340"/>
    </row>
    <row r="796" ht="15.75" customHeight="1">
      <c r="A796" s="340"/>
      <c r="B796" s="340"/>
      <c r="C796" s="340"/>
      <c r="D796" s="340"/>
      <c r="E796" s="340"/>
      <c r="F796" s="340"/>
      <c r="G796" s="340"/>
      <c r="H796" s="340"/>
      <c r="I796" s="340"/>
      <c r="J796" s="340"/>
      <c r="K796" s="340"/>
      <c r="L796" s="340"/>
      <c r="M796" s="340"/>
      <c r="N796" s="340"/>
      <c r="O796" s="340"/>
      <c r="P796" s="340"/>
      <c r="Q796" s="340"/>
      <c r="R796" s="340"/>
      <c r="S796" s="340"/>
      <c r="T796" s="340"/>
      <c r="U796" s="340"/>
      <c r="V796" s="340"/>
      <c r="W796" s="340"/>
      <c r="X796" s="340"/>
      <c r="Y796" s="340"/>
      <c r="Z796" s="340"/>
    </row>
    <row r="797" ht="15.75" customHeight="1">
      <c r="A797" s="340"/>
      <c r="B797" s="340"/>
      <c r="C797" s="340"/>
      <c r="D797" s="340"/>
      <c r="E797" s="340"/>
      <c r="F797" s="340"/>
      <c r="G797" s="340"/>
      <c r="H797" s="340"/>
      <c r="I797" s="340"/>
      <c r="J797" s="340"/>
      <c r="K797" s="340"/>
      <c r="L797" s="340"/>
      <c r="M797" s="340"/>
      <c r="N797" s="340"/>
      <c r="O797" s="340"/>
      <c r="P797" s="340"/>
      <c r="Q797" s="340"/>
      <c r="R797" s="340"/>
      <c r="S797" s="340"/>
      <c r="T797" s="340"/>
      <c r="U797" s="340"/>
      <c r="V797" s="340"/>
      <c r="W797" s="340"/>
      <c r="X797" s="340"/>
      <c r="Y797" s="340"/>
      <c r="Z797" s="340"/>
    </row>
    <row r="798" ht="15.75" customHeight="1">
      <c r="A798" s="340"/>
      <c r="B798" s="340"/>
      <c r="C798" s="340"/>
      <c r="D798" s="340"/>
      <c r="E798" s="340"/>
      <c r="F798" s="340"/>
      <c r="G798" s="340"/>
      <c r="H798" s="340"/>
      <c r="I798" s="340"/>
      <c r="J798" s="340"/>
      <c r="K798" s="340"/>
      <c r="L798" s="340"/>
      <c r="M798" s="340"/>
      <c r="N798" s="340"/>
      <c r="O798" s="340"/>
      <c r="P798" s="340"/>
      <c r="Q798" s="340"/>
      <c r="R798" s="340"/>
      <c r="S798" s="340"/>
      <c r="T798" s="340"/>
      <c r="U798" s="340"/>
      <c r="V798" s="340"/>
      <c r="W798" s="340"/>
      <c r="X798" s="340"/>
      <c r="Y798" s="340"/>
      <c r="Z798" s="340"/>
    </row>
    <row r="799" ht="15.75" customHeight="1">
      <c r="A799" s="340"/>
      <c r="B799" s="340"/>
      <c r="C799" s="340"/>
      <c r="D799" s="340"/>
      <c r="E799" s="340"/>
      <c r="F799" s="340"/>
      <c r="G799" s="340"/>
      <c r="H799" s="340"/>
      <c r="I799" s="340"/>
      <c r="J799" s="340"/>
      <c r="K799" s="340"/>
      <c r="L799" s="340"/>
      <c r="M799" s="340"/>
      <c r="N799" s="340"/>
      <c r="O799" s="340"/>
      <c r="P799" s="340"/>
      <c r="Q799" s="340"/>
      <c r="R799" s="340"/>
      <c r="S799" s="340"/>
      <c r="T799" s="340"/>
      <c r="U799" s="340"/>
      <c r="V799" s="340"/>
      <c r="W799" s="340"/>
      <c r="X799" s="340"/>
      <c r="Y799" s="340"/>
      <c r="Z799" s="340"/>
    </row>
    <row r="800" ht="15.75" customHeight="1">
      <c r="A800" s="340"/>
      <c r="B800" s="340"/>
      <c r="C800" s="340"/>
      <c r="D800" s="340"/>
      <c r="E800" s="340"/>
      <c r="F800" s="340"/>
      <c r="G800" s="340"/>
      <c r="H800" s="340"/>
      <c r="I800" s="340"/>
      <c r="J800" s="340"/>
      <c r="K800" s="340"/>
      <c r="L800" s="340"/>
      <c r="M800" s="340"/>
      <c r="N800" s="340"/>
      <c r="O800" s="340"/>
      <c r="P800" s="340"/>
      <c r="Q800" s="340"/>
      <c r="R800" s="340"/>
      <c r="S800" s="340"/>
      <c r="T800" s="340"/>
      <c r="U800" s="340"/>
      <c r="V800" s="340"/>
      <c r="W800" s="340"/>
      <c r="X800" s="340"/>
      <c r="Y800" s="340"/>
      <c r="Z800" s="340"/>
    </row>
    <row r="801" ht="15.75" customHeight="1">
      <c r="A801" s="340"/>
      <c r="B801" s="340"/>
      <c r="C801" s="340"/>
      <c r="D801" s="340"/>
      <c r="E801" s="340"/>
      <c r="F801" s="340"/>
      <c r="G801" s="340"/>
      <c r="H801" s="340"/>
      <c r="I801" s="340"/>
      <c r="J801" s="340"/>
      <c r="K801" s="340"/>
      <c r="L801" s="340"/>
      <c r="M801" s="340"/>
      <c r="N801" s="340"/>
      <c r="O801" s="340"/>
      <c r="P801" s="340"/>
      <c r="Q801" s="340"/>
      <c r="R801" s="340"/>
      <c r="S801" s="340"/>
      <c r="T801" s="340"/>
      <c r="U801" s="340"/>
      <c r="V801" s="340"/>
      <c r="W801" s="340"/>
      <c r="X801" s="340"/>
      <c r="Y801" s="340"/>
      <c r="Z801" s="340"/>
    </row>
    <row r="802" ht="15.75" customHeight="1">
      <c r="A802" s="340"/>
      <c r="B802" s="340"/>
      <c r="C802" s="340"/>
      <c r="D802" s="340"/>
      <c r="E802" s="340"/>
      <c r="F802" s="340"/>
      <c r="G802" s="340"/>
      <c r="H802" s="340"/>
      <c r="I802" s="340"/>
      <c r="J802" s="340"/>
      <c r="K802" s="340"/>
      <c r="L802" s="340"/>
      <c r="M802" s="340"/>
      <c r="N802" s="340"/>
      <c r="O802" s="340"/>
      <c r="P802" s="340"/>
      <c r="Q802" s="340"/>
      <c r="R802" s="340"/>
      <c r="S802" s="340"/>
      <c r="T802" s="340"/>
      <c r="U802" s="340"/>
      <c r="V802" s="340"/>
      <c r="W802" s="340"/>
      <c r="X802" s="340"/>
      <c r="Y802" s="340"/>
      <c r="Z802" s="340"/>
    </row>
    <row r="803" ht="15.75" customHeight="1">
      <c r="A803" s="340"/>
      <c r="B803" s="340"/>
      <c r="C803" s="340"/>
      <c r="D803" s="340"/>
      <c r="E803" s="340"/>
      <c r="F803" s="340"/>
      <c r="G803" s="340"/>
      <c r="H803" s="340"/>
      <c r="I803" s="340"/>
      <c r="J803" s="340"/>
      <c r="K803" s="340"/>
      <c r="L803" s="340"/>
      <c r="M803" s="340"/>
      <c r="N803" s="340"/>
      <c r="O803" s="340"/>
      <c r="P803" s="340"/>
      <c r="Q803" s="340"/>
      <c r="R803" s="340"/>
      <c r="S803" s="340"/>
      <c r="T803" s="340"/>
      <c r="U803" s="340"/>
      <c r="V803" s="340"/>
      <c r="W803" s="340"/>
      <c r="X803" s="340"/>
      <c r="Y803" s="340"/>
      <c r="Z803" s="340"/>
    </row>
    <row r="804" ht="15.75" customHeight="1">
      <c r="A804" s="340"/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N804" s="340"/>
      <c r="O804" s="340"/>
      <c r="P804" s="340"/>
      <c r="Q804" s="340"/>
      <c r="R804" s="340"/>
      <c r="S804" s="340"/>
      <c r="T804" s="340"/>
      <c r="U804" s="340"/>
      <c r="V804" s="340"/>
      <c r="W804" s="340"/>
      <c r="X804" s="340"/>
      <c r="Y804" s="340"/>
      <c r="Z804" s="340"/>
    </row>
    <row r="805" ht="15.75" customHeight="1">
      <c r="A805" s="340"/>
      <c r="B805" s="340"/>
      <c r="C805" s="340"/>
      <c r="D805" s="340"/>
      <c r="E805" s="340"/>
      <c r="F805" s="340"/>
      <c r="G805" s="340"/>
      <c r="H805" s="340"/>
      <c r="I805" s="340"/>
      <c r="J805" s="340"/>
      <c r="K805" s="340"/>
      <c r="L805" s="340"/>
      <c r="M805" s="340"/>
      <c r="N805" s="340"/>
      <c r="O805" s="340"/>
      <c r="P805" s="340"/>
      <c r="Q805" s="340"/>
      <c r="R805" s="340"/>
      <c r="S805" s="340"/>
      <c r="T805" s="340"/>
      <c r="U805" s="340"/>
      <c r="V805" s="340"/>
      <c r="W805" s="340"/>
      <c r="X805" s="340"/>
      <c r="Y805" s="340"/>
      <c r="Z805" s="340"/>
    </row>
    <row r="806" ht="15.75" customHeight="1">
      <c r="A806" s="340"/>
      <c r="B806" s="340"/>
      <c r="C806" s="340"/>
      <c r="D806" s="340"/>
      <c r="E806" s="340"/>
      <c r="F806" s="340"/>
      <c r="G806" s="340"/>
      <c r="H806" s="340"/>
      <c r="I806" s="340"/>
      <c r="J806" s="340"/>
      <c r="K806" s="340"/>
      <c r="L806" s="340"/>
      <c r="M806" s="340"/>
      <c r="N806" s="340"/>
      <c r="O806" s="340"/>
      <c r="P806" s="340"/>
      <c r="Q806" s="340"/>
      <c r="R806" s="340"/>
      <c r="S806" s="340"/>
      <c r="T806" s="340"/>
      <c r="U806" s="340"/>
      <c r="V806" s="340"/>
      <c r="W806" s="340"/>
      <c r="X806" s="340"/>
      <c r="Y806" s="340"/>
      <c r="Z806" s="340"/>
    </row>
    <row r="807" ht="15.75" customHeight="1">
      <c r="A807" s="340"/>
      <c r="B807" s="340"/>
      <c r="C807" s="340"/>
      <c r="D807" s="340"/>
      <c r="E807" s="340"/>
      <c r="F807" s="340"/>
      <c r="G807" s="340"/>
      <c r="H807" s="340"/>
      <c r="I807" s="340"/>
      <c r="J807" s="340"/>
      <c r="K807" s="340"/>
      <c r="L807" s="340"/>
      <c r="M807" s="340"/>
      <c r="N807" s="340"/>
      <c r="O807" s="340"/>
      <c r="P807" s="340"/>
      <c r="Q807" s="340"/>
      <c r="R807" s="340"/>
      <c r="S807" s="340"/>
      <c r="T807" s="340"/>
      <c r="U807" s="340"/>
      <c r="V807" s="340"/>
      <c r="W807" s="340"/>
      <c r="X807" s="340"/>
      <c r="Y807" s="340"/>
      <c r="Z807" s="340"/>
    </row>
    <row r="808" ht="15.75" customHeight="1">
      <c r="A808" s="340"/>
      <c r="B808" s="340"/>
      <c r="C808" s="340"/>
      <c r="D808" s="340"/>
      <c r="E808" s="340"/>
      <c r="F808" s="340"/>
      <c r="G808" s="340"/>
      <c r="H808" s="340"/>
      <c r="I808" s="340"/>
      <c r="J808" s="340"/>
      <c r="K808" s="340"/>
      <c r="L808" s="340"/>
      <c r="M808" s="340"/>
      <c r="N808" s="340"/>
      <c r="O808" s="340"/>
      <c r="P808" s="340"/>
      <c r="Q808" s="340"/>
      <c r="R808" s="340"/>
      <c r="S808" s="340"/>
      <c r="T808" s="340"/>
      <c r="U808" s="340"/>
      <c r="V808" s="340"/>
      <c r="W808" s="340"/>
      <c r="X808" s="340"/>
      <c r="Y808" s="340"/>
      <c r="Z808" s="340"/>
    </row>
    <row r="809" ht="15.75" customHeight="1">
      <c r="A809" s="340"/>
      <c r="B809" s="340"/>
      <c r="C809" s="340"/>
      <c r="D809" s="340"/>
      <c r="E809" s="340"/>
      <c r="F809" s="340"/>
      <c r="G809" s="340"/>
      <c r="H809" s="340"/>
      <c r="I809" s="340"/>
      <c r="J809" s="340"/>
      <c r="K809" s="340"/>
      <c r="L809" s="340"/>
      <c r="M809" s="340"/>
      <c r="N809" s="340"/>
      <c r="O809" s="340"/>
      <c r="P809" s="340"/>
      <c r="Q809" s="340"/>
      <c r="R809" s="340"/>
      <c r="S809" s="340"/>
      <c r="T809" s="340"/>
      <c r="U809" s="340"/>
      <c r="V809" s="340"/>
      <c r="W809" s="340"/>
      <c r="X809" s="340"/>
      <c r="Y809" s="340"/>
      <c r="Z809" s="340"/>
    </row>
    <row r="810" ht="15.75" customHeight="1">
      <c r="A810" s="340"/>
      <c r="B810" s="340"/>
      <c r="C810" s="340"/>
      <c r="D810" s="340"/>
      <c r="E810" s="340"/>
      <c r="F810" s="340"/>
      <c r="G810" s="340"/>
      <c r="H810" s="340"/>
      <c r="I810" s="340"/>
      <c r="J810" s="340"/>
      <c r="K810" s="340"/>
      <c r="L810" s="340"/>
      <c r="M810" s="340"/>
      <c r="N810" s="340"/>
      <c r="O810" s="340"/>
      <c r="P810" s="340"/>
      <c r="Q810" s="340"/>
      <c r="R810" s="340"/>
      <c r="S810" s="340"/>
      <c r="T810" s="340"/>
      <c r="U810" s="340"/>
      <c r="V810" s="340"/>
      <c r="W810" s="340"/>
      <c r="X810" s="340"/>
      <c r="Y810" s="340"/>
      <c r="Z810" s="340"/>
    </row>
    <row r="811" ht="15.75" customHeight="1">
      <c r="A811" s="340"/>
      <c r="B811" s="340"/>
      <c r="C811" s="340"/>
      <c r="D811" s="340"/>
      <c r="E811" s="340"/>
      <c r="F811" s="340"/>
      <c r="G811" s="340"/>
      <c r="H811" s="340"/>
      <c r="I811" s="340"/>
      <c r="J811" s="340"/>
      <c r="K811" s="340"/>
      <c r="L811" s="340"/>
      <c r="M811" s="340"/>
      <c r="N811" s="340"/>
      <c r="O811" s="340"/>
      <c r="P811" s="340"/>
      <c r="Q811" s="340"/>
      <c r="R811" s="340"/>
      <c r="S811" s="340"/>
      <c r="T811" s="340"/>
      <c r="U811" s="340"/>
      <c r="V811" s="340"/>
      <c r="W811" s="340"/>
      <c r="X811" s="340"/>
      <c r="Y811" s="340"/>
      <c r="Z811" s="340"/>
    </row>
    <row r="812" ht="15.75" customHeight="1">
      <c r="A812" s="340"/>
      <c r="B812" s="340"/>
      <c r="C812" s="340"/>
      <c r="D812" s="340"/>
      <c r="E812" s="340"/>
      <c r="F812" s="340"/>
      <c r="G812" s="340"/>
      <c r="H812" s="340"/>
      <c r="I812" s="340"/>
      <c r="J812" s="340"/>
      <c r="K812" s="340"/>
      <c r="L812" s="340"/>
      <c r="M812" s="340"/>
      <c r="N812" s="340"/>
      <c r="O812" s="340"/>
      <c r="P812" s="340"/>
      <c r="Q812" s="340"/>
      <c r="R812" s="340"/>
      <c r="S812" s="340"/>
      <c r="T812" s="340"/>
      <c r="U812" s="340"/>
      <c r="V812" s="340"/>
      <c r="W812" s="340"/>
      <c r="X812" s="340"/>
      <c r="Y812" s="340"/>
      <c r="Z812" s="340"/>
    </row>
    <row r="813" ht="15.75" customHeight="1">
      <c r="A813" s="340"/>
      <c r="B813" s="340"/>
      <c r="C813" s="340"/>
      <c r="D813" s="340"/>
      <c r="E813" s="340"/>
      <c r="F813" s="340"/>
      <c r="G813" s="340"/>
      <c r="H813" s="340"/>
      <c r="I813" s="340"/>
      <c r="J813" s="340"/>
      <c r="K813" s="340"/>
      <c r="L813" s="340"/>
      <c r="M813" s="340"/>
      <c r="N813" s="340"/>
      <c r="O813" s="340"/>
      <c r="P813" s="340"/>
      <c r="Q813" s="340"/>
      <c r="R813" s="340"/>
      <c r="S813" s="340"/>
      <c r="T813" s="340"/>
      <c r="U813" s="340"/>
      <c r="V813" s="340"/>
      <c r="W813" s="340"/>
      <c r="X813" s="340"/>
      <c r="Y813" s="340"/>
      <c r="Z813" s="340"/>
    </row>
    <row r="814" ht="15.75" customHeight="1">
      <c r="A814" s="340"/>
      <c r="B814" s="340"/>
      <c r="C814" s="340"/>
      <c r="D814" s="340"/>
      <c r="E814" s="340"/>
      <c r="F814" s="340"/>
      <c r="G814" s="340"/>
      <c r="H814" s="340"/>
      <c r="I814" s="340"/>
      <c r="J814" s="340"/>
      <c r="K814" s="340"/>
      <c r="L814" s="340"/>
      <c r="M814" s="340"/>
      <c r="N814" s="340"/>
      <c r="O814" s="340"/>
      <c r="P814" s="340"/>
      <c r="Q814" s="340"/>
      <c r="R814" s="340"/>
      <c r="S814" s="340"/>
      <c r="T814" s="340"/>
      <c r="U814" s="340"/>
      <c r="V814" s="340"/>
      <c r="W814" s="340"/>
      <c r="X814" s="340"/>
      <c r="Y814" s="340"/>
      <c r="Z814" s="340"/>
    </row>
    <row r="815" ht="15.75" customHeight="1">
      <c r="A815" s="340"/>
      <c r="B815" s="340"/>
      <c r="C815" s="340"/>
      <c r="D815" s="340"/>
      <c r="E815" s="340"/>
      <c r="F815" s="340"/>
      <c r="G815" s="340"/>
      <c r="H815" s="340"/>
      <c r="I815" s="340"/>
      <c r="J815" s="340"/>
      <c r="K815" s="340"/>
      <c r="L815" s="340"/>
      <c r="M815" s="340"/>
      <c r="N815" s="340"/>
      <c r="O815" s="340"/>
      <c r="P815" s="340"/>
      <c r="Q815" s="340"/>
      <c r="R815" s="340"/>
      <c r="S815" s="340"/>
      <c r="T815" s="340"/>
      <c r="U815" s="340"/>
      <c r="V815" s="340"/>
      <c r="W815" s="340"/>
      <c r="X815" s="340"/>
      <c r="Y815" s="340"/>
      <c r="Z815" s="340"/>
    </row>
    <row r="816" ht="15.75" customHeight="1">
      <c r="A816" s="340"/>
      <c r="B816" s="340"/>
      <c r="C816" s="340"/>
      <c r="D816" s="340"/>
      <c r="E816" s="340"/>
      <c r="F816" s="340"/>
      <c r="G816" s="340"/>
      <c r="H816" s="340"/>
      <c r="I816" s="340"/>
      <c r="J816" s="340"/>
      <c r="K816" s="340"/>
      <c r="L816" s="340"/>
      <c r="M816" s="340"/>
      <c r="N816" s="340"/>
      <c r="O816" s="340"/>
      <c r="P816" s="340"/>
      <c r="Q816" s="340"/>
      <c r="R816" s="340"/>
      <c r="S816" s="340"/>
      <c r="T816" s="340"/>
      <c r="U816" s="340"/>
      <c r="V816" s="340"/>
      <c r="W816" s="340"/>
      <c r="X816" s="340"/>
      <c r="Y816" s="340"/>
      <c r="Z816" s="340"/>
    </row>
    <row r="817" ht="15.75" customHeight="1">
      <c r="A817" s="340"/>
      <c r="B817" s="340"/>
      <c r="C817" s="340"/>
      <c r="D817" s="340"/>
      <c r="E817" s="340"/>
      <c r="F817" s="340"/>
      <c r="G817" s="340"/>
      <c r="H817" s="340"/>
      <c r="I817" s="340"/>
      <c r="J817" s="340"/>
      <c r="K817" s="340"/>
      <c r="L817" s="340"/>
      <c r="M817" s="340"/>
      <c r="N817" s="340"/>
      <c r="O817" s="340"/>
      <c r="P817" s="340"/>
      <c r="Q817" s="340"/>
      <c r="R817" s="340"/>
      <c r="S817" s="340"/>
      <c r="T817" s="340"/>
      <c r="U817" s="340"/>
      <c r="V817" s="340"/>
      <c r="W817" s="340"/>
      <c r="X817" s="340"/>
      <c r="Y817" s="340"/>
      <c r="Z817" s="340"/>
    </row>
    <row r="818" ht="15.75" customHeight="1">
      <c r="A818" s="340"/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40"/>
      <c r="M818" s="340"/>
      <c r="N818" s="340"/>
      <c r="O818" s="340"/>
      <c r="P818" s="340"/>
      <c r="Q818" s="340"/>
      <c r="R818" s="340"/>
      <c r="S818" s="340"/>
      <c r="T818" s="340"/>
      <c r="U818" s="340"/>
      <c r="V818" s="340"/>
      <c r="W818" s="340"/>
      <c r="X818" s="340"/>
      <c r="Y818" s="340"/>
      <c r="Z818" s="340"/>
    </row>
    <row r="819" ht="15.75" customHeight="1">
      <c r="A819" s="340"/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40"/>
      <c r="M819" s="340"/>
      <c r="N819" s="340"/>
      <c r="O819" s="340"/>
      <c r="P819" s="340"/>
      <c r="Q819" s="340"/>
      <c r="R819" s="340"/>
      <c r="S819" s="340"/>
      <c r="T819" s="340"/>
      <c r="U819" s="340"/>
      <c r="V819" s="340"/>
      <c r="W819" s="340"/>
      <c r="X819" s="340"/>
      <c r="Y819" s="340"/>
      <c r="Z819" s="340"/>
    </row>
    <row r="820" ht="15.75" customHeight="1">
      <c r="A820" s="340"/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40"/>
      <c r="M820" s="340"/>
      <c r="N820" s="340"/>
      <c r="O820" s="340"/>
      <c r="P820" s="340"/>
      <c r="Q820" s="340"/>
      <c r="R820" s="340"/>
      <c r="S820" s="340"/>
      <c r="T820" s="340"/>
      <c r="U820" s="340"/>
      <c r="V820" s="340"/>
      <c r="W820" s="340"/>
      <c r="X820" s="340"/>
      <c r="Y820" s="340"/>
      <c r="Z820" s="340"/>
    </row>
    <row r="821" ht="15.75" customHeight="1">
      <c r="A821" s="340"/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40"/>
      <c r="M821" s="340"/>
      <c r="N821" s="340"/>
      <c r="O821" s="340"/>
      <c r="P821" s="340"/>
      <c r="Q821" s="340"/>
      <c r="R821" s="340"/>
      <c r="S821" s="340"/>
      <c r="T821" s="340"/>
      <c r="U821" s="340"/>
      <c r="V821" s="340"/>
      <c r="W821" s="340"/>
      <c r="X821" s="340"/>
      <c r="Y821" s="340"/>
      <c r="Z821" s="340"/>
    </row>
    <row r="822" ht="15.75" customHeight="1">
      <c r="A822" s="340"/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40"/>
      <c r="M822" s="340"/>
      <c r="N822" s="340"/>
      <c r="O822" s="340"/>
      <c r="P822" s="340"/>
      <c r="Q822" s="340"/>
      <c r="R822" s="340"/>
      <c r="S822" s="340"/>
      <c r="T822" s="340"/>
      <c r="U822" s="340"/>
      <c r="V822" s="340"/>
      <c r="W822" s="340"/>
      <c r="X822" s="340"/>
      <c r="Y822" s="340"/>
      <c r="Z822" s="340"/>
    </row>
    <row r="823" ht="15.75" customHeight="1">
      <c r="A823" s="340"/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40"/>
      <c r="M823" s="340"/>
      <c r="N823" s="340"/>
      <c r="O823" s="340"/>
      <c r="P823" s="340"/>
      <c r="Q823" s="340"/>
      <c r="R823" s="340"/>
      <c r="S823" s="340"/>
      <c r="T823" s="340"/>
      <c r="U823" s="340"/>
      <c r="V823" s="340"/>
      <c r="W823" s="340"/>
      <c r="X823" s="340"/>
      <c r="Y823" s="340"/>
      <c r="Z823" s="340"/>
    </row>
    <row r="824" ht="15.75" customHeight="1">
      <c r="A824" s="340"/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40"/>
      <c r="M824" s="340"/>
      <c r="N824" s="340"/>
      <c r="O824" s="340"/>
      <c r="P824" s="340"/>
      <c r="Q824" s="340"/>
      <c r="R824" s="340"/>
      <c r="S824" s="340"/>
      <c r="T824" s="340"/>
      <c r="U824" s="340"/>
      <c r="V824" s="340"/>
      <c r="W824" s="340"/>
      <c r="X824" s="340"/>
      <c r="Y824" s="340"/>
      <c r="Z824" s="340"/>
    </row>
    <row r="825" ht="15.75" customHeight="1">
      <c r="A825" s="340"/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40"/>
      <c r="M825" s="340"/>
      <c r="N825" s="340"/>
      <c r="O825" s="340"/>
      <c r="P825" s="340"/>
      <c r="Q825" s="340"/>
      <c r="R825" s="340"/>
      <c r="S825" s="340"/>
      <c r="T825" s="340"/>
      <c r="U825" s="340"/>
      <c r="V825" s="340"/>
      <c r="W825" s="340"/>
      <c r="X825" s="340"/>
      <c r="Y825" s="340"/>
      <c r="Z825" s="340"/>
    </row>
    <row r="826" ht="15.75" customHeight="1">
      <c r="A826" s="340"/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40"/>
      <c r="M826" s="340"/>
      <c r="N826" s="340"/>
      <c r="O826" s="340"/>
      <c r="P826" s="340"/>
      <c r="Q826" s="340"/>
      <c r="R826" s="340"/>
      <c r="S826" s="340"/>
      <c r="T826" s="340"/>
      <c r="U826" s="340"/>
      <c r="V826" s="340"/>
      <c r="W826" s="340"/>
      <c r="X826" s="340"/>
      <c r="Y826" s="340"/>
      <c r="Z826" s="340"/>
    </row>
    <row r="827" ht="15.75" customHeight="1">
      <c r="A827" s="340"/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40"/>
      <c r="M827" s="340"/>
      <c r="N827" s="340"/>
      <c r="O827" s="340"/>
      <c r="P827" s="340"/>
      <c r="Q827" s="340"/>
      <c r="R827" s="340"/>
      <c r="S827" s="340"/>
      <c r="T827" s="340"/>
      <c r="U827" s="340"/>
      <c r="V827" s="340"/>
      <c r="W827" s="340"/>
      <c r="X827" s="340"/>
      <c r="Y827" s="340"/>
      <c r="Z827" s="340"/>
    </row>
    <row r="828" ht="15.75" customHeight="1">
      <c r="A828" s="340"/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40"/>
      <c r="M828" s="340"/>
      <c r="N828" s="340"/>
      <c r="O828" s="340"/>
      <c r="P828" s="340"/>
      <c r="Q828" s="340"/>
      <c r="R828" s="340"/>
      <c r="S828" s="340"/>
      <c r="T828" s="340"/>
      <c r="U828" s="340"/>
      <c r="V828" s="340"/>
      <c r="W828" s="340"/>
      <c r="X828" s="340"/>
      <c r="Y828" s="340"/>
      <c r="Z828" s="340"/>
    </row>
    <row r="829" ht="15.75" customHeight="1">
      <c r="A829" s="340"/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40"/>
      <c r="M829" s="340"/>
      <c r="N829" s="340"/>
      <c r="O829" s="340"/>
      <c r="P829" s="340"/>
      <c r="Q829" s="340"/>
      <c r="R829" s="340"/>
      <c r="S829" s="340"/>
      <c r="T829" s="340"/>
      <c r="U829" s="340"/>
      <c r="V829" s="340"/>
      <c r="W829" s="340"/>
      <c r="X829" s="340"/>
      <c r="Y829" s="340"/>
      <c r="Z829" s="340"/>
    </row>
    <row r="830" ht="15.75" customHeight="1">
      <c r="A830" s="340"/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40"/>
      <c r="M830" s="340"/>
      <c r="N830" s="340"/>
      <c r="O830" s="340"/>
      <c r="P830" s="340"/>
      <c r="Q830" s="340"/>
      <c r="R830" s="340"/>
      <c r="S830" s="340"/>
      <c r="T830" s="340"/>
      <c r="U830" s="340"/>
      <c r="V830" s="340"/>
      <c r="W830" s="340"/>
      <c r="X830" s="340"/>
      <c r="Y830" s="340"/>
      <c r="Z830" s="340"/>
    </row>
    <row r="831" ht="15.75" customHeight="1">
      <c r="A831" s="340"/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40"/>
      <c r="M831" s="340"/>
      <c r="N831" s="340"/>
      <c r="O831" s="340"/>
      <c r="P831" s="340"/>
      <c r="Q831" s="340"/>
      <c r="R831" s="340"/>
      <c r="S831" s="340"/>
      <c r="T831" s="340"/>
      <c r="U831" s="340"/>
      <c r="V831" s="340"/>
      <c r="W831" s="340"/>
      <c r="X831" s="340"/>
      <c r="Y831" s="340"/>
      <c r="Z831" s="340"/>
    </row>
    <row r="832" ht="15.75" customHeight="1">
      <c r="A832" s="340"/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40"/>
      <c r="M832" s="340"/>
      <c r="N832" s="340"/>
      <c r="O832" s="340"/>
      <c r="P832" s="340"/>
      <c r="Q832" s="340"/>
      <c r="R832" s="340"/>
      <c r="S832" s="340"/>
      <c r="T832" s="340"/>
      <c r="U832" s="340"/>
      <c r="V832" s="340"/>
      <c r="W832" s="340"/>
      <c r="X832" s="340"/>
      <c r="Y832" s="340"/>
      <c r="Z832" s="340"/>
    </row>
    <row r="833" ht="15.75" customHeight="1">
      <c r="A833" s="340"/>
      <c r="B833" s="340"/>
      <c r="C833" s="340"/>
      <c r="D833" s="340"/>
      <c r="E833" s="340"/>
      <c r="F833" s="340"/>
      <c r="G833" s="340"/>
      <c r="H833" s="340"/>
      <c r="I833" s="340"/>
      <c r="J833" s="340"/>
      <c r="K833" s="340"/>
      <c r="L833" s="340"/>
      <c r="M833" s="340"/>
      <c r="N833" s="340"/>
      <c r="O833" s="340"/>
      <c r="P833" s="340"/>
      <c r="Q833" s="340"/>
      <c r="R833" s="340"/>
      <c r="S833" s="340"/>
      <c r="T833" s="340"/>
      <c r="U833" s="340"/>
      <c r="V833" s="340"/>
      <c r="W833" s="340"/>
      <c r="X833" s="340"/>
      <c r="Y833" s="340"/>
      <c r="Z833" s="340"/>
    </row>
    <row r="834" ht="15.75" customHeight="1">
      <c r="A834" s="340"/>
      <c r="B834" s="340"/>
      <c r="C834" s="340"/>
      <c r="D834" s="340"/>
      <c r="E834" s="340"/>
      <c r="F834" s="340"/>
      <c r="G834" s="340"/>
      <c r="H834" s="340"/>
      <c r="I834" s="340"/>
      <c r="J834" s="340"/>
      <c r="K834" s="340"/>
      <c r="L834" s="340"/>
      <c r="M834" s="340"/>
      <c r="N834" s="340"/>
      <c r="O834" s="340"/>
      <c r="P834" s="340"/>
      <c r="Q834" s="340"/>
      <c r="R834" s="340"/>
      <c r="S834" s="340"/>
      <c r="T834" s="340"/>
      <c r="U834" s="340"/>
      <c r="V834" s="340"/>
      <c r="W834" s="340"/>
      <c r="X834" s="340"/>
      <c r="Y834" s="340"/>
      <c r="Z834" s="340"/>
    </row>
    <row r="835" ht="15.75" customHeight="1">
      <c r="A835" s="340"/>
      <c r="B835" s="340"/>
      <c r="C835" s="340"/>
      <c r="D835" s="340"/>
      <c r="E835" s="340"/>
      <c r="F835" s="340"/>
      <c r="G835" s="340"/>
      <c r="H835" s="340"/>
      <c r="I835" s="340"/>
      <c r="J835" s="340"/>
      <c r="K835" s="340"/>
      <c r="L835" s="340"/>
      <c r="M835" s="340"/>
      <c r="N835" s="340"/>
      <c r="O835" s="340"/>
      <c r="P835" s="340"/>
      <c r="Q835" s="340"/>
      <c r="R835" s="340"/>
      <c r="S835" s="340"/>
      <c r="T835" s="340"/>
      <c r="U835" s="340"/>
      <c r="V835" s="340"/>
      <c r="W835" s="340"/>
      <c r="X835" s="340"/>
      <c r="Y835" s="340"/>
      <c r="Z835" s="340"/>
    </row>
    <row r="836" ht="15.75" customHeight="1">
      <c r="A836" s="340"/>
      <c r="B836" s="340"/>
      <c r="C836" s="340"/>
      <c r="D836" s="340"/>
      <c r="E836" s="340"/>
      <c r="F836" s="340"/>
      <c r="G836" s="340"/>
      <c r="H836" s="340"/>
      <c r="I836" s="340"/>
      <c r="J836" s="340"/>
      <c r="K836" s="340"/>
      <c r="L836" s="340"/>
      <c r="M836" s="340"/>
      <c r="N836" s="340"/>
      <c r="O836" s="340"/>
      <c r="P836" s="340"/>
      <c r="Q836" s="340"/>
      <c r="R836" s="340"/>
      <c r="S836" s="340"/>
      <c r="T836" s="340"/>
      <c r="U836" s="340"/>
      <c r="V836" s="340"/>
      <c r="W836" s="340"/>
      <c r="X836" s="340"/>
      <c r="Y836" s="340"/>
      <c r="Z836" s="340"/>
    </row>
    <row r="837" ht="15.75" customHeight="1">
      <c r="A837" s="340"/>
      <c r="B837" s="340"/>
      <c r="C837" s="340"/>
      <c r="D837" s="340"/>
      <c r="E837" s="340"/>
      <c r="F837" s="340"/>
      <c r="G837" s="340"/>
      <c r="H837" s="340"/>
      <c r="I837" s="340"/>
      <c r="J837" s="340"/>
      <c r="K837" s="340"/>
      <c r="L837" s="340"/>
      <c r="M837" s="340"/>
      <c r="N837" s="340"/>
      <c r="O837" s="340"/>
      <c r="P837" s="340"/>
      <c r="Q837" s="340"/>
      <c r="R837" s="340"/>
      <c r="S837" s="340"/>
      <c r="T837" s="340"/>
      <c r="U837" s="340"/>
      <c r="V837" s="340"/>
      <c r="W837" s="340"/>
      <c r="X837" s="340"/>
      <c r="Y837" s="340"/>
      <c r="Z837" s="340"/>
    </row>
    <row r="838" ht="15.75" customHeight="1">
      <c r="A838" s="340"/>
      <c r="B838" s="340"/>
      <c r="C838" s="340"/>
      <c r="D838" s="340"/>
      <c r="E838" s="340"/>
      <c r="F838" s="340"/>
      <c r="G838" s="340"/>
      <c r="H838" s="340"/>
      <c r="I838" s="340"/>
      <c r="J838" s="340"/>
      <c r="K838" s="340"/>
      <c r="L838" s="340"/>
      <c r="M838" s="340"/>
      <c r="N838" s="340"/>
      <c r="O838" s="340"/>
      <c r="P838" s="340"/>
      <c r="Q838" s="340"/>
      <c r="R838" s="340"/>
      <c r="S838" s="340"/>
      <c r="T838" s="340"/>
      <c r="U838" s="340"/>
      <c r="V838" s="340"/>
      <c r="W838" s="340"/>
      <c r="X838" s="340"/>
      <c r="Y838" s="340"/>
      <c r="Z838" s="340"/>
    </row>
    <row r="839" ht="15.75" customHeight="1">
      <c r="A839" s="340"/>
      <c r="B839" s="340"/>
      <c r="C839" s="340"/>
      <c r="D839" s="340"/>
      <c r="E839" s="340"/>
      <c r="F839" s="340"/>
      <c r="G839" s="340"/>
      <c r="H839" s="340"/>
      <c r="I839" s="340"/>
      <c r="J839" s="340"/>
      <c r="K839" s="340"/>
      <c r="L839" s="340"/>
      <c r="M839" s="340"/>
      <c r="N839" s="340"/>
      <c r="O839" s="340"/>
      <c r="P839" s="340"/>
      <c r="Q839" s="340"/>
      <c r="R839" s="340"/>
      <c r="S839" s="340"/>
      <c r="T839" s="340"/>
      <c r="U839" s="340"/>
      <c r="V839" s="340"/>
      <c r="W839" s="340"/>
      <c r="X839" s="340"/>
      <c r="Y839" s="340"/>
      <c r="Z839" s="340"/>
    </row>
    <row r="840" ht="15.75" customHeight="1">
      <c r="A840" s="340"/>
      <c r="B840" s="340"/>
      <c r="C840" s="340"/>
      <c r="D840" s="340"/>
      <c r="E840" s="340"/>
      <c r="F840" s="340"/>
      <c r="G840" s="340"/>
      <c r="H840" s="340"/>
      <c r="I840" s="340"/>
      <c r="J840" s="340"/>
      <c r="K840" s="340"/>
      <c r="L840" s="340"/>
      <c r="M840" s="340"/>
      <c r="N840" s="340"/>
      <c r="O840" s="340"/>
      <c r="P840" s="340"/>
      <c r="Q840" s="340"/>
      <c r="R840" s="340"/>
      <c r="S840" s="340"/>
      <c r="T840" s="340"/>
      <c r="U840" s="340"/>
      <c r="V840" s="340"/>
      <c r="W840" s="340"/>
      <c r="X840" s="340"/>
      <c r="Y840" s="340"/>
      <c r="Z840" s="340"/>
    </row>
    <row r="841" ht="15.75" customHeight="1">
      <c r="A841" s="340"/>
      <c r="B841" s="340"/>
      <c r="C841" s="340"/>
      <c r="D841" s="340"/>
      <c r="E841" s="340"/>
      <c r="F841" s="340"/>
      <c r="G841" s="340"/>
      <c r="H841" s="340"/>
      <c r="I841" s="340"/>
      <c r="J841" s="340"/>
      <c r="K841" s="340"/>
      <c r="L841" s="340"/>
      <c r="M841" s="340"/>
      <c r="N841" s="340"/>
      <c r="O841" s="340"/>
      <c r="P841" s="340"/>
      <c r="Q841" s="340"/>
      <c r="R841" s="340"/>
      <c r="S841" s="340"/>
      <c r="T841" s="340"/>
      <c r="U841" s="340"/>
      <c r="V841" s="340"/>
      <c r="W841" s="340"/>
      <c r="X841" s="340"/>
      <c r="Y841" s="340"/>
      <c r="Z841" s="340"/>
    </row>
    <row r="842" ht="15.75" customHeight="1">
      <c r="A842" s="340"/>
      <c r="B842" s="340"/>
      <c r="C842" s="340"/>
      <c r="D842" s="340"/>
      <c r="E842" s="340"/>
      <c r="F842" s="340"/>
      <c r="G842" s="340"/>
      <c r="H842" s="340"/>
      <c r="I842" s="340"/>
      <c r="J842" s="340"/>
      <c r="K842" s="340"/>
      <c r="L842" s="340"/>
      <c r="M842" s="340"/>
      <c r="N842" s="340"/>
      <c r="O842" s="340"/>
      <c r="P842" s="340"/>
      <c r="Q842" s="340"/>
      <c r="R842" s="340"/>
      <c r="S842" s="340"/>
      <c r="T842" s="340"/>
      <c r="U842" s="340"/>
      <c r="V842" s="340"/>
      <c r="W842" s="340"/>
      <c r="X842" s="340"/>
      <c r="Y842" s="340"/>
      <c r="Z842" s="340"/>
    </row>
    <row r="843" ht="15.75" customHeight="1">
      <c r="A843" s="340"/>
      <c r="B843" s="340"/>
      <c r="C843" s="340"/>
      <c r="D843" s="340"/>
      <c r="E843" s="340"/>
      <c r="F843" s="340"/>
      <c r="G843" s="340"/>
      <c r="H843" s="340"/>
      <c r="I843" s="340"/>
      <c r="J843" s="340"/>
      <c r="K843" s="340"/>
      <c r="L843" s="340"/>
      <c r="M843" s="340"/>
      <c r="N843" s="340"/>
      <c r="O843" s="340"/>
      <c r="P843" s="340"/>
      <c r="Q843" s="340"/>
      <c r="R843" s="340"/>
      <c r="S843" s="340"/>
      <c r="T843" s="340"/>
      <c r="U843" s="340"/>
      <c r="V843" s="340"/>
      <c r="W843" s="340"/>
      <c r="X843" s="340"/>
      <c r="Y843" s="340"/>
      <c r="Z843" s="340"/>
    </row>
    <row r="844" ht="15.75" customHeight="1">
      <c r="A844" s="340"/>
      <c r="B844" s="340"/>
      <c r="C844" s="340"/>
      <c r="D844" s="340"/>
      <c r="E844" s="340"/>
      <c r="F844" s="340"/>
      <c r="G844" s="340"/>
      <c r="H844" s="340"/>
      <c r="I844" s="340"/>
      <c r="J844" s="340"/>
      <c r="K844" s="340"/>
      <c r="L844" s="340"/>
      <c r="M844" s="340"/>
      <c r="N844" s="340"/>
      <c r="O844" s="340"/>
      <c r="P844" s="340"/>
      <c r="Q844" s="340"/>
      <c r="R844" s="340"/>
      <c r="S844" s="340"/>
      <c r="T844" s="340"/>
      <c r="U844" s="340"/>
      <c r="V844" s="340"/>
      <c r="W844" s="340"/>
      <c r="X844" s="340"/>
      <c r="Y844" s="340"/>
      <c r="Z844" s="340"/>
    </row>
    <row r="845" ht="15.75" customHeight="1">
      <c r="A845" s="340"/>
      <c r="B845" s="340"/>
      <c r="C845" s="340"/>
      <c r="D845" s="340"/>
      <c r="E845" s="340"/>
      <c r="F845" s="340"/>
      <c r="G845" s="340"/>
      <c r="H845" s="340"/>
      <c r="I845" s="340"/>
      <c r="J845" s="340"/>
      <c r="K845" s="340"/>
      <c r="L845" s="340"/>
      <c r="M845" s="340"/>
      <c r="N845" s="340"/>
      <c r="O845" s="340"/>
      <c r="P845" s="340"/>
      <c r="Q845" s="340"/>
      <c r="R845" s="340"/>
      <c r="S845" s="340"/>
      <c r="T845" s="340"/>
      <c r="U845" s="340"/>
      <c r="V845" s="340"/>
      <c r="W845" s="340"/>
      <c r="X845" s="340"/>
      <c r="Y845" s="340"/>
      <c r="Z845" s="340"/>
    </row>
    <row r="846" ht="15.75" customHeight="1">
      <c r="A846" s="340"/>
      <c r="B846" s="340"/>
      <c r="C846" s="340"/>
      <c r="D846" s="340"/>
      <c r="E846" s="340"/>
      <c r="F846" s="340"/>
      <c r="G846" s="340"/>
      <c r="H846" s="340"/>
      <c r="I846" s="340"/>
      <c r="J846" s="340"/>
      <c r="K846" s="340"/>
      <c r="L846" s="340"/>
      <c r="M846" s="340"/>
      <c r="N846" s="340"/>
      <c r="O846" s="340"/>
      <c r="P846" s="340"/>
      <c r="Q846" s="340"/>
      <c r="R846" s="340"/>
      <c r="S846" s="340"/>
      <c r="T846" s="340"/>
      <c r="U846" s="340"/>
      <c r="V846" s="340"/>
      <c r="W846" s="340"/>
      <c r="X846" s="340"/>
      <c r="Y846" s="340"/>
      <c r="Z846" s="340"/>
    </row>
    <row r="847" ht="15.75" customHeight="1">
      <c r="A847" s="340"/>
      <c r="B847" s="340"/>
      <c r="C847" s="340"/>
      <c r="D847" s="340"/>
      <c r="E847" s="340"/>
      <c r="F847" s="340"/>
      <c r="G847" s="340"/>
      <c r="H847" s="340"/>
      <c r="I847" s="340"/>
      <c r="J847" s="340"/>
      <c r="K847" s="340"/>
      <c r="L847" s="340"/>
      <c r="M847" s="340"/>
      <c r="N847" s="340"/>
      <c r="O847" s="340"/>
      <c r="P847" s="340"/>
      <c r="Q847" s="340"/>
      <c r="R847" s="340"/>
      <c r="S847" s="340"/>
      <c r="T847" s="340"/>
      <c r="U847" s="340"/>
      <c r="V847" s="340"/>
      <c r="W847" s="340"/>
      <c r="X847" s="340"/>
      <c r="Y847" s="340"/>
      <c r="Z847" s="340"/>
    </row>
    <row r="848" ht="15.75" customHeight="1">
      <c r="A848" s="340"/>
      <c r="B848" s="340"/>
      <c r="C848" s="340"/>
      <c r="D848" s="340"/>
      <c r="E848" s="340"/>
      <c r="F848" s="340"/>
      <c r="G848" s="340"/>
      <c r="H848" s="340"/>
      <c r="I848" s="340"/>
      <c r="J848" s="340"/>
      <c r="K848" s="340"/>
      <c r="L848" s="340"/>
      <c r="M848" s="340"/>
      <c r="N848" s="340"/>
      <c r="O848" s="340"/>
      <c r="P848" s="340"/>
      <c r="Q848" s="340"/>
      <c r="R848" s="340"/>
      <c r="S848" s="340"/>
      <c r="T848" s="340"/>
      <c r="U848" s="340"/>
      <c r="V848" s="340"/>
      <c r="W848" s="340"/>
      <c r="X848" s="340"/>
      <c r="Y848" s="340"/>
      <c r="Z848" s="340"/>
    </row>
    <row r="849" ht="15.75" customHeight="1">
      <c r="A849" s="340"/>
      <c r="B849" s="340"/>
      <c r="C849" s="340"/>
      <c r="D849" s="340"/>
      <c r="E849" s="340"/>
      <c r="F849" s="340"/>
      <c r="G849" s="340"/>
      <c r="H849" s="340"/>
      <c r="I849" s="340"/>
      <c r="J849" s="340"/>
      <c r="K849" s="340"/>
      <c r="L849" s="340"/>
      <c r="M849" s="340"/>
      <c r="N849" s="340"/>
      <c r="O849" s="340"/>
      <c r="P849" s="340"/>
      <c r="Q849" s="340"/>
      <c r="R849" s="340"/>
      <c r="S849" s="340"/>
      <c r="T849" s="340"/>
      <c r="U849" s="340"/>
      <c r="V849" s="340"/>
      <c r="W849" s="340"/>
      <c r="X849" s="340"/>
      <c r="Y849" s="340"/>
      <c r="Z849" s="340"/>
    </row>
    <row r="850" ht="15.75" customHeight="1">
      <c r="A850" s="340"/>
      <c r="B850" s="340"/>
      <c r="C850" s="340"/>
      <c r="D850" s="340"/>
      <c r="E850" s="340"/>
      <c r="F850" s="340"/>
      <c r="G850" s="340"/>
      <c r="H850" s="340"/>
      <c r="I850" s="340"/>
      <c r="J850" s="340"/>
      <c r="K850" s="340"/>
      <c r="L850" s="340"/>
      <c r="M850" s="340"/>
      <c r="N850" s="340"/>
      <c r="O850" s="340"/>
      <c r="P850" s="340"/>
      <c r="Q850" s="340"/>
      <c r="R850" s="340"/>
      <c r="S850" s="340"/>
      <c r="T850" s="340"/>
      <c r="U850" s="340"/>
      <c r="V850" s="340"/>
      <c r="W850" s="340"/>
      <c r="X850" s="340"/>
      <c r="Y850" s="340"/>
      <c r="Z850" s="340"/>
    </row>
    <row r="851" ht="15.75" customHeight="1">
      <c r="A851" s="340"/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40"/>
      <c r="M851" s="340"/>
      <c r="N851" s="340"/>
      <c r="O851" s="340"/>
      <c r="P851" s="340"/>
      <c r="Q851" s="340"/>
      <c r="R851" s="340"/>
      <c r="S851" s="340"/>
      <c r="T851" s="340"/>
      <c r="U851" s="340"/>
      <c r="V851" s="340"/>
      <c r="W851" s="340"/>
      <c r="X851" s="340"/>
      <c r="Y851" s="340"/>
      <c r="Z851" s="340"/>
    </row>
    <row r="852" ht="15.75" customHeight="1">
      <c r="A852" s="340"/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40"/>
      <c r="M852" s="340"/>
      <c r="N852" s="340"/>
      <c r="O852" s="340"/>
      <c r="P852" s="340"/>
      <c r="Q852" s="340"/>
      <c r="R852" s="340"/>
      <c r="S852" s="340"/>
      <c r="T852" s="340"/>
      <c r="U852" s="340"/>
      <c r="V852" s="340"/>
      <c r="W852" s="340"/>
      <c r="X852" s="340"/>
      <c r="Y852" s="340"/>
      <c r="Z852" s="340"/>
    </row>
    <row r="853" ht="15.75" customHeight="1">
      <c r="A853" s="340"/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40"/>
      <c r="M853" s="340"/>
      <c r="N853" s="340"/>
      <c r="O853" s="340"/>
      <c r="P853" s="340"/>
      <c r="Q853" s="340"/>
      <c r="R853" s="340"/>
      <c r="S853" s="340"/>
      <c r="T853" s="340"/>
      <c r="U853" s="340"/>
      <c r="V853" s="340"/>
      <c r="W853" s="340"/>
      <c r="X853" s="340"/>
      <c r="Y853" s="340"/>
      <c r="Z853" s="340"/>
    </row>
    <row r="854" ht="15.75" customHeight="1">
      <c r="A854" s="340"/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40"/>
      <c r="M854" s="340"/>
      <c r="N854" s="340"/>
      <c r="O854" s="340"/>
      <c r="P854" s="340"/>
      <c r="Q854" s="340"/>
      <c r="R854" s="340"/>
      <c r="S854" s="340"/>
      <c r="T854" s="340"/>
      <c r="U854" s="340"/>
      <c r="V854" s="340"/>
      <c r="W854" s="340"/>
      <c r="X854" s="340"/>
      <c r="Y854" s="340"/>
      <c r="Z854" s="340"/>
    </row>
    <row r="855" ht="15.75" customHeight="1">
      <c r="A855" s="340"/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40"/>
      <c r="M855" s="340"/>
      <c r="N855" s="340"/>
      <c r="O855" s="340"/>
      <c r="P855" s="340"/>
      <c r="Q855" s="340"/>
      <c r="R855" s="340"/>
      <c r="S855" s="340"/>
      <c r="T855" s="340"/>
      <c r="U855" s="340"/>
      <c r="V855" s="340"/>
      <c r="W855" s="340"/>
      <c r="X855" s="340"/>
      <c r="Y855" s="340"/>
      <c r="Z855" s="340"/>
    </row>
    <row r="856" ht="15.75" customHeight="1">
      <c r="A856" s="340"/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40"/>
      <c r="M856" s="340"/>
      <c r="N856" s="340"/>
      <c r="O856" s="340"/>
      <c r="P856" s="340"/>
      <c r="Q856" s="340"/>
      <c r="R856" s="340"/>
      <c r="S856" s="340"/>
      <c r="T856" s="340"/>
      <c r="U856" s="340"/>
      <c r="V856" s="340"/>
      <c r="W856" s="340"/>
      <c r="X856" s="340"/>
      <c r="Y856" s="340"/>
      <c r="Z856" s="340"/>
    </row>
    <row r="857" ht="15.75" customHeight="1">
      <c r="A857" s="340"/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40"/>
      <c r="M857" s="340"/>
      <c r="N857" s="340"/>
      <c r="O857" s="340"/>
      <c r="P857" s="340"/>
      <c r="Q857" s="340"/>
      <c r="R857" s="340"/>
      <c r="S857" s="340"/>
      <c r="T857" s="340"/>
      <c r="U857" s="340"/>
      <c r="V857" s="340"/>
      <c r="W857" s="340"/>
      <c r="X857" s="340"/>
      <c r="Y857" s="340"/>
      <c r="Z857" s="340"/>
    </row>
    <row r="858" ht="15.75" customHeight="1">
      <c r="A858" s="340"/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40"/>
      <c r="M858" s="340"/>
      <c r="N858" s="340"/>
      <c r="O858" s="340"/>
      <c r="P858" s="340"/>
      <c r="Q858" s="340"/>
      <c r="R858" s="340"/>
      <c r="S858" s="340"/>
      <c r="T858" s="340"/>
      <c r="U858" s="340"/>
      <c r="V858" s="340"/>
      <c r="W858" s="340"/>
      <c r="X858" s="340"/>
      <c r="Y858" s="340"/>
      <c r="Z858" s="340"/>
    </row>
    <row r="859" ht="15.75" customHeight="1">
      <c r="A859" s="340"/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40"/>
      <c r="M859" s="340"/>
      <c r="N859" s="340"/>
      <c r="O859" s="340"/>
      <c r="P859" s="340"/>
      <c r="Q859" s="340"/>
      <c r="R859" s="340"/>
      <c r="S859" s="340"/>
      <c r="T859" s="340"/>
      <c r="U859" s="340"/>
      <c r="V859" s="340"/>
      <c r="W859" s="340"/>
      <c r="X859" s="340"/>
      <c r="Y859" s="340"/>
      <c r="Z859" s="340"/>
    </row>
    <row r="860" ht="15.75" customHeight="1">
      <c r="A860" s="340"/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40"/>
      <c r="M860" s="340"/>
      <c r="N860" s="340"/>
      <c r="O860" s="340"/>
      <c r="P860" s="340"/>
      <c r="Q860" s="340"/>
      <c r="R860" s="340"/>
      <c r="S860" s="340"/>
      <c r="T860" s="340"/>
      <c r="U860" s="340"/>
      <c r="V860" s="340"/>
      <c r="W860" s="340"/>
      <c r="X860" s="340"/>
      <c r="Y860" s="340"/>
      <c r="Z860" s="340"/>
    </row>
    <row r="861" ht="15.75" customHeight="1">
      <c r="A861" s="340"/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40"/>
      <c r="M861" s="340"/>
      <c r="N861" s="340"/>
      <c r="O861" s="340"/>
      <c r="P861" s="340"/>
      <c r="Q861" s="340"/>
      <c r="R861" s="340"/>
      <c r="S861" s="340"/>
      <c r="T861" s="340"/>
      <c r="U861" s="340"/>
      <c r="V861" s="340"/>
      <c r="W861" s="340"/>
      <c r="X861" s="340"/>
      <c r="Y861" s="340"/>
      <c r="Z861" s="340"/>
    </row>
    <row r="862" ht="15.75" customHeight="1">
      <c r="A862" s="340"/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40"/>
      <c r="M862" s="340"/>
      <c r="N862" s="340"/>
      <c r="O862" s="340"/>
      <c r="P862" s="340"/>
      <c r="Q862" s="340"/>
      <c r="R862" s="340"/>
      <c r="S862" s="340"/>
      <c r="T862" s="340"/>
      <c r="U862" s="340"/>
      <c r="V862" s="340"/>
      <c r="W862" s="340"/>
      <c r="X862" s="340"/>
      <c r="Y862" s="340"/>
      <c r="Z862" s="340"/>
    </row>
    <row r="863" ht="15.75" customHeight="1">
      <c r="A863" s="340"/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40"/>
      <c r="M863" s="340"/>
      <c r="N863" s="340"/>
      <c r="O863" s="340"/>
      <c r="P863" s="340"/>
      <c r="Q863" s="340"/>
      <c r="R863" s="340"/>
      <c r="S863" s="340"/>
      <c r="T863" s="340"/>
      <c r="U863" s="340"/>
      <c r="V863" s="340"/>
      <c r="W863" s="340"/>
      <c r="X863" s="340"/>
      <c r="Y863" s="340"/>
      <c r="Z863" s="340"/>
    </row>
    <row r="864" ht="15.75" customHeight="1">
      <c r="A864" s="340"/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40"/>
      <c r="M864" s="340"/>
      <c r="N864" s="340"/>
      <c r="O864" s="340"/>
      <c r="P864" s="340"/>
      <c r="Q864" s="340"/>
      <c r="R864" s="340"/>
      <c r="S864" s="340"/>
      <c r="T864" s="340"/>
      <c r="U864" s="340"/>
      <c r="V864" s="340"/>
      <c r="W864" s="340"/>
      <c r="X864" s="340"/>
      <c r="Y864" s="340"/>
      <c r="Z864" s="340"/>
    </row>
    <row r="865" ht="15.75" customHeight="1">
      <c r="A865" s="340"/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40"/>
      <c r="M865" s="340"/>
      <c r="N865" s="340"/>
      <c r="O865" s="340"/>
      <c r="P865" s="340"/>
      <c r="Q865" s="340"/>
      <c r="R865" s="340"/>
      <c r="S865" s="340"/>
      <c r="T865" s="340"/>
      <c r="U865" s="340"/>
      <c r="V865" s="340"/>
      <c r="W865" s="340"/>
      <c r="X865" s="340"/>
      <c r="Y865" s="340"/>
      <c r="Z865" s="340"/>
    </row>
    <row r="866" ht="15.75" customHeight="1">
      <c r="A866" s="340"/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40"/>
      <c r="M866" s="340"/>
      <c r="N866" s="340"/>
      <c r="O866" s="340"/>
      <c r="P866" s="340"/>
      <c r="Q866" s="340"/>
      <c r="R866" s="340"/>
      <c r="S866" s="340"/>
      <c r="T866" s="340"/>
      <c r="U866" s="340"/>
      <c r="V866" s="340"/>
      <c r="W866" s="340"/>
      <c r="X866" s="340"/>
      <c r="Y866" s="340"/>
      <c r="Z866" s="340"/>
    </row>
    <row r="867" ht="15.75" customHeight="1">
      <c r="A867" s="340"/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40"/>
      <c r="M867" s="340"/>
      <c r="N867" s="340"/>
      <c r="O867" s="340"/>
      <c r="P867" s="340"/>
      <c r="Q867" s="340"/>
      <c r="R867" s="340"/>
      <c r="S867" s="340"/>
      <c r="T867" s="340"/>
      <c r="U867" s="340"/>
      <c r="V867" s="340"/>
      <c r="W867" s="340"/>
      <c r="X867" s="340"/>
      <c r="Y867" s="340"/>
      <c r="Z867" s="340"/>
    </row>
    <row r="868" ht="15.75" customHeight="1">
      <c r="A868" s="340"/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40"/>
      <c r="M868" s="340"/>
      <c r="N868" s="340"/>
      <c r="O868" s="340"/>
      <c r="P868" s="340"/>
      <c r="Q868" s="340"/>
      <c r="R868" s="340"/>
      <c r="S868" s="340"/>
      <c r="T868" s="340"/>
      <c r="U868" s="340"/>
      <c r="V868" s="340"/>
      <c r="W868" s="340"/>
      <c r="X868" s="340"/>
      <c r="Y868" s="340"/>
      <c r="Z868" s="340"/>
    </row>
    <row r="869" ht="15.75" customHeight="1">
      <c r="A869" s="340"/>
      <c r="B869" s="340"/>
      <c r="C869" s="340"/>
      <c r="D869" s="340"/>
      <c r="E869" s="340"/>
      <c r="F869" s="340"/>
      <c r="G869" s="340"/>
      <c r="H869" s="340"/>
      <c r="I869" s="340"/>
      <c r="J869" s="340"/>
      <c r="K869" s="340"/>
      <c r="L869" s="340"/>
      <c r="M869" s="340"/>
      <c r="N869" s="340"/>
      <c r="O869" s="340"/>
      <c r="P869" s="340"/>
      <c r="Q869" s="340"/>
      <c r="R869" s="340"/>
      <c r="S869" s="340"/>
      <c r="T869" s="340"/>
      <c r="U869" s="340"/>
      <c r="V869" s="340"/>
      <c r="W869" s="340"/>
      <c r="X869" s="340"/>
      <c r="Y869" s="340"/>
      <c r="Z869" s="340"/>
    </row>
    <row r="870" ht="15.75" customHeight="1">
      <c r="A870" s="340"/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40"/>
      <c r="M870" s="340"/>
      <c r="N870" s="340"/>
      <c r="O870" s="340"/>
      <c r="P870" s="340"/>
      <c r="Q870" s="340"/>
      <c r="R870" s="340"/>
      <c r="S870" s="340"/>
      <c r="T870" s="340"/>
      <c r="U870" s="340"/>
      <c r="V870" s="340"/>
      <c r="W870" s="340"/>
      <c r="X870" s="340"/>
      <c r="Y870" s="340"/>
      <c r="Z870" s="340"/>
    </row>
    <row r="871" ht="15.75" customHeight="1">
      <c r="A871" s="340"/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40"/>
      <c r="M871" s="340"/>
      <c r="N871" s="340"/>
      <c r="O871" s="340"/>
      <c r="P871" s="340"/>
      <c r="Q871" s="340"/>
      <c r="R871" s="340"/>
      <c r="S871" s="340"/>
      <c r="T871" s="340"/>
      <c r="U871" s="340"/>
      <c r="V871" s="340"/>
      <c r="W871" s="340"/>
      <c r="X871" s="340"/>
      <c r="Y871" s="340"/>
      <c r="Z871" s="340"/>
    </row>
    <row r="872" ht="15.75" customHeight="1">
      <c r="A872" s="340"/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40"/>
      <c r="M872" s="340"/>
      <c r="N872" s="340"/>
      <c r="O872" s="340"/>
      <c r="P872" s="340"/>
      <c r="Q872" s="340"/>
      <c r="R872" s="340"/>
      <c r="S872" s="340"/>
      <c r="T872" s="340"/>
      <c r="U872" s="340"/>
      <c r="V872" s="340"/>
      <c r="W872" s="340"/>
      <c r="X872" s="340"/>
      <c r="Y872" s="340"/>
      <c r="Z872" s="340"/>
    </row>
    <row r="873" ht="15.75" customHeight="1">
      <c r="A873" s="340"/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40"/>
      <c r="M873" s="340"/>
      <c r="N873" s="340"/>
      <c r="O873" s="340"/>
      <c r="P873" s="340"/>
      <c r="Q873" s="340"/>
      <c r="R873" s="340"/>
      <c r="S873" s="340"/>
      <c r="T873" s="340"/>
      <c r="U873" s="340"/>
      <c r="V873" s="340"/>
      <c r="W873" s="340"/>
      <c r="X873" s="340"/>
      <c r="Y873" s="340"/>
      <c r="Z873" s="340"/>
    </row>
    <row r="874" ht="15.75" customHeight="1">
      <c r="A874" s="340"/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40"/>
      <c r="M874" s="340"/>
      <c r="N874" s="340"/>
      <c r="O874" s="340"/>
      <c r="P874" s="340"/>
      <c r="Q874" s="340"/>
      <c r="R874" s="340"/>
      <c r="S874" s="340"/>
      <c r="T874" s="340"/>
      <c r="U874" s="340"/>
      <c r="V874" s="340"/>
      <c r="W874" s="340"/>
      <c r="X874" s="340"/>
      <c r="Y874" s="340"/>
      <c r="Z874" s="340"/>
    </row>
    <row r="875" ht="15.75" customHeight="1">
      <c r="A875" s="340"/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40"/>
      <c r="M875" s="340"/>
      <c r="N875" s="340"/>
      <c r="O875" s="340"/>
      <c r="P875" s="340"/>
      <c r="Q875" s="340"/>
      <c r="R875" s="340"/>
      <c r="S875" s="340"/>
      <c r="T875" s="340"/>
      <c r="U875" s="340"/>
      <c r="V875" s="340"/>
      <c r="W875" s="340"/>
      <c r="X875" s="340"/>
      <c r="Y875" s="340"/>
      <c r="Z875" s="340"/>
    </row>
    <row r="876" ht="15.75" customHeight="1">
      <c r="A876" s="340"/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40"/>
      <c r="M876" s="340"/>
      <c r="N876" s="340"/>
      <c r="O876" s="340"/>
      <c r="P876" s="340"/>
      <c r="Q876" s="340"/>
      <c r="R876" s="340"/>
      <c r="S876" s="340"/>
      <c r="T876" s="340"/>
      <c r="U876" s="340"/>
      <c r="V876" s="340"/>
      <c r="W876" s="340"/>
      <c r="X876" s="340"/>
      <c r="Y876" s="340"/>
      <c r="Z876" s="340"/>
    </row>
    <row r="877" ht="15.75" customHeight="1">
      <c r="A877" s="340"/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40"/>
      <c r="M877" s="340"/>
      <c r="N877" s="340"/>
      <c r="O877" s="340"/>
      <c r="P877" s="340"/>
      <c r="Q877" s="340"/>
      <c r="R877" s="340"/>
      <c r="S877" s="340"/>
      <c r="T877" s="340"/>
      <c r="U877" s="340"/>
      <c r="V877" s="340"/>
      <c r="W877" s="340"/>
      <c r="X877" s="340"/>
      <c r="Y877" s="340"/>
      <c r="Z877" s="340"/>
    </row>
    <row r="878" ht="15.75" customHeight="1">
      <c r="A878" s="340"/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40"/>
      <c r="M878" s="340"/>
      <c r="N878" s="340"/>
      <c r="O878" s="340"/>
      <c r="P878" s="340"/>
      <c r="Q878" s="340"/>
      <c r="R878" s="340"/>
      <c r="S878" s="340"/>
      <c r="T878" s="340"/>
      <c r="U878" s="340"/>
      <c r="V878" s="340"/>
      <c r="W878" s="340"/>
      <c r="X878" s="340"/>
      <c r="Y878" s="340"/>
      <c r="Z878" s="340"/>
    </row>
    <row r="879" ht="15.75" customHeight="1">
      <c r="A879" s="340"/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40"/>
      <c r="M879" s="340"/>
      <c r="N879" s="340"/>
      <c r="O879" s="340"/>
      <c r="P879" s="340"/>
      <c r="Q879" s="340"/>
      <c r="R879" s="340"/>
      <c r="S879" s="340"/>
      <c r="T879" s="340"/>
      <c r="U879" s="340"/>
      <c r="V879" s="340"/>
      <c r="W879" s="340"/>
      <c r="X879" s="340"/>
      <c r="Y879" s="340"/>
      <c r="Z879" s="340"/>
    </row>
    <row r="880" ht="15.75" customHeight="1">
      <c r="A880" s="340"/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40"/>
      <c r="M880" s="340"/>
      <c r="N880" s="340"/>
      <c r="O880" s="340"/>
      <c r="P880" s="340"/>
      <c r="Q880" s="340"/>
      <c r="R880" s="340"/>
      <c r="S880" s="340"/>
      <c r="T880" s="340"/>
      <c r="U880" s="340"/>
      <c r="V880" s="340"/>
      <c r="W880" s="340"/>
      <c r="X880" s="340"/>
      <c r="Y880" s="340"/>
      <c r="Z880" s="340"/>
    </row>
    <row r="881" ht="15.75" customHeight="1">
      <c r="A881" s="340"/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40"/>
      <c r="M881" s="340"/>
      <c r="N881" s="340"/>
      <c r="O881" s="340"/>
      <c r="P881" s="340"/>
      <c r="Q881" s="340"/>
      <c r="R881" s="340"/>
      <c r="S881" s="340"/>
      <c r="T881" s="340"/>
      <c r="U881" s="340"/>
      <c r="V881" s="340"/>
      <c r="W881" s="340"/>
      <c r="X881" s="340"/>
      <c r="Y881" s="340"/>
      <c r="Z881" s="340"/>
    </row>
    <row r="882" ht="15.75" customHeight="1">
      <c r="A882" s="340"/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40"/>
      <c r="M882" s="340"/>
      <c r="N882" s="340"/>
      <c r="O882" s="340"/>
      <c r="P882" s="340"/>
      <c r="Q882" s="340"/>
      <c r="R882" s="340"/>
      <c r="S882" s="340"/>
      <c r="T882" s="340"/>
      <c r="U882" s="340"/>
      <c r="V882" s="340"/>
      <c r="W882" s="340"/>
      <c r="X882" s="340"/>
      <c r="Y882" s="340"/>
      <c r="Z882" s="340"/>
    </row>
    <row r="883" ht="15.75" customHeight="1">
      <c r="A883" s="340"/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40"/>
      <c r="M883" s="340"/>
      <c r="N883" s="340"/>
      <c r="O883" s="340"/>
      <c r="P883" s="340"/>
      <c r="Q883" s="340"/>
      <c r="R883" s="340"/>
      <c r="S883" s="340"/>
      <c r="T883" s="340"/>
      <c r="U883" s="340"/>
      <c r="V883" s="340"/>
      <c r="W883" s="340"/>
      <c r="X883" s="340"/>
      <c r="Y883" s="340"/>
      <c r="Z883" s="340"/>
    </row>
    <row r="884" ht="15.75" customHeight="1">
      <c r="A884" s="340"/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40"/>
      <c r="M884" s="340"/>
      <c r="N884" s="340"/>
      <c r="O884" s="340"/>
      <c r="P884" s="340"/>
      <c r="Q884" s="340"/>
      <c r="R884" s="340"/>
      <c r="S884" s="340"/>
      <c r="T884" s="340"/>
      <c r="U884" s="340"/>
      <c r="V884" s="340"/>
      <c r="W884" s="340"/>
      <c r="X884" s="340"/>
      <c r="Y884" s="340"/>
      <c r="Z884" s="340"/>
    </row>
    <row r="885" ht="15.75" customHeight="1">
      <c r="A885" s="340"/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40"/>
      <c r="M885" s="340"/>
      <c r="N885" s="340"/>
      <c r="O885" s="340"/>
      <c r="P885" s="340"/>
      <c r="Q885" s="340"/>
      <c r="R885" s="340"/>
      <c r="S885" s="340"/>
      <c r="T885" s="340"/>
      <c r="U885" s="340"/>
      <c r="V885" s="340"/>
      <c r="W885" s="340"/>
      <c r="X885" s="340"/>
      <c r="Y885" s="340"/>
      <c r="Z885" s="340"/>
    </row>
    <row r="886" ht="15.75" customHeight="1">
      <c r="A886" s="340"/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40"/>
      <c r="M886" s="340"/>
      <c r="N886" s="340"/>
      <c r="O886" s="340"/>
      <c r="P886" s="340"/>
      <c r="Q886" s="340"/>
      <c r="R886" s="340"/>
      <c r="S886" s="340"/>
      <c r="T886" s="340"/>
      <c r="U886" s="340"/>
      <c r="V886" s="340"/>
      <c r="W886" s="340"/>
      <c r="X886" s="340"/>
      <c r="Y886" s="340"/>
      <c r="Z886" s="340"/>
    </row>
    <row r="887" ht="15.75" customHeight="1">
      <c r="A887" s="340"/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40"/>
      <c r="M887" s="340"/>
      <c r="N887" s="340"/>
      <c r="O887" s="340"/>
      <c r="P887" s="340"/>
      <c r="Q887" s="340"/>
      <c r="R887" s="340"/>
      <c r="S887" s="340"/>
      <c r="T887" s="340"/>
      <c r="U887" s="340"/>
      <c r="V887" s="340"/>
      <c r="W887" s="340"/>
      <c r="X887" s="340"/>
      <c r="Y887" s="340"/>
      <c r="Z887" s="340"/>
    </row>
    <row r="888" ht="15.75" customHeight="1">
      <c r="A888" s="340"/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40"/>
      <c r="M888" s="340"/>
      <c r="N888" s="340"/>
      <c r="O888" s="340"/>
      <c r="P888" s="340"/>
      <c r="Q888" s="340"/>
      <c r="R888" s="340"/>
      <c r="S888" s="340"/>
      <c r="T888" s="340"/>
      <c r="U888" s="340"/>
      <c r="V888" s="340"/>
      <c r="W888" s="340"/>
      <c r="X888" s="340"/>
      <c r="Y888" s="340"/>
      <c r="Z888" s="340"/>
    </row>
    <row r="889" ht="15.75" customHeight="1">
      <c r="A889" s="340"/>
      <c r="B889" s="340"/>
      <c r="C889" s="340"/>
      <c r="D889" s="340"/>
      <c r="E889" s="340"/>
      <c r="F889" s="340"/>
      <c r="G889" s="340"/>
      <c r="H889" s="340"/>
      <c r="I889" s="340"/>
      <c r="J889" s="340"/>
      <c r="K889" s="340"/>
      <c r="L889" s="340"/>
      <c r="M889" s="340"/>
      <c r="N889" s="340"/>
      <c r="O889" s="340"/>
      <c r="P889" s="340"/>
      <c r="Q889" s="340"/>
      <c r="R889" s="340"/>
      <c r="S889" s="340"/>
      <c r="T889" s="340"/>
      <c r="U889" s="340"/>
      <c r="V889" s="340"/>
      <c r="W889" s="340"/>
      <c r="X889" s="340"/>
      <c r="Y889" s="340"/>
      <c r="Z889" s="340"/>
    </row>
    <row r="890" ht="15.75" customHeight="1">
      <c r="A890" s="340"/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40"/>
      <c r="M890" s="340"/>
      <c r="N890" s="340"/>
      <c r="O890" s="340"/>
      <c r="P890" s="340"/>
      <c r="Q890" s="340"/>
      <c r="R890" s="340"/>
      <c r="S890" s="340"/>
      <c r="T890" s="340"/>
      <c r="U890" s="340"/>
      <c r="V890" s="340"/>
      <c r="W890" s="340"/>
      <c r="X890" s="340"/>
      <c r="Y890" s="340"/>
      <c r="Z890" s="340"/>
    </row>
    <row r="891" ht="15.75" customHeight="1">
      <c r="A891" s="340"/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40"/>
      <c r="M891" s="340"/>
      <c r="N891" s="340"/>
      <c r="O891" s="340"/>
      <c r="P891" s="340"/>
      <c r="Q891" s="340"/>
      <c r="R891" s="340"/>
      <c r="S891" s="340"/>
      <c r="T891" s="340"/>
      <c r="U891" s="340"/>
      <c r="V891" s="340"/>
      <c r="W891" s="340"/>
      <c r="X891" s="340"/>
      <c r="Y891" s="340"/>
      <c r="Z891" s="340"/>
    </row>
    <row r="892" ht="15.75" customHeight="1">
      <c r="A892" s="340"/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40"/>
      <c r="M892" s="340"/>
      <c r="N892" s="340"/>
      <c r="O892" s="340"/>
      <c r="P892" s="340"/>
      <c r="Q892" s="340"/>
      <c r="R892" s="340"/>
      <c r="S892" s="340"/>
      <c r="T892" s="340"/>
      <c r="U892" s="340"/>
      <c r="V892" s="340"/>
      <c r="W892" s="340"/>
      <c r="X892" s="340"/>
      <c r="Y892" s="340"/>
      <c r="Z892" s="340"/>
    </row>
    <row r="893" ht="15.75" customHeight="1">
      <c r="A893" s="340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340"/>
      <c r="O893" s="340"/>
      <c r="P893" s="340"/>
      <c r="Q893" s="340"/>
      <c r="R893" s="340"/>
      <c r="S893" s="340"/>
      <c r="T893" s="340"/>
      <c r="U893" s="340"/>
      <c r="V893" s="340"/>
      <c r="W893" s="340"/>
      <c r="X893" s="340"/>
      <c r="Y893" s="340"/>
      <c r="Z893" s="340"/>
    </row>
    <row r="894" ht="15.75" customHeight="1">
      <c r="A894" s="340"/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40"/>
      <c r="M894" s="340"/>
      <c r="N894" s="340"/>
      <c r="O894" s="340"/>
      <c r="P894" s="340"/>
      <c r="Q894" s="340"/>
      <c r="R894" s="340"/>
      <c r="S894" s="340"/>
      <c r="T894" s="340"/>
      <c r="U894" s="340"/>
      <c r="V894" s="340"/>
      <c r="W894" s="340"/>
      <c r="X894" s="340"/>
      <c r="Y894" s="340"/>
      <c r="Z894" s="340"/>
    </row>
    <row r="895" ht="15.75" customHeight="1">
      <c r="A895" s="340"/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40"/>
      <c r="M895" s="340"/>
      <c r="N895" s="340"/>
      <c r="O895" s="340"/>
      <c r="P895" s="340"/>
      <c r="Q895" s="340"/>
      <c r="R895" s="340"/>
      <c r="S895" s="340"/>
      <c r="T895" s="340"/>
      <c r="U895" s="340"/>
      <c r="V895" s="340"/>
      <c r="W895" s="340"/>
      <c r="X895" s="340"/>
      <c r="Y895" s="340"/>
      <c r="Z895" s="340"/>
    </row>
    <row r="896" ht="15.75" customHeight="1">
      <c r="A896" s="340"/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40"/>
      <c r="M896" s="340"/>
      <c r="N896" s="340"/>
      <c r="O896" s="340"/>
      <c r="P896" s="340"/>
      <c r="Q896" s="340"/>
      <c r="R896" s="340"/>
      <c r="S896" s="340"/>
      <c r="T896" s="340"/>
      <c r="U896" s="340"/>
      <c r="V896" s="340"/>
      <c r="W896" s="340"/>
      <c r="X896" s="340"/>
      <c r="Y896" s="340"/>
      <c r="Z896" s="340"/>
    </row>
    <row r="897" ht="15.75" customHeight="1">
      <c r="A897" s="340"/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40"/>
      <c r="M897" s="340"/>
      <c r="N897" s="340"/>
      <c r="O897" s="340"/>
      <c r="P897" s="340"/>
      <c r="Q897" s="340"/>
      <c r="R897" s="340"/>
      <c r="S897" s="340"/>
      <c r="T897" s="340"/>
      <c r="U897" s="340"/>
      <c r="V897" s="340"/>
      <c r="W897" s="340"/>
      <c r="X897" s="340"/>
      <c r="Y897" s="340"/>
      <c r="Z897" s="340"/>
    </row>
    <row r="898" ht="15.75" customHeight="1">
      <c r="A898" s="340"/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40"/>
      <c r="M898" s="340"/>
      <c r="N898" s="340"/>
      <c r="O898" s="340"/>
      <c r="P898" s="340"/>
      <c r="Q898" s="340"/>
      <c r="R898" s="340"/>
      <c r="S898" s="340"/>
      <c r="T898" s="340"/>
      <c r="U898" s="340"/>
      <c r="V898" s="340"/>
      <c r="W898" s="340"/>
      <c r="X898" s="340"/>
      <c r="Y898" s="340"/>
      <c r="Z898" s="340"/>
    </row>
    <row r="899" ht="15.75" customHeight="1">
      <c r="A899" s="340"/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40"/>
      <c r="M899" s="340"/>
      <c r="N899" s="340"/>
      <c r="O899" s="340"/>
      <c r="P899" s="340"/>
      <c r="Q899" s="340"/>
      <c r="R899" s="340"/>
      <c r="S899" s="340"/>
      <c r="T899" s="340"/>
      <c r="U899" s="340"/>
      <c r="V899" s="340"/>
      <c r="W899" s="340"/>
      <c r="X899" s="340"/>
      <c r="Y899" s="340"/>
      <c r="Z899" s="340"/>
    </row>
    <row r="900" ht="15.75" customHeight="1">
      <c r="A900" s="340"/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40"/>
      <c r="M900" s="340"/>
      <c r="N900" s="340"/>
      <c r="O900" s="340"/>
      <c r="P900" s="340"/>
      <c r="Q900" s="340"/>
      <c r="R900" s="340"/>
      <c r="S900" s="340"/>
      <c r="T900" s="340"/>
      <c r="U900" s="340"/>
      <c r="V900" s="340"/>
      <c r="W900" s="340"/>
      <c r="X900" s="340"/>
      <c r="Y900" s="340"/>
      <c r="Z900" s="340"/>
    </row>
    <row r="901" ht="15.75" customHeight="1">
      <c r="A901" s="340"/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40"/>
      <c r="M901" s="340"/>
      <c r="N901" s="340"/>
      <c r="O901" s="340"/>
      <c r="P901" s="340"/>
      <c r="Q901" s="340"/>
      <c r="R901" s="340"/>
      <c r="S901" s="340"/>
      <c r="T901" s="340"/>
      <c r="U901" s="340"/>
      <c r="V901" s="340"/>
      <c r="W901" s="340"/>
      <c r="X901" s="340"/>
      <c r="Y901" s="340"/>
      <c r="Z901" s="340"/>
    </row>
    <row r="902" ht="15.75" customHeight="1">
      <c r="A902" s="340"/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40"/>
      <c r="M902" s="340"/>
      <c r="N902" s="340"/>
      <c r="O902" s="340"/>
      <c r="P902" s="340"/>
      <c r="Q902" s="340"/>
      <c r="R902" s="340"/>
      <c r="S902" s="340"/>
      <c r="T902" s="340"/>
      <c r="U902" s="340"/>
      <c r="V902" s="340"/>
      <c r="W902" s="340"/>
      <c r="X902" s="340"/>
      <c r="Y902" s="340"/>
      <c r="Z902" s="340"/>
    </row>
    <row r="903" ht="15.75" customHeight="1">
      <c r="A903" s="340"/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40"/>
      <c r="M903" s="340"/>
      <c r="N903" s="340"/>
      <c r="O903" s="340"/>
      <c r="P903" s="340"/>
      <c r="Q903" s="340"/>
      <c r="R903" s="340"/>
      <c r="S903" s="340"/>
      <c r="T903" s="340"/>
      <c r="U903" s="340"/>
      <c r="V903" s="340"/>
      <c r="W903" s="340"/>
      <c r="X903" s="340"/>
      <c r="Y903" s="340"/>
      <c r="Z903" s="340"/>
    </row>
    <row r="904" ht="15.75" customHeight="1">
      <c r="A904" s="340"/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40"/>
      <c r="M904" s="340"/>
      <c r="N904" s="340"/>
      <c r="O904" s="340"/>
      <c r="P904" s="340"/>
      <c r="Q904" s="340"/>
      <c r="R904" s="340"/>
      <c r="S904" s="340"/>
      <c r="T904" s="340"/>
      <c r="U904" s="340"/>
      <c r="V904" s="340"/>
      <c r="W904" s="340"/>
      <c r="X904" s="340"/>
      <c r="Y904" s="340"/>
      <c r="Z904" s="340"/>
    </row>
    <row r="905" ht="15.75" customHeight="1">
      <c r="A905" s="340"/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40"/>
      <c r="M905" s="340"/>
      <c r="N905" s="340"/>
      <c r="O905" s="340"/>
      <c r="P905" s="340"/>
      <c r="Q905" s="340"/>
      <c r="R905" s="340"/>
      <c r="S905" s="340"/>
      <c r="T905" s="340"/>
      <c r="U905" s="340"/>
      <c r="V905" s="340"/>
      <c r="W905" s="340"/>
      <c r="X905" s="340"/>
      <c r="Y905" s="340"/>
      <c r="Z905" s="340"/>
    </row>
    <row r="906" ht="15.75" customHeight="1">
      <c r="A906" s="340"/>
      <c r="B906" s="340"/>
      <c r="C906" s="340"/>
      <c r="D906" s="340"/>
      <c r="E906" s="340"/>
      <c r="F906" s="340"/>
      <c r="G906" s="340"/>
      <c r="H906" s="340"/>
      <c r="I906" s="340"/>
      <c r="J906" s="340"/>
      <c r="K906" s="340"/>
      <c r="L906" s="340"/>
      <c r="M906" s="340"/>
      <c r="N906" s="340"/>
      <c r="O906" s="340"/>
      <c r="P906" s="340"/>
      <c r="Q906" s="340"/>
      <c r="R906" s="340"/>
      <c r="S906" s="340"/>
      <c r="T906" s="340"/>
      <c r="U906" s="340"/>
      <c r="V906" s="340"/>
      <c r="W906" s="340"/>
      <c r="X906" s="340"/>
      <c r="Y906" s="340"/>
      <c r="Z906" s="340"/>
    </row>
    <row r="907" ht="15.75" customHeight="1">
      <c r="A907" s="340"/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40"/>
      <c r="M907" s="340"/>
      <c r="N907" s="340"/>
      <c r="O907" s="340"/>
      <c r="P907" s="340"/>
      <c r="Q907" s="340"/>
      <c r="R907" s="340"/>
      <c r="S907" s="340"/>
      <c r="T907" s="340"/>
      <c r="U907" s="340"/>
      <c r="V907" s="340"/>
      <c r="W907" s="340"/>
      <c r="X907" s="340"/>
      <c r="Y907" s="340"/>
      <c r="Z907" s="340"/>
    </row>
    <row r="908" ht="15.75" customHeight="1">
      <c r="A908" s="340"/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40"/>
      <c r="M908" s="340"/>
      <c r="N908" s="340"/>
      <c r="O908" s="340"/>
      <c r="P908" s="340"/>
      <c r="Q908" s="340"/>
      <c r="R908" s="340"/>
      <c r="S908" s="340"/>
      <c r="T908" s="340"/>
      <c r="U908" s="340"/>
      <c r="V908" s="340"/>
      <c r="W908" s="340"/>
      <c r="X908" s="340"/>
      <c r="Y908" s="340"/>
      <c r="Z908" s="340"/>
    </row>
    <row r="909" ht="15.75" customHeight="1">
      <c r="A909" s="340"/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40"/>
      <c r="M909" s="340"/>
      <c r="N909" s="340"/>
      <c r="O909" s="340"/>
      <c r="P909" s="340"/>
      <c r="Q909" s="340"/>
      <c r="R909" s="340"/>
      <c r="S909" s="340"/>
      <c r="T909" s="340"/>
      <c r="U909" s="340"/>
      <c r="V909" s="340"/>
      <c r="W909" s="340"/>
      <c r="X909" s="340"/>
      <c r="Y909" s="340"/>
      <c r="Z909" s="340"/>
    </row>
    <row r="910" ht="15.75" customHeight="1">
      <c r="A910" s="340"/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40"/>
      <c r="M910" s="340"/>
      <c r="N910" s="340"/>
      <c r="O910" s="340"/>
      <c r="P910" s="340"/>
      <c r="Q910" s="340"/>
      <c r="R910" s="340"/>
      <c r="S910" s="340"/>
      <c r="T910" s="340"/>
      <c r="U910" s="340"/>
      <c r="V910" s="340"/>
      <c r="W910" s="340"/>
      <c r="X910" s="340"/>
      <c r="Y910" s="340"/>
      <c r="Z910" s="340"/>
    </row>
    <row r="911" ht="15.75" customHeight="1">
      <c r="A911" s="340"/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40"/>
      <c r="M911" s="340"/>
      <c r="N911" s="340"/>
      <c r="O911" s="340"/>
      <c r="P911" s="340"/>
      <c r="Q911" s="340"/>
      <c r="R911" s="340"/>
      <c r="S911" s="340"/>
      <c r="T911" s="340"/>
      <c r="U911" s="340"/>
      <c r="V911" s="340"/>
      <c r="W911" s="340"/>
      <c r="X911" s="340"/>
      <c r="Y911" s="340"/>
      <c r="Z911" s="340"/>
    </row>
    <row r="912" ht="15.75" customHeight="1">
      <c r="A912" s="340"/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40"/>
      <c r="M912" s="340"/>
      <c r="N912" s="340"/>
      <c r="O912" s="340"/>
      <c r="P912" s="340"/>
      <c r="Q912" s="340"/>
      <c r="R912" s="340"/>
      <c r="S912" s="340"/>
      <c r="T912" s="340"/>
      <c r="U912" s="340"/>
      <c r="V912" s="340"/>
      <c r="W912" s="340"/>
      <c r="X912" s="340"/>
      <c r="Y912" s="340"/>
      <c r="Z912" s="340"/>
    </row>
    <row r="913" ht="15.75" customHeight="1">
      <c r="A913" s="340"/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40"/>
      <c r="M913" s="340"/>
      <c r="N913" s="340"/>
      <c r="O913" s="340"/>
      <c r="P913" s="340"/>
      <c r="Q913" s="340"/>
      <c r="R913" s="340"/>
      <c r="S913" s="340"/>
      <c r="T913" s="340"/>
      <c r="U913" s="340"/>
      <c r="V913" s="340"/>
      <c r="W913" s="340"/>
      <c r="X913" s="340"/>
      <c r="Y913" s="340"/>
      <c r="Z913" s="340"/>
    </row>
    <row r="914" ht="15.75" customHeight="1">
      <c r="A914" s="340"/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40"/>
      <c r="M914" s="340"/>
      <c r="N914" s="340"/>
      <c r="O914" s="340"/>
      <c r="P914" s="340"/>
      <c r="Q914" s="340"/>
      <c r="R914" s="340"/>
      <c r="S914" s="340"/>
      <c r="T914" s="340"/>
      <c r="U914" s="340"/>
      <c r="V914" s="340"/>
      <c r="W914" s="340"/>
      <c r="X914" s="340"/>
      <c r="Y914" s="340"/>
      <c r="Z914" s="340"/>
    </row>
    <row r="915" ht="15.75" customHeight="1">
      <c r="A915" s="340"/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40"/>
      <c r="M915" s="340"/>
      <c r="N915" s="340"/>
      <c r="O915" s="340"/>
      <c r="P915" s="340"/>
      <c r="Q915" s="340"/>
      <c r="R915" s="340"/>
      <c r="S915" s="340"/>
      <c r="T915" s="340"/>
      <c r="U915" s="340"/>
      <c r="V915" s="340"/>
      <c r="W915" s="340"/>
      <c r="X915" s="340"/>
      <c r="Y915" s="340"/>
      <c r="Z915" s="340"/>
    </row>
    <row r="916" ht="15.75" customHeight="1">
      <c r="A916" s="340"/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40"/>
      <c r="M916" s="340"/>
      <c r="N916" s="340"/>
      <c r="O916" s="340"/>
      <c r="P916" s="340"/>
      <c r="Q916" s="340"/>
      <c r="R916" s="340"/>
      <c r="S916" s="340"/>
      <c r="T916" s="340"/>
      <c r="U916" s="340"/>
      <c r="V916" s="340"/>
      <c r="W916" s="340"/>
      <c r="X916" s="340"/>
      <c r="Y916" s="340"/>
      <c r="Z916" s="340"/>
    </row>
    <row r="917" ht="15.75" customHeight="1">
      <c r="A917" s="340"/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40"/>
      <c r="M917" s="340"/>
      <c r="N917" s="340"/>
      <c r="O917" s="340"/>
      <c r="P917" s="340"/>
      <c r="Q917" s="340"/>
      <c r="R917" s="340"/>
      <c r="S917" s="340"/>
      <c r="T917" s="340"/>
      <c r="U917" s="340"/>
      <c r="V917" s="340"/>
      <c r="W917" s="340"/>
      <c r="X917" s="340"/>
      <c r="Y917" s="340"/>
      <c r="Z917" s="340"/>
    </row>
    <row r="918" ht="15.75" customHeight="1">
      <c r="A918" s="340"/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40"/>
      <c r="M918" s="340"/>
      <c r="N918" s="340"/>
      <c r="O918" s="340"/>
      <c r="P918" s="340"/>
      <c r="Q918" s="340"/>
      <c r="R918" s="340"/>
      <c r="S918" s="340"/>
      <c r="T918" s="340"/>
      <c r="U918" s="340"/>
      <c r="V918" s="340"/>
      <c r="W918" s="340"/>
      <c r="X918" s="340"/>
      <c r="Y918" s="340"/>
      <c r="Z918" s="340"/>
    </row>
    <row r="919" ht="15.75" customHeight="1">
      <c r="A919" s="340"/>
      <c r="B919" s="340"/>
      <c r="C919" s="340"/>
      <c r="D919" s="340"/>
      <c r="E919" s="340"/>
      <c r="F919" s="340"/>
      <c r="G919" s="340"/>
      <c r="H919" s="340"/>
      <c r="I919" s="340"/>
      <c r="J919" s="340"/>
      <c r="K919" s="340"/>
      <c r="L919" s="340"/>
      <c r="M919" s="340"/>
      <c r="N919" s="340"/>
      <c r="O919" s="340"/>
      <c r="P919" s="340"/>
      <c r="Q919" s="340"/>
      <c r="R919" s="340"/>
      <c r="S919" s="340"/>
      <c r="T919" s="340"/>
      <c r="U919" s="340"/>
      <c r="V919" s="340"/>
      <c r="W919" s="340"/>
      <c r="X919" s="340"/>
      <c r="Y919" s="340"/>
      <c r="Z919" s="340"/>
    </row>
    <row r="920" ht="15.75" customHeight="1">
      <c r="A920" s="340"/>
      <c r="B920" s="340"/>
      <c r="C920" s="340"/>
      <c r="D920" s="340"/>
      <c r="E920" s="340"/>
      <c r="F920" s="340"/>
      <c r="G920" s="340"/>
      <c r="H920" s="340"/>
      <c r="I920" s="340"/>
      <c r="J920" s="340"/>
      <c r="K920" s="340"/>
      <c r="L920" s="340"/>
      <c r="M920" s="340"/>
      <c r="N920" s="340"/>
      <c r="O920" s="340"/>
      <c r="P920" s="340"/>
      <c r="Q920" s="340"/>
      <c r="R920" s="340"/>
      <c r="S920" s="340"/>
      <c r="T920" s="340"/>
      <c r="U920" s="340"/>
      <c r="V920" s="340"/>
      <c r="W920" s="340"/>
      <c r="X920" s="340"/>
      <c r="Y920" s="340"/>
      <c r="Z920" s="340"/>
    </row>
    <row r="921" ht="15.75" customHeight="1">
      <c r="A921" s="340"/>
      <c r="B921" s="340"/>
      <c r="C921" s="340"/>
      <c r="D921" s="340"/>
      <c r="E921" s="340"/>
      <c r="F921" s="340"/>
      <c r="G921" s="340"/>
      <c r="H921" s="340"/>
      <c r="I921" s="340"/>
      <c r="J921" s="340"/>
      <c r="K921" s="340"/>
      <c r="L921" s="340"/>
      <c r="M921" s="340"/>
      <c r="N921" s="340"/>
      <c r="O921" s="340"/>
      <c r="P921" s="340"/>
      <c r="Q921" s="340"/>
      <c r="R921" s="340"/>
      <c r="S921" s="340"/>
      <c r="T921" s="340"/>
      <c r="U921" s="340"/>
      <c r="V921" s="340"/>
      <c r="W921" s="340"/>
      <c r="X921" s="340"/>
      <c r="Y921" s="340"/>
      <c r="Z921" s="340"/>
    </row>
    <row r="922" ht="15.75" customHeight="1">
      <c r="A922" s="340"/>
      <c r="B922" s="340"/>
      <c r="C922" s="340"/>
      <c r="D922" s="340"/>
      <c r="E922" s="340"/>
      <c r="F922" s="340"/>
      <c r="G922" s="340"/>
      <c r="H922" s="340"/>
      <c r="I922" s="340"/>
      <c r="J922" s="340"/>
      <c r="K922" s="340"/>
      <c r="L922" s="340"/>
      <c r="M922" s="340"/>
      <c r="N922" s="340"/>
      <c r="O922" s="340"/>
      <c r="P922" s="340"/>
      <c r="Q922" s="340"/>
      <c r="R922" s="340"/>
      <c r="S922" s="340"/>
      <c r="T922" s="340"/>
      <c r="U922" s="340"/>
      <c r="V922" s="340"/>
      <c r="W922" s="340"/>
      <c r="X922" s="340"/>
      <c r="Y922" s="340"/>
      <c r="Z922" s="340"/>
    </row>
    <row r="923" ht="15.75" customHeight="1">
      <c r="A923" s="340"/>
      <c r="B923" s="340"/>
      <c r="C923" s="340"/>
      <c r="D923" s="340"/>
      <c r="E923" s="340"/>
      <c r="F923" s="340"/>
      <c r="G923" s="340"/>
      <c r="H923" s="340"/>
      <c r="I923" s="340"/>
      <c r="J923" s="340"/>
      <c r="K923" s="340"/>
      <c r="L923" s="340"/>
      <c r="M923" s="340"/>
      <c r="N923" s="340"/>
      <c r="O923" s="340"/>
      <c r="P923" s="340"/>
      <c r="Q923" s="340"/>
      <c r="R923" s="340"/>
      <c r="S923" s="340"/>
      <c r="T923" s="340"/>
      <c r="U923" s="340"/>
      <c r="V923" s="340"/>
      <c r="W923" s="340"/>
      <c r="X923" s="340"/>
      <c r="Y923" s="340"/>
      <c r="Z923" s="340"/>
    </row>
    <row r="924" ht="15.75" customHeight="1">
      <c r="A924" s="340"/>
      <c r="B924" s="340"/>
      <c r="C924" s="340"/>
      <c r="D924" s="340"/>
      <c r="E924" s="340"/>
      <c r="F924" s="340"/>
      <c r="G924" s="340"/>
      <c r="H924" s="340"/>
      <c r="I924" s="340"/>
      <c r="J924" s="340"/>
      <c r="K924" s="340"/>
      <c r="L924" s="340"/>
      <c r="M924" s="340"/>
      <c r="N924" s="340"/>
      <c r="O924" s="340"/>
      <c r="P924" s="340"/>
      <c r="Q924" s="340"/>
      <c r="R924" s="340"/>
      <c r="S924" s="340"/>
      <c r="T924" s="340"/>
      <c r="U924" s="340"/>
      <c r="V924" s="340"/>
      <c r="W924" s="340"/>
      <c r="X924" s="340"/>
      <c r="Y924" s="340"/>
      <c r="Z924" s="340"/>
    </row>
    <row r="925" ht="15.75" customHeight="1">
      <c r="A925" s="340"/>
      <c r="B925" s="340"/>
      <c r="C925" s="340"/>
      <c r="D925" s="340"/>
      <c r="E925" s="340"/>
      <c r="F925" s="340"/>
      <c r="G925" s="340"/>
      <c r="H925" s="340"/>
      <c r="I925" s="340"/>
      <c r="J925" s="340"/>
      <c r="K925" s="340"/>
      <c r="L925" s="340"/>
      <c r="M925" s="340"/>
      <c r="N925" s="340"/>
      <c r="O925" s="340"/>
      <c r="P925" s="340"/>
      <c r="Q925" s="340"/>
      <c r="R925" s="340"/>
      <c r="S925" s="340"/>
      <c r="T925" s="340"/>
      <c r="U925" s="340"/>
      <c r="V925" s="340"/>
      <c r="W925" s="340"/>
      <c r="X925" s="340"/>
      <c r="Y925" s="340"/>
      <c r="Z925" s="340"/>
    </row>
    <row r="926" ht="15.75" customHeight="1">
      <c r="A926" s="340"/>
      <c r="B926" s="340"/>
      <c r="C926" s="340"/>
      <c r="D926" s="340"/>
      <c r="E926" s="340"/>
      <c r="F926" s="340"/>
      <c r="G926" s="340"/>
      <c r="H926" s="340"/>
      <c r="I926" s="340"/>
      <c r="J926" s="340"/>
      <c r="K926" s="340"/>
      <c r="L926" s="340"/>
      <c r="M926" s="340"/>
      <c r="N926" s="340"/>
      <c r="O926" s="340"/>
      <c r="P926" s="340"/>
      <c r="Q926" s="340"/>
      <c r="R926" s="340"/>
      <c r="S926" s="340"/>
      <c r="T926" s="340"/>
      <c r="U926" s="340"/>
      <c r="V926" s="340"/>
      <c r="W926" s="340"/>
      <c r="X926" s="340"/>
      <c r="Y926" s="340"/>
      <c r="Z926" s="340"/>
    </row>
    <row r="927" ht="15.75" customHeight="1">
      <c r="A927" s="340"/>
      <c r="B927" s="340"/>
      <c r="C927" s="340"/>
      <c r="D927" s="340"/>
      <c r="E927" s="340"/>
      <c r="F927" s="340"/>
      <c r="G927" s="340"/>
      <c r="H927" s="340"/>
      <c r="I927" s="340"/>
      <c r="J927" s="340"/>
      <c r="K927" s="340"/>
      <c r="L927" s="340"/>
      <c r="M927" s="340"/>
      <c r="N927" s="340"/>
      <c r="O927" s="340"/>
      <c r="P927" s="340"/>
      <c r="Q927" s="340"/>
      <c r="R927" s="340"/>
      <c r="S927" s="340"/>
      <c r="T927" s="340"/>
      <c r="U927" s="340"/>
      <c r="V927" s="340"/>
      <c r="W927" s="340"/>
      <c r="X927" s="340"/>
      <c r="Y927" s="340"/>
      <c r="Z927" s="340"/>
    </row>
    <row r="928" ht="15.75" customHeight="1">
      <c r="A928" s="340"/>
      <c r="B928" s="340"/>
      <c r="C928" s="340"/>
      <c r="D928" s="340"/>
      <c r="E928" s="340"/>
      <c r="F928" s="340"/>
      <c r="G928" s="340"/>
      <c r="H928" s="340"/>
      <c r="I928" s="340"/>
      <c r="J928" s="340"/>
      <c r="K928" s="340"/>
      <c r="L928" s="340"/>
      <c r="M928" s="340"/>
      <c r="N928" s="340"/>
      <c r="O928" s="340"/>
      <c r="P928" s="340"/>
      <c r="Q928" s="340"/>
      <c r="R928" s="340"/>
      <c r="S928" s="340"/>
      <c r="T928" s="340"/>
      <c r="U928" s="340"/>
      <c r="V928" s="340"/>
      <c r="W928" s="340"/>
      <c r="X928" s="340"/>
      <c r="Y928" s="340"/>
      <c r="Z928" s="340"/>
    </row>
    <row r="929" ht="15.75" customHeight="1">
      <c r="A929" s="340"/>
      <c r="B929" s="340"/>
      <c r="C929" s="340"/>
      <c r="D929" s="340"/>
      <c r="E929" s="340"/>
      <c r="F929" s="340"/>
      <c r="G929" s="340"/>
      <c r="H929" s="340"/>
      <c r="I929" s="340"/>
      <c r="J929" s="340"/>
      <c r="K929" s="340"/>
      <c r="L929" s="340"/>
      <c r="M929" s="340"/>
      <c r="N929" s="340"/>
      <c r="O929" s="340"/>
      <c r="P929" s="340"/>
      <c r="Q929" s="340"/>
      <c r="R929" s="340"/>
      <c r="S929" s="340"/>
      <c r="T929" s="340"/>
      <c r="U929" s="340"/>
      <c r="V929" s="340"/>
      <c r="W929" s="340"/>
      <c r="X929" s="340"/>
      <c r="Y929" s="340"/>
      <c r="Z929" s="340"/>
    </row>
    <row r="930" ht="15.75" customHeight="1">
      <c r="A930" s="340"/>
      <c r="B930" s="340"/>
      <c r="C930" s="340"/>
      <c r="D930" s="340"/>
      <c r="E930" s="340"/>
      <c r="F930" s="340"/>
      <c r="G930" s="340"/>
      <c r="H930" s="340"/>
      <c r="I930" s="340"/>
      <c r="J930" s="340"/>
      <c r="K930" s="340"/>
      <c r="L930" s="340"/>
      <c r="M930" s="340"/>
      <c r="N930" s="340"/>
      <c r="O930" s="340"/>
      <c r="P930" s="340"/>
      <c r="Q930" s="340"/>
      <c r="R930" s="340"/>
      <c r="S930" s="340"/>
      <c r="T930" s="340"/>
      <c r="U930" s="340"/>
      <c r="V930" s="340"/>
      <c r="W930" s="340"/>
      <c r="X930" s="340"/>
      <c r="Y930" s="340"/>
      <c r="Z930" s="340"/>
    </row>
    <row r="931" ht="15.75" customHeight="1">
      <c r="A931" s="340"/>
      <c r="B931" s="340"/>
      <c r="C931" s="340"/>
      <c r="D931" s="340"/>
      <c r="E931" s="340"/>
      <c r="F931" s="340"/>
      <c r="G931" s="340"/>
      <c r="H931" s="340"/>
      <c r="I931" s="340"/>
      <c r="J931" s="340"/>
      <c r="K931" s="340"/>
      <c r="L931" s="340"/>
      <c r="M931" s="340"/>
      <c r="N931" s="340"/>
      <c r="O931" s="340"/>
      <c r="P931" s="340"/>
      <c r="Q931" s="340"/>
      <c r="R931" s="340"/>
      <c r="S931" s="340"/>
      <c r="T931" s="340"/>
      <c r="U931" s="340"/>
      <c r="V931" s="340"/>
      <c r="W931" s="340"/>
      <c r="X931" s="340"/>
      <c r="Y931" s="340"/>
      <c r="Z931" s="340"/>
    </row>
    <row r="932" ht="15.75" customHeight="1">
      <c r="A932" s="340"/>
      <c r="B932" s="340"/>
      <c r="C932" s="340"/>
      <c r="D932" s="340"/>
      <c r="E932" s="340"/>
      <c r="F932" s="340"/>
      <c r="G932" s="340"/>
      <c r="H932" s="340"/>
      <c r="I932" s="340"/>
      <c r="J932" s="340"/>
      <c r="K932" s="340"/>
      <c r="L932" s="340"/>
      <c r="M932" s="340"/>
      <c r="N932" s="340"/>
      <c r="O932" s="340"/>
      <c r="P932" s="340"/>
      <c r="Q932" s="340"/>
      <c r="R932" s="340"/>
      <c r="S932" s="340"/>
      <c r="T932" s="340"/>
      <c r="U932" s="340"/>
      <c r="V932" s="340"/>
      <c r="W932" s="340"/>
      <c r="X932" s="340"/>
      <c r="Y932" s="340"/>
      <c r="Z932" s="340"/>
    </row>
    <row r="933" ht="15.75" customHeight="1">
      <c r="A933" s="340"/>
      <c r="B933" s="340"/>
      <c r="C933" s="340"/>
      <c r="D933" s="340"/>
      <c r="E933" s="340"/>
      <c r="F933" s="340"/>
      <c r="G933" s="340"/>
      <c r="H933" s="340"/>
      <c r="I933" s="340"/>
      <c r="J933" s="340"/>
      <c r="K933" s="340"/>
      <c r="L933" s="340"/>
      <c r="M933" s="340"/>
      <c r="N933" s="340"/>
      <c r="O933" s="340"/>
      <c r="P933" s="340"/>
      <c r="Q933" s="340"/>
      <c r="R933" s="340"/>
      <c r="S933" s="340"/>
      <c r="T933" s="340"/>
      <c r="U933" s="340"/>
      <c r="V933" s="340"/>
      <c r="W933" s="340"/>
      <c r="X933" s="340"/>
      <c r="Y933" s="340"/>
      <c r="Z933" s="340"/>
    </row>
    <row r="934" ht="15.75" customHeight="1">
      <c r="A934" s="340"/>
      <c r="B934" s="340"/>
      <c r="C934" s="340"/>
      <c r="D934" s="340"/>
      <c r="E934" s="340"/>
      <c r="F934" s="340"/>
      <c r="G934" s="340"/>
      <c r="H934" s="340"/>
      <c r="I934" s="340"/>
      <c r="J934" s="340"/>
      <c r="K934" s="340"/>
      <c r="L934" s="340"/>
      <c r="M934" s="340"/>
      <c r="N934" s="340"/>
      <c r="O934" s="340"/>
      <c r="P934" s="340"/>
      <c r="Q934" s="340"/>
      <c r="R934" s="340"/>
      <c r="S934" s="340"/>
      <c r="T934" s="340"/>
      <c r="U934" s="340"/>
      <c r="V934" s="340"/>
      <c r="W934" s="340"/>
      <c r="X934" s="340"/>
      <c r="Y934" s="340"/>
      <c r="Z934" s="340"/>
    </row>
    <row r="935" ht="15.75" customHeight="1">
      <c r="A935" s="340"/>
      <c r="B935" s="340"/>
      <c r="C935" s="340"/>
      <c r="D935" s="340"/>
      <c r="E935" s="340"/>
      <c r="F935" s="340"/>
      <c r="G935" s="340"/>
      <c r="H935" s="340"/>
      <c r="I935" s="340"/>
      <c r="J935" s="340"/>
      <c r="K935" s="340"/>
      <c r="L935" s="340"/>
      <c r="M935" s="340"/>
      <c r="N935" s="340"/>
      <c r="O935" s="340"/>
      <c r="P935" s="340"/>
      <c r="Q935" s="340"/>
      <c r="R935" s="340"/>
      <c r="S935" s="340"/>
      <c r="T935" s="340"/>
      <c r="U935" s="340"/>
      <c r="V935" s="340"/>
      <c r="W935" s="340"/>
      <c r="X935" s="340"/>
      <c r="Y935" s="340"/>
      <c r="Z935" s="340"/>
    </row>
    <row r="936" ht="15.75" customHeight="1">
      <c r="A936" s="340"/>
      <c r="B936" s="340"/>
      <c r="C936" s="340"/>
      <c r="D936" s="340"/>
      <c r="E936" s="340"/>
      <c r="F936" s="340"/>
      <c r="G936" s="340"/>
      <c r="H936" s="340"/>
      <c r="I936" s="340"/>
      <c r="J936" s="340"/>
      <c r="K936" s="340"/>
      <c r="L936" s="340"/>
      <c r="M936" s="340"/>
      <c r="N936" s="340"/>
      <c r="O936" s="340"/>
      <c r="P936" s="340"/>
      <c r="Q936" s="340"/>
      <c r="R936" s="340"/>
      <c r="S936" s="340"/>
      <c r="T936" s="340"/>
      <c r="U936" s="340"/>
      <c r="V936" s="340"/>
      <c r="W936" s="340"/>
      <c r="X936" s="340"/>
      <c r="Y936" s="340"/>
      <c r="Z936" s="340"/>
    </row>
    <row r="937" ht="15.75" customHeight="1">
      <c r="A937" s="340"/>
      <c r="B937" s="340"/>
      <c r="C937" s="340"/>
      <c r="D937" s="340"/>
      <c r="E937" s="340"/>
      <c r="F937" s="340"/>
      <c r="G937" s="340"/>
      <c r="H937" s="340"/>
      <c r="I937" s="340"/>
      <c r="J937" s="340"/>
      <c r="K937" s="340"/>
      <c r="L937" s="340"/>
      <c r="M937" s="340"/>
      <c r="N937" s="340"/>
      <c r="O937" s="340"/>
      <c r="P937" s="340"/>
      <c r="Q937" s="340"/>
      <c r="R937" s="340"/>
      <c r="S937" s="340"/>
      <c r="T937" s="340"/>
      <c r="U937" s="340"/>
      <c r="V937" s="340"/>
      <c r="W937" s="340"/>
      <c r="X937" s="340"/>
      <c r="Y937" s="340"/>
      <c r="Z937" s="340"/>
    </row>
    <row r="938" ht="15.75" customHeight="1">
      <c r="A938" s="340"/>
      <c r="B938" s="340"/>
      <c r="C938" s="340"/>
      <c r="D938" s="340"/>
      <c r="E938" s="340"/>
      <c r="F938" s="340"/>
      <c r="G938" s="340"/>
      <c r="H938" s="340"/>
      <c r="I938" s="340"/>
      <c r="J938" s="340"/>
      <c r="K938" s="340"/>
      <c r="L938" s="340"/>
      <c r="M938" s="340"/>
      <c r="N938" s="340"/>
      <c r="O938" s="340"/>
      <c r="P938" s="340"/>
      <c r="Q938" s="340"/>
      <c r="R938" s="340"/>
      <c r="S938" s="340"/>
      <c r="T938" s="340"/>
      <c r="U938" s="340"/>
      <c r="V938" s="340"/>
      <c r="W938" s="340"/>
      <c r="X938" s="340"/>
      <c r="Y938" s="340"/>
      <c r="Z938" s="340"/>
    </row>
    <row r="939" ht="15.75" customHeight="1">
      <c r="A939" s="340"/>
      <c r="B939" s="340"/>
      <c r="C939" s="340"/>
      <c r="D939" s="340"/>
      <c r="E939" s="340"/>
      <c r="F939" s="340"/>
      <c r="G939" s="340"/>
      <c r="H939" s="340"/>
      <c r="I939" s="340"/>
      <c r="J939" s="340"/>
      <c r="K939" s="340"/>
      <c r="L939" s="340"/>
      <c r="M939" s="340"/>
      <c r="N939" s="340"/>
      <c r="O939" s="340"/>
      <c r="P939" s="340"/>
      <c r="Q939" s="340"/>
      <c r="R939" s="340"/>
      <c r="S939" s="340"/>
      <c r="T939" s="340"/>
      <c r="U939" s="340"/>
      <c r="V939" s="340"/>
      <c r="W939" s="340"/>
      <c r="X939" s="340"/>
      <c r="Y939" s="340"/>
      <c r="Z939" s="340"/>
    </row>
    <row r="940" ht="15.75" customHeight="1">
      <c r="A940" s="340"/>
      <c r="B940" s="340"/>
      <c r="C940" s="340"/>
      <c r="D940" s="340"/>
      <c r="E940" s="340"/>
      <c r="F940" s="340"/>
      <c r="G940" s="340"/>
      <c r="H940" s="340"/>
      <c r="I940" s="340"/>
      <c r="J940" s="340"/>
      <c r="K940" s="340"/>
      <c r="L940" s="340"/>
      <c r="M940" s="340"/>
      <c r="N940" s="340"/>
      <c r="O940" s="340"/>
      <c r="P940" s="340"/>
      <c r="Q940" s="340"/>
      <c r="R940" s="340"/>
      <c r="S940" s="340"/>
      <c r="T940" s="340"/>
      <c r="U940" s="340"/>
      <c r="V940" s="340"/>
      <c r="W940" s="340"/>
      <c r="X940" s="340"/>
      <c r="Y940" s="340"/>
      <c r="Z940" s="340"/>
    </row>
    <row r="941" ht="15.75" customHeight="1">
      <c r="A941" s="340"/>
      <c r="B941" s="340"/>
      <c r="C941" s="340"/>
      <c r="D941" s="340"/>
      <c r="E941" s="340"/>
      <c r="F941" s="340"/>
      <c r="G941" s="340"/>
      <c r="H941" s="340"/>
      <c r="I941" s="340"/>
      <c r="J941" s="340"/>
      <c r="K941" s="340"/>
      <c r="L941" s="340"/>
      <c r="M941" s="340"/>
      <c r="N941" s="340"/>
      <c r="O941" s="340"/>
      <c r="P941" s="340"/>
      <c r="Q941" s="340"/>
      <c r="R941" s="340"/>
      <c r="S941" s="340"/>
      <c r="T941" s="340"/>
      <c r="U941" s="340"/>
      <c r="V941" s="340"/>
      <c r="W941" s="340"/>
      <c r="X941" s="340"/>
      <c r="Y941" s="340"/>
      <c r="Z941" s="340"/>
    </row>
    <row r="942" ht="15.75" customHeight="1">
      <c r="A942" s="340"/>
      <c r="B942" s="340"/>
      <c r="C942" s="340"/>
      <c r="D942" s="340"/>
      <c r="E942" s="340"/>
      <c r="F942" s="340"/>
      <c r="G942" s="340"/>
      <c r="H942" s="340"/>
      <c r="I942" s="340"/>
      <c r="J942" s="340"/>
      <c r="K942" s="340"/>
      <c r="L942" s="340"/>
      <c r="M942" s="340"/>
      <c r="N942" s="340"/>
      <c r="O942" s="340"/>
      <c r="P942" s="340"/>
      <c r="Q942" s="340"/>
      <c r="R942" s="340"/>
      <c r="S942" s="340"/>
      <c r="T942" s="340"/>
      <c r="U942" s="340"/>
      <c r="V942" s="340"/>
      <c r="W942" s="340"/>
      <c r="X942" s="340"/>
      <c r="Y942" s="340"/>
      <c r="Z942" s="340"/>
    </row>
    <row r="943" ht="15.75" customHeight="1">
      <c r="A943" s="340"/>
      <c r="B943" s="340"/>
      <c r="C943" s="340"/>
      <c r="D943" s="340"/>
      <c r="E943" s="340"/>
      <c r="F943" s="340"/>
      <c r="G943" s="340"/>
      <c r="H943" s="340"/>
      <c r="I943" s="340"/>
      <c r="J943" s="340"/>
      <c r="K943" s="340"/>
      <c r="L943" s="340"/>
      <c r="M943" s="340"/>
      <c r="N943" s="340"/>
      <c r="O943" s="340"/>
      <c r="P943" s="340"/>
      <c r="Q943" s="340"/>
      <c r="R943" s="340"/>
      <c r="S943" s="340"/>
      <c r="T943" s="340"/>
      <c r="U943" s="340"/>
      <c r="V943" s="340"/>
      <c r="W943" s="340"/>
      <c r="X943" s="340"/>
      <c r="Y943" s="340"/>
      <c r="Z943" s="340"/>
    </row>
    <row r="944" ht="15.75" customHeight="1">
      <c r="A944" s="340"/>
      <c r="B944" s="340"/>
      <c r="C944" s="340"/>
      <c r="D944" s="340"/>
      <c r="E944" s="340"/>
      <c r="F944" s="340"/>
      <c r="G944" s="340"/>
      <c r="H944" s="340"/>
      <c r="I944" s="340"/>
      <c r="J944" s="340"/>
      <c r="K944" s="340"/>
      <c r="L944" s="340"/>
      <c r="M944" s="340"/>
      <c r="N944" s="340"/>
      <c r="O944" s="340"/>
      <c r="P944" s="340"/>
      <c r="Q944" s="340"/>
      <c r="R944" s="340"/>
      <c r="S944" s="340"/>
      <c r="T944" s="340"/>
      <c r="U944" s="340"/>
      <c r="V944" s="340"/>
      <c r="W944" s="340"/>
      <c r="X944" s="340"/>
      <c r="Y944" s="340"/>
      <c r="Z944" s="340"/>
    </row>
    <row r="945" ht="15.75" customHeight="1">
      <c r="A945" s="340"/>
      <c r="B945" s="340"/>
      <c r="C945" s="340"/>
      <c r="D945" s="340"/>
      <c r="E945" s="340"/>
      <c r="F945" s="340"/>
      <c r="G945" s="340"/>
      <c r="H945" s="340"/>
      <c r="I945" s="340"/>
      <c r="J945" s="340"/>
      <c r="K945" s="340"/>
      <c r="L945" s="340"/>
      <c r="M945" s="340"/>
      <c r="N945" s="340"/>
      <c r="O945" s="340"/>
      <c r="P945" s="340"/>
      <c r="Q945" s="340"/>
      <c r="R945" s="340"/>
      <c r="S945" s="340"/>
      <c r="T945" s="340"/>
      <c r="U945" s="340"/>
      <c r="V945" s="340"/>
      <c r="W945" s="340"/>
      <c r="X945" s="340"/>
      <c r="Y945" s="340"/>
      <c r="Z945" s="340"/>
    </row>
    <row r="946" ht="15.75" customHeight="1">
      <c r="A946" s="340"/>
      <c r="B946" s="340"/>
      <c r="C946" s="340"/>
      <c r="D946" s="340"/>
      <c r="E946" s="340"/>
      <c r="F946" s="340"/>
      <c r="G946" s="340"/>
      <c r="H946" s="340"/>
      <c r="I946" s="340"/>
      <c r="J946" s="340"/>
      <c r="K946" s="340"/>
      <c r="L946" s="340"/>
      <c r="M946" s="340"/>
      <c r="N946" s="340"/>
      <c r="O946" s="340"/>
      <c r="P946" s="340"/>
      <c r="Q946" s="340"/>
      <c r="R946" s="340"/>
      <c r="S946" s="340"/>
      <c r="T946" s="340"/>
      <c r="U946" s="340"/>
      <c r="V946" s="340"/>
      <c r="W946" s="340"/>
      <c r="X946" s="340"/>
      <c r="Y946" s="340"/>
      <c r="Z946" s="340"/>
    </row>
    <row r="947" ht="15.75" customHeight="1">
      <c r="A947" s="340"/>
      <c r="B947" s="340"/>
      <c r="C947" s="340"/>
      <c r="D947" s="340"/>
      <c r="E947" s="340"/>
      <c r="F947" s="340"/>
      <c r="G947" s="340"/>
      <c r="H947" s="340"/>
      <c r="I947" s="340"/>
      <c r="J947" s="340"/>
      <c r="K947" s="340"/>
      <c r="L947" s="340"/>
      <c r="M947" s="340"/>
      <c r="N947" s="340"/>
      <c r="O947" s="340"/>
      <c r="P947" s="340"/>
      <c r="Q947" s="340"/>
      <c r="R947" s="340"/>
      <c r="S947" s="340"/>
      <c r="T947" s="340"/>
      <c r="U947" s="340"/>
      <c r="V947" s="340"/>
      <c r="W947" s="340"/>
      <c r="X947" s="340"/>
      <c r="Y947" s="340"/>
      <c r="Z947" s="340"/>
    </row>
    <row r="948" ht="15.75" customHeight="1">
      <c r="A948" s="340"/>
      <c r="B948" s="340"/>
      <c r="C948" s="340"/>
      <c r="D948" s="340"/>
      <c r="E948" s="340"/>
      <c r="F948" s="340"/>
      <c r="G948" s="340"/>
      <c r="H948" s="340"/>
      <c r="I948" s="340"/>
      <c r="J948" s="340"/>
      <c r="K948" s="340"/>
      <c r="L948" s="340"/>
      <c r="M948" s="340"/>
      <c r="N948" s="340"/>
      <c r="O948" s="340"/>
      <c r="P948" s="340"/>
      <c r="Q948" s="340"/>
      <c r="R948" s="340"/>
      <c r="S948" s="340"/>
      <c r="T948" s="340"/>
      <c r="U948" s="340"/>
      <c r="V948" s="340"/>
      <c r="W948" s="340"/>
      <c r="X948" s="340"/>
      <c r="Y948" s="340"/>
      <c r="Z948" s="340"/>
    </row>
    <row r="949" ht="15.75" customHeight="1">
      <c r="A949" s="340"/>
      <c r="B949" s="340"/>
      <c r="C949" s="340"/>
      <c r="D949" s="340"/>
      <c r="E949" s="340"/>
      <c r="F949" s="340"/>
      <c r="G949" s="340"/>
      <c r="H949" s="340"/>
      <c r="I949" s="340"/>
      <c r="J949" s="340"/>
      <c r="K949" s="340"/>
      <c r="L949" s="340"/>
      <c r="M949" s="340"/>
      <c r="N949" s="340"/>
      <c r="O949" s="340"/>
      <c r="P949" s="340"/>
      <c r="Q949" s="340"/>
      <c r="R949" s="340"/>
      <c r="S949" s="340"/>
      <c r="T949" s="340"/>
      <c r="U949" s="340"/>
      <c r="V949" s="340"/>
      <c r="W949" s="340"/>
      <c r="X949" s="340"/>
      <c r="Y949" s="340"/>
      <c r="Z949" s="340"/>
    </row>
    <row r="950" ht="15.75" customHeight="1">
      <c r="A950" s="340"/>
      <c r="B950" s="340"/>
      <c r="C950" s="340"/>
      <c r="D950" s="340"/>
      <c r="E950" s="340"/>
      <c r="F950" s="340"/>
      <c r="G950" s="340"/>
      <c r="H950" s="340"/>
      <c r="I950" s="340"/>
      <c r="J950" s="340"/>
      <c r="K950" s="340"/>
      <c r="L950" s="340"/>
      <c r="M950" s="340"/>
      <c r="N950" s="340"/>
      <c r="O950" s="340"/>
      <c r="P950" s="340"/>
      <c r="Q950" s="340"/>
      <c r="R950" s="340"/>
      <c r="S950" s="340"/>
      <c r="T950" s="340"/>
      <c r="U950" s="340"/>
      <c r="V950" s="340"/>
      <c r="W950" s="340"/>
      <c r="X950" s="340"/>
      <c r="Y950" s="340"/>
      <c r="Z950" s="340"/>
    </row>
    <row r="951" ht="15.75" customHeight="1">
      <c r="A951" s="340"/>
      <c r="B951" s="340"/>
      <c r="C951" s="340"/>
      <c r="D951" s="340"/>
      <c r="E951" s="340"/>
      <c r="F951" s="340"/>
      <c r="G951" s="340"/>
      <c r="H951" s="340"/>
      <c r="I951" s="340"/>
      <c r="J951" s="340"/>
      <c r="K951" s="340"/>
      <c r="L951" s="340"/>
      <c r="M951" s="340"/>
      <c r="N951" s="340"/>
      <c r="O951" s="340"/>
      <c r="P951" s="340"/>
      <c r="Q951" s="340"/>
      <c r="R951" s="340"/>
      <c r="S951" s="340"/>
      <c r="T951" s="340"/>
      <c r="U951" s="340"/>
      <c r="V951" s="340"/>
      <c r="W951" s="340"/>
      <c r="X951" s="340"/>
      <c r="Y951" s="340"/>
      <c r="Z951" s="340"/>
    </row>
    <row r="952" ht="15.75" customHeight="1">
      <c r="A952" s="340"/>
      <c r="B952" s="340"/>
      <c r="C952" s="340"/>
      <c r="D952" s="340"/>
      <c r="E952" s="340"/>
      <c r="F952" s="340"/>
      <c r="G952" s="340"/>
      <c r="H952" s="340"/>
      <c r="I952" s="340"/>
      <c r="J952" s="340"/>
      <c r="K952" s="340"/>
      <c r="L952" s="340"/>
      <c r="M952" s="340"/>
      <c r="N952" s="340"/>
      <c r="O952" s="340"/>
      <c r="P952" s="340"/>
      <c r="Q952" s="340"/>
      <c r="R952" s="340"/>
      <c r="S952" s="340"/>
      <c r="T952" s="340"/>
      <c r="U952" s="340"/>
      <c r="V952" s="340"/>
      <c r="W952" s="340"/>
      <c r="X952" s="340"/>
      <c r="Y952" s="340"/>
      <c r="Z952" s="340"/>
    </row>
    <row r="953" ht="15.75" customHeight="1">
      <c r="A953" s="340"/>
      <c r="B953" s="340"/>
      <c r="C953" s="340"/>
      <c r="D953" s="340"/>
      <c r="E953" s="340"/>
      <c r="F953" s="340"/>
      <c r="G953" s="340"/>
      <c r="H953" s="340"/>
      <c r="I953" s="340"/>
      <c r="J953" s="340"/>
      <c r="K953" s="340"/>
      <c r="L953" s="340"/>
      <c r="M953" s="340"/>
      <c r="N953" s="340"/>
      <c r="O953" s="340"/>
      <c r="P953" s="340"/>
      <c r="Q953" s="340"/>
      <c r="R953" s="340"/>
      <c r="S953" s="340"/>
      <c r="T953" s="340"/>
      <c r="U953" s="340"/>
      <c r="V953" s="340"/>
      <c r="W953" s="340"/>
      <c r="X953" s="340"/>
      <c r="Y953" s="340"/>
      <c r="Z953" s="340"/>
    </row>
    <row r="954" ht="15.75" customHeight="1">
      <c r="A954" s="340"/>
      <c r="B954" s="340"/>
      <c r="C954" s="340"/>
      <c r="D954" s="340"/>
      <c r="E954" s="340"/>
      <c r="F954" s="340"/>
      <c r="G954" s="340"/>
      <c r="H954" s="340"/>
      <c r="I954" s="340"/>
      <c r="J954" s="340"/>
      <c r="K954" s="340"/>
      <c r="L954" s="340"/>
      <c r="M954" s="340"/>
      <c r="N954" s="340"/>
      <c r="O954" s="340"/>
      <c r="P954" s="340"/>
      <c r="Q954" s="340"/>
      <c r="R954" s="340"/>
      <c r="S954" s="340"/>
      <c r="T954" s="340"/>
      <c r="U954" s="340"/>
      <c r="V954" s="340"/>
      <c r="W954" s="340"/>
      <c r="X954" s="340"/>
      <c r="Y954" s="340"/>
      <c r="Z954" s="340"/>
    </row>
    <row r="955" ht="15.75" customHeight="1">
      <c r="A955" s="340"/>
      <c r="B955" s="340"/>
      <c r="C955" s="340"/>
      <c r="D955" s="340"/>
      <c r="E955" s="340"/>
      <c r="F955" s="340"/>
      <c r="G955" s="340"/>
      <c r="H955" s="340"/>
      <c r="I955" s="340"/>
      <c r="J955" s="340"/>
      <c r="K955" s="340"/>
      <c r="L955" s="340"/>
      <c r="M955" s="340"/>
      <c r="N955" s="340"/>
      <c r="O955" s="340"/>
      <c r="P955" s="340"/>
      <c r="Q955" s="340"/>
      <c r="R955" s="340"/>
      <c r="S955" s="340"/>
      <c r="T955" s="340"/>
      <c r="U955" s="340"/>
      <c r="V955" s="340"/>
      <c r="W955" s="340"/>
      <c r="X955" s="340"/>
      <c r="Y955" s="340"/>
      <c r="Z955" s="340"/>
    </row>
    <row r="956" ht="15.75" customHeight="1">
      <c r="A956" s="340"/>
      <c r="B956" s="340"/>
      <c r="C956" s="340"/>
      <c r="D956" s="340"/>
      <c r="E956" s="340"/>
      <c r="F956" s="340"/>
      <c r="G956" s="340"/>
      <c r="H956" s="340"/>
      <c r="I956" s="340"/>
      <c r="J956" s="340"/>
      <c r="K956" s="340"/>
      <c r="L956" s="340"/>
      <c r="M956" s="340"/>
      <c r="N956" s="340"/>
      <c r="O956" s="340"/>
      <c r="P956" s="340"/>
      <c r="Q956" s="340"/>
      <c r="R956" s="340"/>
      <c r="S956" s="340"/>
      <c r="T956" s="340"/>
      <c r="U956" s="340"/>
      <c r="V956" s="340"/>
      <c r="W956" s="340"/>
      <c r="X956" s="340"/>
      <c r="Y956" s="340"/>
      <c r="Z956" s="340"/>
    </row>
    <row r="957" ht="15.75" customHeight="1">
      <c r="A957" s="340"/>
      <c r="B957" s="340"/>
      <c r="C957" s="340"/>
      <c r="D957" s="340"/>
      <c r="E957" s="340"/>
      <c r="F957" s="340"/>
      <c r="G957" s="340"/>
      <c r="H957" s="340"/>
      <c r="I957" s="340"/>
      <c r="J957" s="340"/>
      <c r="K957" s="340"/>
      <c r="L957" s="340"/>
      <c r="M957" s="340"/>
      <c r="N957" s="340"/>
      <c r="O957" s="340"/>
      <c r="P957" s="340"/>
      <c r="Q957" s="340"/>
      <c r="R957" s="340"/>
      <c r="S957" s="340"/>
      <c r="T957" s="340"/>
      <c r="U957" s="340"/>
      <c r="V957" s="340"/>
      <c r="W957" s="340"/>
      <c r="X957" s="340"/>
      <c r="Y957" s="340"/>
      <c r="Z957" s="340"/>
    </row>
    <row r="958" ht="15.75" customHeight="1">
      <c r="A958" s="340"/>
      <c r="B958" s="340"/>
      <c r="C958" s="340"/>
      <c r="D958" s="340"/>
      <c r="E958" s="340"/>
      <c r="F958" s="340"/>
      <c r="G958" s="340"/>
      <c r="H958" s="340"/>
      <c r="I958" s="340"/>
      <c r="J958" s="340"/>
      <c r="K958" s="340"/>
      <c r="L958" s="340"/>
      <c r="M958" s="340"/>
      <c r="N958" s="340"/>
      <c r="O958" s="340"/>
      <c r="P958" s="340"/>
      <c r="Q958" s="340"/>
      <c r="R958" s="340"/>
      <c r="S958" s="340"/>
      <c r="T958" s="340"/>
      <c r="U958" s="340"/>
      <c r="V958" s="340"/>
      <c r="W958" s="340"/>
      <c r="X958" s="340"/>
      <c r="Y958" s="340"/>
      <c r="Z958" s="340"/>
    </row>
    <row r="959" ht="15.75" customHeight="1">
      <c r="A959" s="340"/>
      <c r="B959" s="340"/>
      <c r="C959" s="340"/>
      <c r="D959" s="340"/>
      <c r="E959" s="340"/>
      <c r="F959" s="340"/>
      <c r="G959" s="340"/>
      <c r="H959" s="340"/>
      <c r="I959" s="340"/>
      <c r="J959" s="340"/>
      <c r="K959" s="340"/>
      <c r="L959" s="340"/>
      <c r="M959" s="340"/>
      <c r="N959" s="340"/>
      <c r="O959" s="340"/>
      <c r="P959" s="340"/>
      <c r="Q959" s="340"/>
      <c r="R959" s="340"/>
      <c r="S959" s="340"/>
      <c r="T959" s="340"/>
      <c r="U959" s="340"/>
      <c r="V959" s="340"/>
      <c r="W959" s="340"/>
      <c r="X959" s="340"/>
      <c r="Y959" s="340"/>
      <c r="Z959" s="340"/>
    </row>
    <row r="960" ht="15.75" customHeight="1">
      <c r="A960" s="340"/>
      <c r="B960" s="340"/>
      <c r="C960" s="340"/>
      <c r="D960" s="340"/>
      <c r="E960" s="340"/>
      <c r="F960" s="340"/>
      <c r="G960" s="340"/>
      <c r="H960" s="340"/>
      <c r="I960" s="340"/>
      <c r="J960" s="340"/>
      <c r="K960" s="340"/>
      <c r="L960" s="340"/>
      <c r="M960" s="340"/>
      <c r="N960" s="340"/>
      <c r="O960" s="340"/>
      <c r="P960" s="340"/>
      <c r="Q960" s="340"/>
      <c r="R960" s="340"/>
      <c r="S960" s="340"/>
      <c r="T960" s="340"/>
      <c r="U960" s="340"/>
      <c r="V960" s="340"/>
      <c r="W960" s="340"/>
      <c r="X960" s="340"/>
      <c r="Y960" s="340"/>
      <c r="Z960" s="340"/>
    </row>
    <row r="961" ht="15.75" customHeight="1">
      <c r="A961" s="340"/>
      <c r="B961" s="340"/>
      <c r="C961" s="340"/>
      <c r="D961" s="340"/>
      <c r="E961" s="340"/>
      <c r="F961" s="340"/>
      <c r="G961" s="340"/>
      <c r="H961" s="340"/>
      <c r="I961" s="340"/>
      <c r="J961" s="340"/>
      <c r="K961" s="340"/>
      <c r="L961" s="340"/>
      <c r="M961" s="340"/>
      <c r="N961" s="340"/>
      <c r="O961" s="340"/>
      <c r="P961" s="340"/>
      <c r="Q961" s="340"/>
      <c r="R961" s="340"/>
      <c r="S961" s="340"/>
      <c r="T961" s="340"/>
      <c r="U961" s="340"/>
      <c r="V961" s="340"/>
      <c r="W961" s="340"/>
      <c r="X961" s="340"/>
      <c r="Y961" s="340"/>
      <c r="Z961" s="340"/>
    </row>
    <row r="962" ht="15.75" customHeight="1">
      <c r="A962" s="340"/>
      <c r="B962" s="340"/>
      <c r="C962" s="340"/>
      <c r="D962" s="340"/>
      <c r="E962" s="340"/>
      <c r="F962" s="340"/>
      <c r="G962" s="340"/>
      <c r="H962" s="340"/>
      <c r="I962" s="340"/>
      <c r="J962" s="340"/>
      <c r="K962" s="340"/>
      <c r="L962" s="340"/>
      <c r="M962" s="340"/>
      <c r="N962" s="340"/>
      <c r="O962" s="340"/>
      <c r="P962" s="340"/>
      <c r="Q962" s="340"/>
      <c r="R962" s="340"/>
      <c r="S962" s="340"/>
      <c r="T962" s="340"/>
      <c r="U962" s="340"/>
      <c r="V962" s="340"/>
      <c r="W962" s="340"/>
      <c r="X962" s="340"/>
      <c r="Y962" s="340"/>
      <c r="Z962" s="340"/>
    </row>
    <row r="963" ht="15.75" customHeight="1">
      <c r="A963" s="340"/>
      <c r="B963" s="340"/>
      <c r="C963" s="340"/>
      <c r="D963" s="340"/>
      <c r="E963" s="340"/>
      <c r="F963" s="340"/>
      <c r="G963" s="340"/>
      <c r="H963" s="340"/>
      <c r="I963" s="340"/>
      <c r="J963" s="340"/>
      <c r="K963" s="340"/>
      <c r="L963" s="340"/>
      <c r="M963" s="340"/>
      <c r="N963" s="340"/>
      <c r="O963" s="340"/>
      <c r="P963" s="340"/>
      <c r="Q963" s="340"/>
      <c r="R963" s="340"/>
      <c r="S963" s="340"/>
      <c r="T963" s="340"/>
      <c r="U963" s="340"/>
      <c r="V963" s="340"/>
      <c r="W963" s="340"/>
      <c r="X963" s="340"/>
      <c r="Y963" s="340"/>
      <c r="Z963" s="340"/>
    </row>
    <row r="964" ht="15.75" customHeight="1">
      <c r="A964" s="340"/>
      <c r="B964" s="340"/>
      <c r="C964" s="340"/>
      <c r="D964" s="340"/>
      <c r="E964" s="340"/>
      <c r="F964" s="340"/>
      <c r="G964" s="340"/>
      <c r="H964" s="340"/>
      <c r="I964" s="340"/>
      <c r="J964" s="340"/>
      <c r="K964" s="340"/>
      <c r="L964" s="340"/>
      <c r="M964" s="340"/>
      <c r="N964" s="340"/>
      <c r="O964" s="340"/>
      <c r="P964" s="340"/>
      <c r="Q964" s="340"/>
      <c r="R964" s="340"/>
      <c r="S964" s="340"/>
      <c r="T964" s="340"/>
      <c r="U964" s="340"/>
      <c r="V964" s="340"/>
      <c r="W964" s="340"/>
      <c r="X964" s="340"/>
      <c r="Y964" s="340"/>
      <c r="Z964" s="340"/>
    </row>
    <row r="965" ht="15.75" customHeight="1">
      <c r="A965" s="340"/>
      <c r="B965" s="340"/>
      <c r="C965" s="340"/>
      <c r="D965" s="340"/>
      <c r="E965" s="340"/>
      <c r="F965" s="340"/>
      <c r="G965" s="340"/>
      <c r="H965" s="340"/>
      <c r="I965" s="340"/>
      <c r="J965" s="340"/>
      <c r="K965" s="340"/>
      <c r="L965" s="340"/>
      <c r="M965" s="340"/>
      <c r="N965" s="340"/>
      <c r="O965" s="340"/>
      <c r="P965" s="340"/>
      <c r="Q965" s="340"/>
      <c r="R965" s="340"/>
      <c r="S965" s="340"/>
      <c r="T965" s="340"/>
      <c r="U965" s="340"/>
      <c r="V965" s="340"/>
      <c r="W965" s="340"/>
      <c r="X965" s="340"/>
      <c r="Y965" s="340"/>
      <c r="Z965" s="340"/>
    </row>
    <row r="966" ht="15.75" customHeight="1">
      <c r="A966" s="340"/>
      <c r="B966" s="340"/>
      <c r="C966" s="340"/>
      <c r="D966" s="340"/>
      <c r="E966" s="340"/>
      <c r="F966" s="340"/>
      <c r="G966" s="340"/>
      <c r="H966" s="340"/>
      <c r="I966" s="340"/>
      <c r="J966" s="340"/>
      <c r="K966" s="340"/>
      <c r="L966" s="340"/>
      <c r="M966" s="340"/>
      <c r="N966" s="340"/>
      <c r="O966" s="340"/>
      <c r="P966" s="340"/>
      <c r="Q966" s="340"/>
      <c r="R966" s="340"/>
      <c r="S966" s="340"/>
      <c r="T966" s="340"/>
      <c r="U966" s="340"/>
      <c r="V966" s="340"/>
      <c r="W966" s="340"/>
      <c r="X966" s="340"/>
      <c r="Y966" s="340"/>
      <c r="Z966" s="340"/>
    </row>
    <row r="967" ht="15.75" customHeight="1">
      <c r="A967" s="340"/>
      <c r="B967" s="340"/>
      <c r="C967" s="340"/>
      <c r="D967" s="340"/>
      <c r="E967" s="340"/>
      <c r="F967" s="340"/>
      <c r="G967" s="340"/>
      <c r="H967" s="340"/>
      <c r="I967" s="340"/>
      <c r="J967" s="340"/>
      <c r="K967" s="340"/>
      <c r="L967" s="340"/>
      <c r="M967" s="340"/>
      <c r="N967" s="340"/>
      <c r="O967" s="340"/>
      <c r="P967" s="340"/>
      <c r="Q967" s="340"/>
      <c r="R967" s="340"/>
      <c r="S967" s="340"/>
      <c r="T967" s="340"/>
      <c r="U967" s="340"/>
      <c r="V967" s="340"/>
      <c r="W967" s="340"/>
      <c r="X967" s="340"/>
      <c r="Y967" s="340"/>
      <c r="Z967" s="340"/>
    </row>
    <row r="968" ht="15.75" customHeight="1">
      <c r="A968" s="340"/>
      <c r="B968" s="340"/>
      <c r="C968" s="340"/>
      <c r="D968" s="340"/>
      <c r="E968" s="340"/>
      <c r="F968" s="340"/>
      <c r="G968" s="340"/>
      <c r="H968" s="340"/>
      <c r="I968" s="340"/>
      <c r="J968" s="340"/>
      <c r="K968" s="340"/>
      <c r="L968" s="340"/>
      <c r="M968" s="340"/>
      <c r="N968" s="340"/>
      <c r="O968" s="340"/>
      <c r="P968" s="340"/>
      <c r="Q968" s="340"/>
      <c r="R968" s="340"/>
      <c r="S968" s="340"/>
      <c r="T968" s="340"/>
      <c r="U968" s="340"/>
      <c r="V968" s="340"/>
      <c r="W968" s="340"/>
      <c r="X968" s="340"/>
      <c r="Y968" s="340"/>
      <c r="Z968" s="340"/>
    </row>
    <row r="969" ht="15.75" customHeight="1">
      <c r="A969" s="340"/>
      <c r="B969" s="340"/>
      <c r="C969" s="340"/>
      <c r="D969" s="340"/>
      <c r="E969" s="340"/>
      <c r="F969" s="340"/>
      <c r="G969" s="340"/>
      <c r="H969" s="340"/>
      <c r="I969" s="340"/>
      <c r="J969" s="340"/>
      <c r="K969" s="340"/>
      <c r="L969" s="340"/>
      <c r="M969" s="340"/>
      <c r="N969" s="340"/>
      <c r="O969" s="340"/>
      <c r="P969" s="340"/>
      <c r="Q969" s="340"/>
      <c r="R969" s="340"/>
      <c r="S969" s="340"/>
      <c r="T969" s="340"/>
      <c r="U969" s="340"/>
      <c r="V969" s="340"/>
      <c r="W969" s="340"/>
      <c r="X969" s="340"/>
      <c r="Y969" s="340"/>
      <c r="Z969" s="340"/>
    </row>
    <row r="970" ht="15.75" customHeight="1">
      <c r="A970" s="340"/>
      <c r="B970" s="340"/>
      <c r="C970" s="340"/>
      <c r="D970" s="340"/>
      <c r="E970" s="340"/>
      <c r="F970" s="340"/>
      <c r="G970" s="340"/>
      <c r="H970" s="340"/>
      <c r="I970" s="340"/>
      <c r="J970" s="340"/>
      <c r="K970" s="340"/>
      <c r="L970" s="340"/>
      <c r="M970" s="340"/>
      <c r="N970" s="340"/>
      <c r="O970" s="340"/>
      <c r="P970" s="340"/>
      <c r="Q970" s="340"/>
      <c r="R970" s="340"/>
      <c r="S970" s="340"/>
      <c r="T970" s="340"/>
      <c r="U970" s="340"/>
      <c r="V970" s="340"/>
      <c r="W970" s="340"/>
      <c r="X970" s="340"/>
      <c r="Y970" s="340"/>
      <c r="Z970" s="340"/>
    </row>
    <row r="971" ht="15.75" customHeight="1">
      <c r="A971" s="340"/>
      <c r="B971" s="340"/>
      <c r="C971" s="340"/>
      <c r="D971" s="340"/>
      <c r="E971" s="340"/>
      <c r="F971" s="340"/>
      <c r="G971" s="340"/>
      <c r="H971" s="340"/>
      <c r="I971" s="340"/>
      <c r="J971" s="340"/>
      <c r="K971" s="340"/>
      <c r="L971" s="340"/>
      <c r="M971" s="340"/>
      <c r="N971" s="340"/>
      <c r="O971" s="340"/>
      <c r="P971" s="340"/>
      <c r="Q971" s="340"/>
      <c r="R971" s="340"/>
      <c r="S971" s="340"/>
      <c r="T971" s="340"/>
      <c r="U971" s="340"/>
      <c r="V971" s="340"/>
      <c r="W971" s="340"/>
      <c r="X971" s="340"/>
      <c r="Y971" s="340"/>
      <c r="Z971" s="340"/>
    </row>
    <row r="972" ht="15.75" customHeight="1">
      <c r="A972" s="340"/>
      <c r="B972" s="340"/>
      <c r="C972" s="340"/>
      <c r="D972" s="340"/>
      <c r="E972" s="340"/>
      <c r="F972" s="340"/>
      <c r="G972" s="340"/>
      <c r="H972" s="340"/>
      <c r="I972" s="340"/>
      <c r="J972" s="340"/>
      <c r="K972" s="340"/>
      <c r="L972" s="340"/>
      <c r="M972" s="340"/>
      <c r="N972" s="340"/>
      <c r="O972" s="340"/>
      <c r="P972" s="340"/>
      <c r="Q972" s="340"/>
      <c r="R972" s="340"/>
      <c r="S972" s="340"/>
      <c r="T972" s="340"/>
      <c r="U972" s="340"/>
      <c r="V972" s="340"/>
      <c r="W972" s="340"/>
      <c r="X972" s="340"/>
      <c r="Y972" s="340"/>
      <c r="Z972" s="340"/>
    </row>
    <row r="973" ht="15.75" customHeight="1">
      <c r="A973" s="340"/>
      <c r="B973" s="340"/>
      <c r="C973" s="340"/>
      <c r="D973" s="340"/>
      <c r="E973" s="340"/>
      <c r="F973" s="340"/>
      <c r="G973" s="340"/>
      <c r="H973" s="340"/>
      <c r="I973" s="340"/>
      <c r="J973" s="340"/>
      <c r="K973" s="340"/>
      <c r="L973" s="340"/>
      <c r="M973" s="340"/>
      <c r="N973" s="340"/>
      <c r="O973" s="340"/>
      <c r="P973" s="340"/>
      <c r="Q973" s="340"/>
      <c r="R973" s="340"/>
      <c r="S973" s="340"/>
      <c r="T973" s="340"/>
      <c r="U973" s="340"/>
      <c r="V973" s="340"/>
      <c r="W973" s="340"/>
      <c r="X973" s="340"/>
      <c r="Y973" s="340"/>
      <c r="Z973" s="340"/>
    </row>
    <row r="974" ht="15.75" customHeight="1">
      <c r="A974" s="340"/>
      <c r="B974" s="340"/>
      <c r="C974" s="340"/>
      <c r="D974" s="340"/>
      <c r="E974" s="340"/>
      <c r="F974" s="340"/>
      <c r="G974" s="340"/>
      <c r="H974" s="340"/>
      <c r="I974" s="340"/>
      <c r="J974" s="340"/>
      <c r="K974" s="340"/>
      <c r="L974" s="340"/>
      <c r="M974" s="340"/>
      <c r="N974" s="340"/>
      <c r="O974" s="340"/>
      <c r="P974" s="340"/>
      <c r="Q974" s="340"/>
      <c r="R974" s="340"/>
      <c r="S974" s="340"/>
      <c r="T974" s="340"/>
      <c r="U974" s="340"/>
      <c r="V974" s="340"/>
      <c r="W974" s="340"/>
      <c r="X974" s="340"/>
      <c r="Y974" s="340"/>
      <c r="Z974" s="340"/>
    </row>
    <row r="975" ht="15.75" customHeight="1">
      <c r="A975" s="340"/>
      <c r="B975" s="340"/>
      <c r="C975" s="340"/>
      <c r="D975" s="340"/>
      <c r="E975" s="340"/>
      <c r="F975" s="340"/>
      <c r="G975" s="340"/>
      <c r="H975" s="340"/>
      <c r="I975" s="340"/>
      <c r="J975" s="340"/>
      <c r="K975" s="340"/>
      <c r="L975" s="340"/>
      <c r="M975" s="340"/>
      <c r="N975" s="340"/>
      <c r="O975" s="340"/>
      <c r="P975" s="340"/>
      <c r="Q975" s="340"/>
      <c r="R975" s="340"/>
      <c r="S975" s="340"/>
      <c r="T975" s="340"/>
      <c r="U975" s="340"/>
      <c r="V975" s="340"/>
      <c r="W975" s="340"/>
      <c r="X975" s="340"/>
      <c r="Y975" s="340"/>
      <c r="Z975" s="340"/>
    </row>
    <row r="976" ht="15.75" customHeight="1">
      <c r="A976" s="340"/>
      <c r="B976" s="340"/>
      <c r="C976" s="340"/>
      <c r="D976" s="340"/>
      <c r="E976" s="340"/>
      <c r="F976" s="340"/>
      <c r="G976" s="340"/>
      <c r="H976" s="340"/>
      <c r="I976" s="340"/>
      <c r="J976" s="340"/>
      <c r="K976" s="340"/>
      <c r="L976" s="340"/>
      <c r="M976" s="340"/>
      <c r="N976" s="340"/>
      <c r="O976" s="340"/>
      <c r="P976" s="340"/>
      <c r="Q976" s="340"/>
      <c r="R976" s="340"/>
      <c r="S976" s="340"/>
      <c r="T976" s="340"/>
      <c r="U976" s="340"/>
      <c r="V976" s="340"/>
      <c r="W976" s="340"/>
      <c r="X976" s="340"/>
      <c r="Y976" s="340"/>
      <c r="Z976" s="340"/>
    </row>
    <row r="977" ht="15.75" customHeight="1">
      <c r="A977" s="340"/>
      <c r="B977" s="340"/>
      <c r="C977" s="340"/>
      <c r="D977" s="340"/>
      <c r="E977" s="340"/>
      <c r="F977" s="340"/>
      <c r="G977" s="340"/>
      <c r="H977" s="340"/>
      <c r="I977" s="340"/>
      <c r="J977" s="340"/>
      <c r="K977" s="340"/>
      <c r="L977" s="340"/>
      <c r="M977" s="340"/>
      <c r="N977" s="340"/>
      <c r="O977" s="340"/>
      <c r="P977" s="340"/>
      <c r="Q977" s="340"/>
      <c r="R977" s="340"/>
      <c r="S977" s="340"/>
      <c r="T977" s="340"/>
      <c r="U977" s="340"/>
      <c r="V977" s="340"/>
      <c r="W977" s="340"/>
      <c r="X977" s="340"/>
      <c r="Y977" s="340"/>
      <c r="Z977" s="340"/>
    </row>
    <row r="978" ht="15.75" customHeight="1">
      <c r="A978" s="340"/>
      <c r="B978" s="340"/>
      <c r="C978" s="340"/>
      <c r="D978" s="340"/>
      <c r="E978" s="340"/>
      <c r="F978" s="340"/>
      <c r="G978" s="340"/>
      <c r="H978" s="340"/>
      <c r="I978" s="340"/>
      <c r="J978" s="340"/>
      <c r="K978" s="340"/>
      <c r="L978" s="340"/>
      <c r="M978" s="340"/>
      <c r="N978" s="340"/>
      <c r="O978" s="340"/>
      <c r="P978" s="340"/>
      <c r="Q978" s="340"/>
      <c r="R978" s="340"/>
      <c r="S978" s="340"/>
      <c r="T978" s="340"/>
      <c r="U978" s="340"/>
      <c r="V978" s="340"/>
      <c r="W978" s="340"/>
      <c r="X978" s="340"/>
      <c r="Y978" s="340"/>
      <c r="Z978" s="340"/>
    </row>
    <row r="979" ht="15.75" customHeight="1">
      <c r="A979" s="340"/>
      <c r="B979" s="340"/>
      <c r="C979" s="340"/>
      <c r="D979" s="340"/>
      <c r="E979" s="340"/>
      <c r="F979" s="340"/>
      <c r="G979" s="340"/>
      <c r="H979" s="340"/>
      <c r="I979" s="340"/>
      <c r="J979" s="340"/>
      <c r="K979" s="340"/>
      <c r="L979" s="340"/>
      <c r="M979" s="340"/>
      <c r="N979" s="340"/>
      <c r="O979" s="340"/>
      <c r="P979" s="340"/>
      <c r="Q979" s="340"/>
      <c r="R979" s="340"/>
      <c r="S979" s="340"/>
      <c r="T979" s="340"/>
      <c r="U979" s="340"/>
      <c r="V979" s="340"/>
      <c r="W979" s="340"/>
      <c r="X979" s="340"/>
      <c r="Y979" s="340"/>
      <c r="Z979" s="340"/>
    </row>
    <row r="980" ht="15.75" customHeight="1">
      <c r="A980" s="340"/>
      <c r="B980" s="340"/>
      <c r="C980" s="340"/>
      <c r="D980" s="340"/>
      <c r="E980" s="340"/>
      <c r="F980" s="340"/>
      <c r="G980" s="340"/>
      <c r="H980" s="340"/>
      <c r="I980" s="340"/>
      <c r="J980" s="340"/>
      <c r="K980" s="340"/>
      <c r="L980" s="340"/>
      <c r="M980" s="340"/>
      <c r="N980" s="340"/>
      <c r="O980" s="340"/>
      <c r="P980" s="340"/>
      <c r="Q980" s="340"/>
      <c r="R980" s="340"/>
      <c r="S980" s="340"/>
      <c r="T980" s="340"/>
      <c r="U980" s="340"/>
      <c r="V980" s="340"/>
      <c r="W980" s="340"/>
      <c r="X980" s="340"/>
      <c r="Y980" s="340"/>
      <c r="Z980" s="340"/>
    </row>
    <row r="981" ht="15.75" customHeight="1">
      <c r="A981" s="340"/>
      <c r="B981" s="340"/>
      <c r="C981" s="340"/>
      <c r="D981" s="340"/>
      <c r="E981" s="340"/>
      <c r="F981" s="340"/>
      <c r="G981" s="340"/>
      <c r="H981" s="340"/>
      <c r="I981" s="340"/>
      <c r="J981" s="340"/>
      <c r="K981" s="340"/>
      <c r="L981" s="340"/>
      <c r="M981" s="340"/>
      <c r="N981" s="340"/>
      <c r="O981" s="340"/>
      <c r="P981" s="340"/>
      <c r="Q981" s="340"/>
      <c r="R981" s="340"/>
      <c r="S981" s="340"/>
      <c r="T981" s="340"/>
      <c r="U981" s="340"/>
      <c r="V981" s="340"/>
      <c r="W981" s="340"/>
      <c r="X981" s="340"/>
      <c r="Y981" s="340"/>
      <c r="Z981" s="340"/>
    </row>
    <row r="982" ht="15.75" customHeight="1">
      <c r="A982" s="340"/>
      <c r="B982" s="340"/>
      <c r="C982" s="340"/>
      <c r="D982" s="340"/>
      <c r="E982" s="340"/>
      <c r="F982" s="340"/>
      <c r="G982" s="340"/>
      <c r="H982" s="340"/>
      <c r="I982" s="340"/>
      <c r="J982" s="340"/>
      <c r="K982" s="340"/>
      <c r="L982" s="340"/>
      <c r="M982" s="340"/>
      <c r="N982" s="340"/>
      <c r="O982" s="340"/>
      <c r="P982" s="340"/>
      <c r="Q982" s="340"/>
      <c r="R982" s="340"/>
      <c r="S982" s="340"/>
      <c r="T982" s="340"/>
      <c r="U982" s="340"/>
      <c r="V982" s="340"/>
      <c r="W982" s="340"/>
      <c r="X982" s="340"/>
      <c r="Y982" s="340"/>
      <c r="Z982" s="340"/>
    </row>
    <row r="983" ht="15.75" customHeight="1">
      <c r="A983" s="340"/>
      <c r="B983" s="340"/>
      <c r="C983" s="340"/>
      <c r="D983" s="340"/>
      <c r="E983" s="340"/>
      <c r="F983" s="340"/>
      <c r="G983" s="340"/>
      <c r="H983" s="340"/>
      <c r="I983" s="340"/>
      <c r="J983" s="340"/>
      <c r="K983" s="340"/>
      <c r="L983" s="340"/>
      <c r="M983" s="340"/>
      <c r="N983" s="340"/>
      <c r="O983" s="340"/>
      <c r="P983" s="340"/>
      <c r="Q983" s="340"/>
      <c r="R983" s="340"/>
      <c r="S983" s="340"/>
      <c r="T983" s="340"/>
      <c r="U983" s="340"/>
      <c r="V983" s="340"/>
      <c r="W983" s="340"/>
      <c r="X983" s="340"/>
      <c r="Y983" s="340"/>
      <c r="Z983" s="340"/>
    </row>
    <row r="984" ht="15.75" customHeight="1">
      <c r="A984" s="340"/>
      <c r="B984" s="340"/>
      <c r="C984" s="340"/>
      <c r="D984" s="340"/>
      <c r="E984" s="340"/>
      <c r="F984" s="340"/>
      <c r="G984" s="340"/>
      <c r="H984" s="340"/>
      <c r="I984" s="340"/>
      <c r="J984" s="340"/>
      <c r="K984" s="340"/>
      <c r="L984" s="340"/>
      <c r="M984" s="340"/>
      <c r="N984" s="340"/>
      <c r="O984" s="340"/>
      <c r="P984" s="340"/>
      <c r="Q984" s="340"/>
      <c r="R984" s="340"/>
      <c r="S984" s="340"/>
      <c r="T984" s="340"/>
      <c r="U984" s="340"/>
      <c r="V984" s="340"/>
      <c r="W984" s="340"/>
      <c r="X984" s="340"/>
      <c r="Y984" s="340"/>
      <c r="Z984" s="340"/>
    </row>
    <row r="985" ht="15.75" customHeight="1">
      <c r="A985" s="340"/>
      <c r="B985" s="340"/>
      <c r="C985" s="340"/>
      <c r="D985" s="340"/>
      <c r="E985" s="340"/>
      <c r="F985" s="340"/>
      <c r="G985" s="340"/>
      <c r="H985" s="340"/>
      <c r="I985" s="340"/>
      <c r="J985" s="340"/>
      <c r="K985" s="340"/>
      <c r="L985" s="340"/>
      <c r="M985" s="340"/>
      <c r="N985" s="340"/>
      <c r="O985" s="340"/>
      <c r="P985" s="340"/>
      <c r="Q985" s="340"/>
      <c r="R985" s="340"/>
      <c r="S985" s="340"/>
      <c r="T985" s="340"/>
      <c r="U985" s="340"/>
      <c r="V985" s="340"/>
      <c r="W985" s="340"/>
      <c r="X985" s="340"/>
      <c r="Y985" s="340"/>
      <c r="Z985" s="340"/>
    </row>
    <row r="986" ht="15.75" customHeight="1">
      <c r="A986" s="340"/>
      <c r="B986" s="340"/>
      <c r="C986" s="340"/>
      <c r="D986" s="340"/>
      <c r="E986" s="340"/>
      <c r="F986" s="340"/>
      <c r="G986" s="340"/>
      <c r="H986" s="340"/>
      <c r="I986" s="340"/>
      <c r="J986" s="340"/>
      <c r="K986" s="340"/>
      <c r="L986" s="340"/>
      <c r="M986" s="340"/>
      <c r="N986" s="340"/>
      <c r="O986" s="340"/>
      <c r="P986" s="340"/>
      <c r="Q986" s="340"/>
      <c r="R986" s="340"/>
      <c r="S986" s="340"/>
      <c r="T986" s="340"/>
      <c r="U986" s="340"/>
      <c r="V986" s="340"/>
      <c r="W986" s="340"/>
      <c r="X986" s="340"/>
      <c r="Y986" s="340"/>
      <c r="Z986" s="340"/>
    </row>
    <row r="987" ht="15.75" customHeight="1">
      <c r="A987" s="340"/>
      <c r="B987" s="340"/>
      <c r="C987" s="340"/>
      <c r="D987" s="340"/>
      <c r="E987" s="340"/>
      <c r="F987" s="340"/>
      <c r="G987" s="340"/>
      <c r="H987" s="340"/>
      <c r="I987" s="340"/>
      <c r="J987" s="340"/>
      <c r="K987" s="340"/>
      <c r="L987" s="340"/>
      <c r="M987" s="340"/>
      <c r="N987" s="340"/>
      <c r="O987" s="340"/>
      <c r="P987" s="340"/>
      <c r="Q987" s="340"/>
      <c r="R987" s="340"/>
      <c r="S987" s="340"/>
      <c r="T987" s="340"/>
      <c r="U987" s="340"/>
      <c r="V987" s="340"/>
      <c r="W987" s="340"/>
      <c r="X987" s="340"/>
      <c r="Y987" s="340"/>
      <c r="Z987" s="340"/>
    </row>
    <row r="988" ht="15.75" customHeight="1">
      <c r="A988" s="340"/>
      <c r="B988" s="340"/>
      <c r="C988" s="340"/>
      <c r="D988" s="340"/>
      <c r="E988" s="340"/>
      <c r="F988" s="340"/>
      <c r="G988" s="340"/>
      <c r="H988" s="340"/>
      <c r="I988" s="340"/>
      <c r="J988" s="340"/>
      <c r="K988" s="340"/>
      <c r="L988" s="340"/>
      <c r="M988" s="340"/>
      <c r="N988" s="340"/>
      <c r="O988" s="340"/>
      <c r="P988" s="340"/>
      <c r="Q988" s="340"/>
      <c r="R988" s="340"/>
      <c r="S988" s="340"/>
      <c r="T988" s="340"/>
      <c r="U988" s="340"/>
      <c r="V988" s="340"/>
      <c r="W988" s="340"/>
      <c r="X988" s="340"/>
      <c r="Y988" s="340"/>
      <c r="Z988" s="340"/>
    </row>
    <row r="989" ht="15.75" customHeight="1">
      <c r="A989" s="340"/>
      <c r="B989" s="340"/>
      <c r="C989" s="340"/>
      <c r="D989" s="340"/>
      <c r="E989" s="340"/>
      <c r="F989" s="340"/>
      <c r="G989" s="340"/>
      <c r="H989" s="340"/>
      <c r="I989" s="340"/>
      <c r="J989" s="340"/>
      <c r="K989" s="340"/>
      <c r="L989" s="340"/>
      <c r="M989" s="340"/>
      <c r="N989" s="340"/>
      <c r="O989" s="340"/>
      <c r="P989" s="340"/>
      <c r="Q989" s="340"/>
      <c r="R989" s="340"/>
      <c r="S989" s="340"/>
      <c r="T989" s="340"/>
      <c r="U989" s="340"/>
      <c r="V989" s="340"/>
      <c r="W989" s="340"/>
      <c r="X989" s="340"/>
      <c r="Y989" s="340"/>
      <c r="Z989" s="340"/>
    </row>
    <row r="990" ht="15.75" customHeight="1">
      <c r="A990" s="340"/>
      <c r="B990" s="340"/>
      <c r="C990" s="340"/>
      <c r="D990" s="340"/>
      <c r="E990" s="340"/>
      <c r="F990" s="340"/>
      <c r="G990" s="340"/>
      <c r="H990" s="340"/>
      <c r="I990" s="340"/>
      <c r="J990" s="340"/>
      <c r="K990" s="340"/>
      <c r="L990" s="340"/>
      <c r="M990" s="340"/>
      <c r="N990" s="340"/>
      <c r="O990" s="340"/>
      <c r="P990" s="340"/>
      <c r="Q990" s="340"/>
      <c r="R990" s="340"/>
      <c r="S990" s="340"/>
      <c r="T990" s="340"/>
      <c r="U990" s="340"/>
      <c r="V990" s="340"/>
      <c r="W990" s="340"/>
      <c r="X990" s="340"/>
      <c r="Y990" s="340"/>
      <c r="Z990" s="340"/>
    </row>
    <row r="991" ht="15.75" customHeight="1">
      <c r="A991" s="340"/>
      <c r="B991" s="340"/>
      <c r="C991" s="340"/>
      <c r="D991" s="340"/>
      <c r="E991" s="340"/>
      <c r="F991" s="340"/>
      <c r="G991" s="340"/>
      <c r="H991" s="340"/>
      <c r="I991" s="340"/>
      <c r="J991" s="340"/>
      <c r="K991" s="340"/>
      <c r="L991" s="340"/>
      <c r="M991" s="340"/>
      <c r="N991" s="340"/>
      <c r="O991" s="340"/>
      <c r="P991" s="340"/>
      <c r="Q991" s="340"/>
      <c r="R991" s="340"/>
      <c r="S991" s="340"/>
      <c r="T991" s="340"/>
      <c r="U991" s="340"/>
      <c r="V991" s="340"/>
      <c r="W991" s="340"/>
      <c r="X991" s="340"/>
      <c r="Y991" s="340"/>
      <c r="Z991" s="340"/>
    </row>
    <row r="992" ht="15.75" customHeight="1">
      <c r="A992" s="340"/>
      <c r="B992" s="340"/>
      <c r="C992" s="340"/>
      <c r="D992" s="340"/>
      <c r="E992" s="340"/>
      <c r="F992" s="340"/>
      <c r="G992" s="340"/>
      <c r="H992" s="340"/>
      <c r="I992" s="340"/>
      <c r="J992" s="340"/>
      <c r="K992" s="340"/>
      <c r="L992" s="340"/>
      <c r="M992" s="340"/>
      <c r="N992" s="340"/>
      <c r="O992" s="340"/>
      <c r="P992" s="340"/>
      <c r="Q992" s="340"/>
      <c r="R992" s="340"/>
      <c r="S992" s="340"/>
      <c r="T992" s="340"/>
      <c r="U992" s="340"/>
      <c r="V992" s="340"/>
      <c r="W992" s="340"/>
      <c r="X992" s="340"/>
      <c r="Y992" s="340"/>
      <c r="Z992" s="340"/>
    </row>
    <row r="993" ht="15.75" customHeight="1">
      <c r="A993" s="340"/>
      <c r="B993" s="340"/>
      <c r="C993" s="340"/>
      <c r="D993" s="340"/>
      <c r="E993" s="340"/>
      <c r="F993" s="340"/>
      <c r="G993" s="340"/>
      <c r="H993" s="340"/>
      <c r="I993" s="340"/>
      <c r="J993" s="340"/>
      <c r="K993" s="340"/>
      <c r="L993" s="340"/>
      <c r="M993" s="340"/>
      <c r="N993" s="340"/>
      <c r="O993" s="340"/>
      <c r="P993" s="340"/>
      <c r="Q993" s="340"/>
      <c r="R993" s="340"/>
      <c r="S993" s="340"/>
      <c r="T993" s="340"/>
      <c r="U993" s="340"/>
      <c r="V993" s="340"/>
      <c r="W993" s="340"/>
      <c r="X993" s="340"/>
      <c r="Y993" s="340"/>
      <c r="Z993" s="340"/>
    </row>
    <row r="994" ht="15.75" customHeight="1">
      <c r="A994" s="340"/>
      <c r="B994" s="340"/>
      <c r="C994" s="340"/>
      <c r="D994" s="340"/>
      <c r="E994" s="340"/>
      <c r="F994" s="340"/>
      <c r="G994" s="340"/>
      <c r="H994" s="340"/>
      <c r="I994" s="340"/>
      <c r="J994" s="340"/>
      <c r="K994" s="340"/>
      <c r="L994" s="340"/>
      <c r="M994" s="340"/>
      <c r="N994" s="340"/>
      <c r="O994" s="340"/>
      <c r="P994" s="340"/>
      <c r="Q994" s="340"/>
      <c r="R994" s="340"/>
      <c r="S994" s="340"/>
      <c r="T994" s="340"/>
      <c r="U994" s="340"/>
      <c r="V994" s="340"/>
      <c r="W994" s="340"/>
      <c r="X994" s="340"/>
      <c r="Y994" s="340"/>
      <c r="Z994" s="340"/>
    </row>
    <row r="995" ht="15.75" customHeight="1">
      <c r="A995" s="340"/>
      <c r="B995" s="340"/>
      <c r="C995" s="340"/>
      <c r="D995" s="340"/>
      <c r="E995" s="340"/>
      <c r="F995" s="340"/>
      <c r="G995" s="340"/>
      <c r="H995" s="340"/>
      <c r="I995" s="340"/>
      <c r="J995" s="340"/>
      <c r="K995" s="340"/>
      <c r="L995" s="340"/>
      <c r="M995" s="340"/>
      <c r="N995" s="340"/>
      <c r="O995" s="340"/>
      <c r="P995" s="340"/>
      <c r="Q995" s="340"/>
      <c r="R995" s="340"/>
      <c r="S995" s="340"/>
      <c r="T995" s="340"/>
      <c r="U995" s="340"/>
      <c r="V995" s="340"/>
      <c r="W995" s="340"/>
      <c r="X995" s="340"/>
      <c r="Y995" s="340"/>
      <c r="Z995" s="340"/>
    </row>
    <row r="996" ht="15.75" customHeight="1">
      <c r="A996" s="340"/>
      <c r="B996" s="340"/>
      <c r="C996" s="340"/>
      <c r="D996" s="340"/>
      <c r="E996" s="340"/>
      <c r="F996" s="340"/>
      <c r="G996" s="340"/>
      <c r="H996" s="340"/>
      <c r="I996" s="340"/>
      <c r="J996" s="340"/>
      <c r="K996" s="340"/>
      <c r="L996" s="340"/>
      <c r="M996" s="340"/>
      <c r="N996" s="340"/>
      <c r="O996" s="340"/>
      <c r="P996" s="340"/>
      <c r="Q996" s="340"/>
      <c r="R996" s="340"/>
      <c r="S996" s="340"/>
      <c r="T996" s="340"/>
      <c r="U996" s="340"/>
      <c r="V996" s="340"/>
      <c r="W996" s="340"/>
      <c r="X996" s="340"/>
      <c r="Y996" s="340"/>
      <c r="Z996" s="340"/>
    </row>
    <row r="997" ht="15.75" customHeight="1">
      <c r="A997" s="340"/>
      <c r="B997" s="340"/>
      <c r="C997" s="340"/>
      <c r="D997" s="340"/>
      <c r="E997" s="340"/>
      <c r="F997" s="340"/>
      <c r="G997" s="340"/>
      <c r="H997" s="340"/>
      <c r="I997" s="340"/>
      <c r="J997" s="340"/>
      <c r="K997" s="340"/>
      <c r="L997" s="340"/>
      <c r="M997" s="340"/>
      <c r="N997" s="340"/>
      <c r="O997" s="340"/>
      <c r="P997" s="340"/>
      <c r="Q997" s="340"/>
      <c r="R997" s="340"/>
      <c r="S997" s="340"/>
      <c r="T997" s="340"/>
      <c r="U997" s="340"/>
      <c r="V997" s="340"/>
      <c r="W997" s="340"/>
      <c r="X997" s="340"/>
      <c r="Y997" s="340"/>
      <c r="Z997" s="340"/>
    </row>
    <row r="998" ht="15.75" customHeight="1">
      <c r="A998" s="340"/>
      <c r="B998" s="340"/>
      <c r="C998" s="340"/>
      <c r="D998" s="340"/>
      <c r="E998" s="340"/>
      <c r="F998" s="340"/>
      <c r="G998" s="340"/>
      <c r="H998" s="340"/>
      <c r="I998" s="340"/>
      <c r="J998" s="340"/>
      <c r="K998" s="340"/>
      <c r="L998" s="340"/>
      <c r="M998" s="340"/>
      <c r="N998" s="340"/>
      <c r="O998" s="340"/>
      <c r="P998" s="340"/>
      <c r="Q998" s="340"/>
      <c r="R998" s="340"/>
      <c r="S998" s="340"/>
      <c r="T998" s="340"/>
      <c r="U998" s="340"/>
      <c r="V998" s="340"/>
      <c r="W998" s="340"/>
      <c r="X998" s="340"/>
      <c r="Y998" s="340"/>
      <c r="Z998" s="340"/>
    </row>
    <row r="999" ht="15.75" customHeight="1">
      <c r="A999" s="340"/>
      <c r="B999" s="340"/>
      <c r="C999" s="340"/>
      <c r="D999" s="340"/>
      <c r="E999" s="340"/>
      <c r="F999" s="340"/>
      <c r="G999" s="340"/>
      <c r="H999" s="340"/>
      <c r="I999" s="340"/>
      <c r="J999" s="340"/>
      <c r="K999" s="340"/>
      <c r="L999" s="340"/>
      <c r="M999" s="340"/>
      <c r="N999" s="340"/>
      <c r="O999" s="340"/>
      <c r="P999" s="340"/>
      <c r="Q999" s="340"/>
      <c r="R999" s="340"/>
      <c r="S999" s="340"/>
      <c r="T999" s="340"/>
      <c r="U999" s="340"/>
      <c r="V999" s="340"/>
      <c r="W999" s="340"/>
      <c r="X999" s="340"/>
      <c r="Y999" s="340"/>
      <c r="Z999" s="340"/>
    </row>
    <row r="1000" ht="15.75" customHeight="1">
      <c r="A1000" s="340"/>
      <c r="B1000" s="340"/>
      <c r="C1000" s="340"/>
      <c r="D1000" s="340"/>
      <c r="E1000" s="340"/>
      <c r="F1000" s="340"/>
      <c r="G1000" s="340"/>
      <c r="H1000" s="340"/>
      <c r="I1000" s="340"/>
      <c r="J1000" s="340"/>
      <c r="K1000" s="340"/>
      <c r="L1000" s="340"/>
      <c r="M1000" s="340"/>
      <c r="N1000" s="340"/>
      <c r="O1000" s="340"/>
      <c r="P1000" s="340"/>
      <c r="Q1000" s="340"/>
      <c r="R1000" s="340"/>
      <c r="S1000" s="340"/>
      <c r="T1000" s="340"/>
      <c r="U1000" s="340"/>
      <c r="V1000" s="340"/>
      <c r="W1000" s="340"/>
      <c r="X1000" s="340"/>
      <c r="Y1000" s="340"/>
      <c r="Z1000" s="34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2023-08-11T10:45:45Z</dcterms:created>
  <dc:creator>3S - THIAGO PHILLIPE BASTOS PESSANHA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